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c8b9c67bc0a550/Documents/Mini project/power Bi/Final/"/>
    </mc:Choice>
  </mc:AlternateContent>
  <xr:revisionPtr revIDLastSave="7" documentId="8_{D33E3DB4-B2FE-424A-8122-F0964D13292A}" xr6:coauthVersionLast="47" xr6:coauthVersionMax="47" xr10:uidLastSave="{EA8421A5-C40D-416F-9CC7-E675C95C8CBF}"/>
  <bookViews>
    <workbookView xWindow="-108" yWindow="-108" windowWidth="23256" windowHeight="12576" xr2:uid="{D734B277-A60F-4FA7-BE46-31AA6031EF97}"/>
  </bookViews>
  <sheets>
    <sheet name="Marketing_campaign_data" sheetId="11" r:id="rId1"/>
    <sheet name="Pivot Table-Yearly Analysis" sheetId="8" r:id="rId2"/>
    <sheet name="PivotTable-PerformanceAnaly" sheetId="10" r:id="rId3"/>
    <sheet name="PivotTable - Quarter Analysis" sheetId="7" r:id="rId4"/>
  </sheets>
  <definedNames>
    <definedName name="_xlnm._FilterDatabase" localSheetId="0" hidden="1">Marketing_campaign_data!$A$1:$U$2002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02" i="11" l="1"/>
  <c r="N2001" i="11"/>
  <c r="N2000" i="11"/>
  <c r="N1999" i="11"/>
  <c r="N1998" i="11"/>
  <c r="N1997" i="11"/>
  <c r="N1996" i="11"/>
  <c r="N1995" i="11"/>
  <c r="N1994" i="11"/>
  <c r="N1993" i="11"/>
  <c r="N1992" i="11"/>
  <c r="N1991" i="11"/>
  <c r="N1990" i="11"/>
  <c r="N1989" i="11"/>
  <c r="N1988" i="11"/>
  <c r="N1987" i="11"/>
  <c r="N1986" i="11"/>
  <c r="N1985" i="11"/>
  <c r="N1984" i="11"/>
  <c r="N1983" i="11"/>
  <c r="N1982" i="11"/>
  <c r="N1981" i="11"/>
  <c r="N1980" i="11"/>
  <c r="N1979" i="11"/>
  <c r="N1978" i="11"/>
  <c r="N1977" i="11"/>
  <c r="N1976" i="11"/>
  <c r="N1975" i="11"/>
  <c r="N1974" i="11"/>
  <c r="N1973" i="11"/>
  <c r="N1972" i="11"/>
  <c r="N1971" i="11"/>
  <c r="N1970" i="11"/>
  <c r="N1969" i="11"/>
  <c r="N1968" i="11"/>
  <c r="N1967" i="11"/>
  <c r="N1966" i="11"/>
  <c r="N1965" i="11"/>
  <c r="N1964" i="11"/>
  <c r="N1963" i="11"/>
  <c r="N1962" i="11"/>
  <c r="N1961" i="11"/>
  <c r="N1960" i="11"/>
  <c r="N1959" i="11"/>
  <c r="N1958" i="11"/>
  <c r="N1957" i="11"/>
  <c r="N1956" i="11"/>
  <c r="N1955" i="11"/>
  <c r="N1954" i="11"/>
  <c r="N1953" i="11"/>
  <c r="N1952" i="11"/>
  <c r="N1951" i="11"/>
  <c r="N1950" i="11"/>
  <c r="N1949" i="11"/>
  <c r="N1948" i="11"/>
  <c r="N1947" i="11"/>
  <c r="N1946" i="11"/>
  <c r="N1945" i="11"/>
  <c r="N1944" i="11"/>
  <c r="N1943" i="11"/>
  <c r="N1942" i="11"/>
  <c r="N1941" i="11"/>
  <c r="N1940" i="11"/>
  <c r="N1939" i="11"/>
  <c r="N1938" i="11"/>
  <c r="N1937" i="11"/>
  <c r="N1936" i="11"/>
  <c r="N1935" i="11"/>
  <c r="N1934" i="11"/>
  <c r="N1933" i="11"/>
  <c r="N1932" i="11"/>
  <c r="N1931" i="11"/>
  <c r="N1930" i="11"/>
  <c r="N1929" i="11"/>
  <c r="N1928" i="11"/>
  <c r="N1927" i="11"/>
  <c r="N1926" i="11"/>
  <c r="N1925" i="11"/>
  <c r="N1924" i="11"/>
  <c r="N1923" i="11"/>
  <c r="N1922" i="11"/>
  <c r="N1921" i="11"/>
  <c r="N1920" i="11"/>
  <c r="N1919" i="11"/>
  <c r="N1918" i="11"/>
  <c r="N1917" i="11"/>
  <c r="N1916" i="11"/>
  <c r="N1915" i="11"/>
  <c r="N1914" i="11"/>
  <c r="N1913" i="11"/>
  <c r="N1912" i="11"/>
  <c r="N1911" i="11"/>
  <c r="N1910" i="11"/>
  <c r="N1909" i="11"/>
  <c r="N1908" i="11"/>
  <c r="N1907" i="11"/>
  <c r="N1906" i="11"/>
  <c r="N1905" i="11"/>
  <c r="N1904" i="11"/>
  <c r="N1903" i="11"/>
  <c r="N1902" i="11"/>
  <c r="N1901" i="11"/>
  <c r="N1900" i="11"/>
  <c r="N1899" i="11"/>
  <c r="N1898" i="11"/>
  <c r="N1897" i="11"/>
  <c r="N1896" i="11"/>
  <c r="N1895" i="11"/>
  <c r="N1894" i="11"/>
  <c r="N1893" i="11"/>
  <c r="N1892" i="11"/>
  <c r="N1891" i="11"/>
  <c r="N1890" i="11"/>
  <c r="N1889" i="11"/>
  <c r="N1888" i="11"/>
  <c r="N1887" i="11"/>
  <c r="N1886" i="11"/>
  <c r="N1885" i="11"/>
  <c r="N1884" i="11"/>
  <c r="N1883" i="11"/>
  <c r="N1882" i="11"/>
  <c r="N1881" i="11"/>
  <c r="N1880" i="11"/>
  <c r="N1879" i="11"/>
  <c r="N1878" i="11"/>
  <c r="N1877" i="11"/>
  <c r="N1876" i="11"/>
  <c r="N1875" i="11"/>
  <c r="N1874" i="11"/>
  <c r="N1873" i="11"/>
  <c r="N1872" i="11"/>
  <c r="N1871" i="11"/>
  <c r="N1870" i="11"/>
  <c r="N1869" i="11"/>
  <c r="N1868" i="11"/>
  <c r="N1867" i="11"/>
  <c r="N1866" i="11"/>
  <c r="N1865" i="11"/>
  <c r="N1864" i="11"/>
  <c r="N1863" i="11"/>
  <c r="N1862" i="11"/>
  <c r="N1861" i="11"/>
  <c r="N1860" i="11"/>
  <c r="N1859" i="11"/>
  <c r="N1858" i="11"/>
  <c r="N1857" i="11"/>
  <c r="N1856" i="11"/>
  <c r="N1855" i="11"/>
  <c r="N1854" i="11"/>
  <c r="N1853" i="11"/>
  <c r="N1852" i="11"/>
  <c r="N1851" i="11"/>
  <c r="N1850" i="11"/>
  <c r="N1849" i="11"/>
  <c r="N1848" i="11"/>
  <c r="N1847" i="11"/>
  <c r="N1846" i="11"/>
  <c r="N1845" i="11"/>
  <c r="N1844" i="11"/>
  <c r="N1843" i="11"/>
  <c r="N1842" i="11"/>
  <c r="N1841" i="11"/>
  <c r="N1840" i="11"/>
  <c r="N1839" i="11"/>
  <c r="N1838" i="11"/>
  <c r="N1837" i="11"/>
  <c r="N1836" i="11"/>
  <c r="N1835" i="11"/>
  <c r="N1834" i="11"/>
  <c r="N1833" i="11"/>
  <c r="N1832" i="11"/>
  <c r="N1831" i="11"/>
  <c r="N1830" i="11"/>
  <c r="N1829" i="11"/>
  <c r="N1828" i="11"/>
  <c r="N1827" i="11"/>
  <c r="N1826" i="11"/>
  <c r="N1825" i="11"/>
  <c r="N1824" i="11"/>
  <c r="N1823" i="11"/>
  <c r="N1822" i="11"/>
  <c r="N1821" i="11"/>
  <c r="N1820" i="11"/>
  <c r="N1819" i="11"/>
  <c r="N1818" i="11"/>
  <c r="N1817" i="11"/>
  <c r="N1816" i="11"/>
  <c r="N1815" i="11"/>
  <c r="N1814" i="11"/>
  <c r="N1813" i="11"/>
  <c r="N1812" i="11"/>
  <c r="N1811" i="11"/>
  <c r="N1810" i="11"/>
  <c r="N1809" i="11"/>
  <c r="N1808" i="11"/>
  <c r="N1807" i="11"/>
  <c r="N1806" i="11"/>
  <c r="N1805" i="11"/>
  <c r="N1804" i="11"/>
  <c r="N1803" i="11"/>
  <c r="N1802" i="11"/>
  <c r="N1801" i="11"/>
  <c r="N1800" i="11"/>
  <c r="N1799" i="11"/>
  <c r="N1798" i="11"/>
  <c r="N1797" i="11"/>
  <c r="N1796" i="11"/>
  <c r="N1795" i="11"/>
  <c r="N1794" i="11"/>
  <c r="N1793" i="11"/>
  <c r="N1792" i="11"/>
  <c r="N1791" i="11"/>
  <c r="N1790" i="11"/>
  <c r="N1789" i="11"/>
  <c r="N1788" i="11"/>
  <c r="N1787" i="11"/>
  <c r="N1786" i="11"/>
  <c r="N1785" i="11"/>
  <c r="N1784" i="11"/>
  <c r="N1783" i="11"/>
  <c r="N1782" i="11"/>
  <c r="N1781" i="11"/>
  <c r="N1780" i="11"/>
  <c r="N1779" i="11"/>
  <c r="N1778" i="11"/>
  <c r="N1777" i="11"/>
  <c r="N1776" i="11"/>
  <c r="N1775" i="11"/>
  <c r="N1774" i="11"/>
  <c r="N1773" i="11"/>
  <c r="N1772" i="11"/>
  <c r="N1771" i="11"/>
  <c r="N1770" i="11"/>
  <c r="N1769" i="11"/>
  <c r="N1768" i="11"/>
  <c r="N1767" i="11"/>
  <c r="N1766" i="11"/>
  <c r="N1765" i="11"/>
  <c r="N1764" i="11"/>
  <c r="N1763" i="11"/>
  <c r="N1762" i="11"/>
  <c r="N1761" i="11"/>
  <c r="N1760" i="11"/>
  <c r="N1759" i="11"/>
  <c r="N1758" i="11"/>
  <c r="N1757" i="11"/>
  <c r="N1756" i="11"/>
  <c r="N1755" i="11"/>
  <c r="N1754" i="11"/>
  <c r="N1753" i="11"/>
  <c r="N1752" i="11"/>
  <c r="N1751" i="11"/>
  <c r="N1750" i="11"/>
  <c r="N1749" i="11"/>
  <c r="N1748" i="11"/>
  <c r="N1747" i="11"/>
  <c r="N1746" i="11"/>
  <c r="N1745" i="11"/>
  <c r="N1744" i="11"/>
  <c r="N1743" i="11"/>
  <c r="N1742" i="11"/>
  <c r="N1741" i="11"/>
  <c r="N1740" i="11"/>
  <c r="N1739" i="11"/>
  <c r="N1738" i="11"/>
  <c r="N1737" i="11"/>
  <c r="N1736" i="11"/>
  <c r="N1735" i="11"/>
  <c r="N1734" i="11"/>
  <c r="N1733" i="11"/>
  <c r="N1732" i="11"/>
  <c r="N1731" i="11"/>
  <c r="N1730" i="11"/>
  <c r="N1729" i="11"/>
  <c r="N1728" i="11"/>
  <c r="N1727" i="11"/>
  <c r="N1726" i="11"/>
  <c r="N1725" i="11"/>
  <c r="N1724" i="11"/>
  <c r="N1723" i="11"/>
  <c r="N1722" i="11"/>
  <c r="N1721" i="11"/>
  <c r="N1720" i="11"/>
  <c r="N1719" i="11"/>
  <c r="N1718" i="11"/>
  <c r="N1717" i="11"/>
  <c r="N1716" i="11"/>
  <c r="N1715" i="11"/>
  <c r="N1714" i="11"/>
  <c r="N1713" i="11"/>
  <c r="N1712" i="11"/>
  <c r="N1711" i="11"/>
  <c r="N1710" i="11"/>
  <c r="N1709" i="11"/>
  <c r="N1708" i="11"/>
  <c r="N1707" i="11"/>
  <c r="N1706" i="11"/>
  <c r="N1705" i="11"/>
  <c r="N1704" i="11"/>
  <c r="N1703" i="11"/>
  <c r="N1702" i="11"/>
  <c r="N1701" i="11"/>
  <c r="N1700" i="11"/>
  <c r="N1699" i="11"/>
  <c r="N1698" i="11"/>
  <c r="N1697" i="11"/>
  <c r="N1696" i="11"/>
  <c r="N1695" i="11"/>
  <c r="N1694" i="11"/>
  <c r="N1693" i="11"/>
  <c r="N1692" i="11"/>
  <c r="N1691" i="11"/>
  <c r="N1690" i="11"/>
  <c r="N1689" i="11"/>
  <c r="N1688" i="11"/>
  <c r="N1687" i="11"/>
  <c r="N1686" i="11"/>
  <c r="N1685" i="11"/>
  <c r="N1684" i="11"/>
  <c r="N1683" i="11"/>
  <c r="N1682" i="11"/>
  <c r="N1681" i="11"/>
  <c r="N1680" i="11"/>
  <c r="N1679" i="11"/>
  <c r="N1678" i="11"/>
  <c r="N1677" i="11"/>
  <c r="N1676" i="11"/>
  <c r="N1675" i="11"/>
  <c r="N1674" i="11"/>
  <c r="N1673" i="11"/>
  <c r="N1672" i="11"/>
  <c r="N1671" i="11"/>
  <c r="N1670" i="11"/>
  <c r="N1669" i="11"/>
  <c r="N1668" i="11"/>
  <c r="N1667" i="11"/>
  <c r="N1666" i="11"/>
  <c r="N1665" i="11"/>
  <c r="N1664" i="11"/>
  <c r="N1663" i="11"/>
  <c r="N1662" i="11"/>
  <c r="N1661" i="11"/>
  <c r="N1660" i="11"/>
  <c r="N1659" i="11"/>
  <c r="N1658" i="11"/>
  <c r="N1657" i="11"/>
  <c r="N1656" i="11"/>
  <c r="N1655" i="11"/>
  <c r="N1654" i="11"/>
  <c r="N1653" i="11"/>
  <c r="N1652" i="11"/>
  <c r="N1651" i="11"/>
  <c r="N1650" i="11"/>
  <c r="N1649" i="11"/>
  <c r="N1648" i="11"/>
  <c r="N1647" i="11"/>
  <c r="N1646" i="11"/>
  <c r="N1645" i="11"/>
  <c r="N1644" i="11"/>
  <c r="N1643" i="11"/>
  <c r="N1642" i="11"/>
  <c r="N1641" i="11"/>
  <c r="N1640" i="11"/>
  <c r="N1639" i="11"/>
  <c r="N1638" i="11"/>
  <c r="N1637" i="11"/>
  <c r="N1636" i="11"/>
  <c r="N1635" i="11"/>
  <c r="N1634" i="11"/>
  <c r="N1633" i="11"/>
  <c r="N1632" i="11"/>
  <c r="N1631" i="11"/>
  <c r="N1630" i="11"/>
  <c r="N1629" i="11"/>
  <c r="N1628" i="11"/>
  <c r="N1627" i="11"/>
  <c r="N1626" i="11"/>
  <c r="N1625" i="11"/>
  <c r="N1624" i="11"/>
  <c r="N1623" i="11"/>
  <c r="N1622" i="11"/>
  <c r="N1621" i="11"/>
  <c r="N1620" i="11"/>
  <c r="N1619" i="11"/>
  <c r="N1618" i="11"/>
  <c r="N1617" i="11"/>
  <c r="N1616" i="11"/>
  <c r="N1615" i="11"/>
  <c r="N1614" i="11"/>
  <c r="N1613" i="11"/>
  <c r="N1612" i="11"/>
  <c r="N1611" i="11"/>
  <c r="N1610" i="11"/>
  <c r="N1609" i="11"/>
  <c r="N1608" i="11"/>
  <c r="N1607" i="11"/>
  <c r="N1606" i="11"/>
  <c r="N1605" i="11"/>
  <c r="N1604" i="11"/>
  <c r="N1603" i="11"/>
  <c r="N1602" i="11"/>
  <c r="N1601" i="11"/>
  <c r="N1600" i="11"/>
  <c r="N1599" i="11"/>
  <c r="N1598" i="11"/>
  <c r="N1597" i="11"/>
  <c r="N1596" i="11"/>
  <c r="N1595" i="11"/>
  <c r="N1594" i="11"/>
  <c r="N1593" i="11"/>
  <c r="N1592" i="11"/>
  <c r="N1591" i="11"/>
  <c r="N1590" i="11"/>
  <c r="N1589" i="11"/>
  <c r="N1588" i="11"/>
  <c r="N1587" i="11"/>
  <c r="N1586" i="11"/>
  <c r="N1585" i="11"/>
  <c r="N1584" i="11"/>
  <c r="N1583" i="11"/>
  <c r="N1582" i="11"/>
  <c r="N1581" i="11"/>
  <c r="N1580" i="11"/>
  <c r="N1579" i="11"/>
  <c r="N1578" i="11"/>
  <c r="N1577" i="11"/>
  <c r="N1576" i="11"/>
  <c r="N1575" i="11"/>
  <c r="N1574" i="11"/>
  <c r="N1573" i="11"/>
  <c r="N1572" i="11"/>
  <c r="N1571" i="11"/>
  <c r="N1570" i="11"/>
  <c r="N1569" i="11"/>
  <c r="N1568" i="11"/>
  <c r="N1567" i="11"/>
  <c r="N1566" i="11"/>
  <c r="N1565" i="11"/>
  <c r="N1564" i="11"/>
  <c r="N1563" i="11"/>
  <c r="N1562" i="11"/>
  <c r="N1561" i="11"/>
  <c r="N1560" i="11"/>
  <c r="N1559" i="11"/>
  <c r="N1558" i="11"/>
  <c r="N1557" i="11"/>
  <c r="N1556" i="11"/>
  <c r="N1555" i="11"/>
  <c r="N1554" i="11"/>
  <c r="N1553" i="11"/>
  <c r="N1552" i="11"/>
  <c r="N1551" i="11"/>
  <c r="N1550" i="11"/>
  <c r="N1549" i="11"/>
  <c r="N1548" i="11"/>
  <c r="N1547" i="11"/>
  <c r="N1546" i="11"/>
  <c r="N1545" i="11"/>
  <c r="N1544" i="11"/>
  <c r="N1543" i="11"/>
  <c r="N1542" i="11"/>
  <c r="N1541" i="11"/>
  <c r="N1540" i="11"/>
  <c r="N1539" i="11"/>
  <c r="N1538" i="11"/>
  <c r="N1537" i="11"/>
  <c r="N1536" i="11"/>
  <c r="N1535" i="11"/>
  <c r="N1534" i="11"/>
  <c r="N1533" i="11"/>
  <c r="N1532" i="11"/>
  <c r="N1531" i="11"/>
  <c r="N1530" i="11"/>
  <c r="N1529" i="11"/>
  <c r="N1528" i="11"/>
  <c r="N1527" i="11"/>
  <c r="N1526" i="11"/>
  <c r="N1525" i="11"/>
  <c r="N1524" i="11"/>
  <c r="N1523" i="11"/>
  <c r="N1522" i="11"/>
  <c r="N1521" i="11"/>
  <c r="N1520" i="11"/>
  <c r="N1519" i="11"/>
  <c r="N1518" i="11"/>
  <c r="N1517" i="11"/>
  <c r="N1516" i="11"/>
  <c r="N1515" i="11"/>
  <c r="N1514" i="11"/>
  <c r="N1513" i="11"/>
  <c r="N1512" i="11"/>
  <c r="N1511" i="11"/>
  <c r="N1510" i="11"/>
  <c r="N1509" i="11"/>
  <c r="N1508" i="11"/>
  <c r="N1507" i="11"/>
  <c r="N1506" i="11"/>
  <c r="N1505" i="11"/>
  <c r="N1504" i="11"/>
  <c r="N1503" i="11"/>
  <c r="N1502" i="11"/>
  <c r="N1501" i="11"/>
  <c r="N1500" i="11"/>
  <c r="N1499" i="11"/>
  <c r="N1498" i="11"/>
  <c r="N1497" i="11"/>
  <c r="N1496" i="11"/>
  <c r="N1495" i="11"/>
  <c r="N1494" i="11"/>
  <c r="N1493" i="11"/>
  <c r="N1492" i="11"/>
  <c r="N1491" i="11"/>
  <c r="N1490" i="11"/>
  <c r="N1489" i="11"/>
  <c r="N1488" i="11"/>
  <c r="N1487" i="11"/>
  <c r="N1486" i="11"/>
  <c r="N1485" i="11"/>
  <c r="N1484" i="11"/>
  <c r="N1483" i="11"/>
  <c r="N1482" i="11"/>
  <c r="N1481" i="11"/>
  <c r="N1480" i="11"/>
  <c r="N1479" i="11"/>
  <c r="N1478" i="11"/>
  <c r="N1477" i="11"/>
  <c r="N1476" i="11"/>
  <c r="N1475" i="11"/>
  <c r="N1474" i="11"/>
  <c r="N1473" i="11"/>
  <c r="N1472" i="11"/>
  <c r="N1471" i="11"/>
  <c r="N1470" i="11"/>
  <c r="N1469" i="11"/>
  <c r="N1468" i="11"/>
  <c r="N1467" i="11"/>
  <c r="N1466" i="11"/>
  <c r="N1465" i="11"/>
  <c r="N1464" i="11"/>
  <c r="N1463" i="11"/>
  <c r="N1462" i="11"/>
  <c r="N1461" i="11"/>
  <c r="N1460" i="11"/>
  <c r="N1459" i="11"/>
  <c r="N1458" i="11"/>
  <c r="N1457" i="11"/>
  <c r="N1456" i="11"/>
  <c r="N1455" i="11"/>
  <c r="N1454" i="11"/>
  <c r="N1453" i="11"/>
  <c r="N1452" i="11"/>
  <c r="N1451" i="11"/>
  <c r="N1450" i="11"/>
  <c r="N1449" i="11"/>
  <c r="N1448" i="11"/>
  <c r="N1447" i="11"/>
  <c r="N1446" i="11"/>
  <c r="N1445" i="11"/>
  <c r="N1444" i="11"/>
  <c r="N1443" i="11"/>
  <c r="N1442" i="11"/>
  <c r="N1441" i="11"/>
  <c r="N1440" i="11"/>
  <c r="N1439" i="11"/>
  <c r="N1438" i="11"/>
  <c r="N1437" i="11"/>
  <c r="N1436" i="11"/>
  <c r="N1435" i="11"/>
  <c r="N1434" i="11"/>
  <c r="N1433" i="11"/>
  <c r="N1432" i="11"/>
  <c r="N1431" i="11"/>
  <c r="N1430" i="11"/>
  <c r="N1429" i="11"/>
  <c r="N1428" i="11"/>
  <c r="N1427" i="11"/>
  <c r="N1426" i="11"/>
  <c r="N1425" i="11"/>
  <c r="N1424" i="11"/>
  <c r="N1423" i="11"/>
  <c r="N1422" i="11"/>
  <c r="N1421" i="11"/>
  <c r="N1420" i="11"/>
  <c r="N1419" i="11"/>
  <c r="N1418" i="11"/>
  <c r="N1417" i="11"/>
  <c r="N1416" i="11"/>
  <c r="N1415" i="11"/>
  <c r="N1414" i="11"/>
  <c r="N1413" i="11"/>
  <c r="N1412" i="11"/>
  <c r="N1411" i="11"/>
  <c r="N1410" i="11"/>
  <c r="N1409" i="11"/>
  <c r="N1408" i="11"/>
  <c r="N1407" i="11"/>
  <c r="N1406" i="11"/>
  <c r="N1405" i="11"/>
  <c r="N1404" i="11"/>
  <c r="N1403" i="11"/>
  <c r="N1402" i="11"/>
  <c r="N1401" i="11"/>
  <c r="N1400" i="11"/>
  <c r="N1399" i="11"/>
  <c r="N1398" i="11"/>
  <c r="N1397" i="11"/>
  <c r="N1396" i="11"/>
  <c r="N1395" i="11"/>
  <c r="N1394" i="11"/>
  <c r="N1393" i="11"/>
  <c r="N1392" i="11"/>
  <c r="N1391" i="11"/>
  <c r="N1390" i="11"/>
  <c r="N1389" i="11"/>
  <c r="N1388" i="11"/>
  <c r="N1387" i="11"/>
  <c r="N1386" i="11"/>
  <c r="N1385" i="11"/>
  <c r="N1384" i="11"/>
  <c r="N1383" i="11"/>
  <c r="N1382" i="11"/>
  <c r="N1381" i="11"/>
  <c r="N1380" i="11"/>
  <c r="N1379" i="11"/>
  <c r="N1378" i="11"/>
  <c r="N1377" i="11"/>
  <c r="N1376" i="11"/>
  <c r="N1375" i="11"/>
  <c r="N1374" i="11"/>
  <c r="N1373" i="11"/>
  <c r="N1372" i="11"/>
  <c r="N1371" i="11"/>
  <c r="N1370" i="11"/>
  <c r="N1369" i="11"/>
  <c r="N1368" i="11"/>
  <c r="N1367" i="11"/>
  <c r="N1366" i="11"/>
  <c r="N1365" i="11"/>
  <c r="N1364" i="11"/>
  <c r="N1363" i="11"/>
  <c r="N1362" i="11"/>
  <c r="N1361" i="11"/>
  <c r="N1360" i="11"/>
  <c r="N1359" i="11"/>
  <c r="N1358" i="11"/>
  <c r="N1357" i="11"/>
  <c r="N1356" i="11"/>
  <c r="N1355" i="11"/>
  <c r="N1354" i="11"/>
  <c r="N1353" i="11"/>
  <c r="N1352" i="11"/>
  <c r="N1351" i="11"/>
  <c r="N1350" i="11"/>
  <c r="N1349" i="11"/>
  <c r="N1348" i="11"/>
  <c r="N1347" i="11"/>
  <c r="N1346" i="11"/>
  <c r="N1345" i="11"/>
  <c r="N1344" i="11"/>
  <c r="N1343" i="11"/>
  <c r="N1342" i="11"/>
  <c r="N1341" i="11"/>
  <c r="N1340" i="11"/>
  <c r="N1339" i="11"/>
  <c r="N1338" i="11"/>
  <c r="N1337" i="11"/>
  <c r="N1336" i="11"/>
  <c r="N1335" i="11"/>
  <c r="N1334" i="11"/>
  <c r="N1333" i="11"/>
  <c r="N1332" i="11"/>
  <c r="N1331" i="11"/>
  <c r="N1330" i="11"/>
  <c r="N1329" i="11"/>
  <c r="N1328" i="11"/>
  <c r="N1327" i="11"/>
  <c r="N1326" i="11"/>
  <c r="N1325" i="11"/>
  <c r="N1324" i="11"/>
  <c r="N1323" i="11"/>
  <c r="N1322" i="11"/>
  <c r="N1321" i="11"/>
  <c r="N1320" i="11"/>
  <c r="N1319" i="11"/>
  <c r="N1318" i="11"/>
  <c r="N1317" i="11"/>
  <c r="N1316" i="11"/>
  <c r="N1315" i="11"/>
  <c r="N1314" i="11"/>
  <c r="N1313" i="11"/>
  <c r="N1312" i="11"/>
  <c r="N1311" i="11"/>
  <c r="N1310" i="11"/>
  <c r="N1309" i="11"/>
  <c r="N1308" i="11"/>
  <c r="N1307" i="11"/>
  <c r="N1306" i="11"/>
  <c r="N1305" i="11"/>
  <c r="N1304" i="11"/>
  <c r="N1303" i="11"/>
  <c r="N1302" i="11"/>
  <c r="N1301" i="11"/>
  <c r="N1300" i="11"/>
  <c r="N1299" i="11"/>
  <c r="N1298" i="11"/>
  <c r="N1297" i="11"/>
  <c r="N1296" i="11"/>
  <c r="N1295" i="11"/>
  <c r="N1294" i="11"/>
  <c r="N1293" i="11"/>
  <c r="N1292" i="11"/>
  <c r="N1291" i="11"/>
  <c r="N1290" i="11"/>
  <c r="N1289" i="11"/>
  <c r="N1288" i="11"/>
  <c r="N1287" i="11"/>
  <c r="N1286" i="11"/>
  <c r="N1285" i="11"/>
  <c r="N1284" i="11"/>
  <c r="N1283" i="11"/>
  <c r="N1282" i="11"/>
  <c r="N1281" i="11"/>
  <c r="N1280" i="11"/>
  <c r="N1279" i="11"/>
  <c r="N1278" i="11"/>
  <c r="N1277" i="11"/>
  <c r="N1276" i="11"/>
  <c r="N1275" i="11"/>
  <c r="N1274" i="11"/>
  <c r="N1273" i="11"/>
  <c r="N1272" i="11"/>
  <c r="N1271" i="11"/>
  <c r="N1270" i="11"/>
  <c r="N1269" i="11"/>
  <c r="N1268" i="11"/>
  <c r="N1267" i="11"/>
  <c r="N1266" i="11"/>
  <c r="N1265" i="11"/>
  <c r="N1264" i="11"/>
  <c r="N1263" i="11"/>
  <c r="N1262" i="11"/>
  <c r="N1261" i="11"/>
  <c r="N1260" i="11"/>
  <c r="N1259" i="11"/>
  <c r="N1258" i="11"/>
  <c r="N1257" i="11"/>
  <c r="N1256" i="11"/>
  <c r="N1255" i="11"/>
  <c r="N1254" i="11"/>
  <c r="N1253" i="11"/>
  <c r="N1252" i="11"/>
  <c r="N1251" i="11"/>
  <c r="N1250" i="11"/>
  <c r="N1249" i="11"/>
  <c r="N1248" i="11"/>
  <c r="N1247" i="11"/>
  <c r="N1246" i="11"/>
  <c r="N1245" i="11"/>
  <c r="N1244" i="11"/>
  <c r="N1243" i="11"/>
  <c r="N1242" i="11"/>
  <c r="N1241" i="11"/>
  <c r="N1240" i="11"/>
  <c r="N1239" i="11"/>
  <c r="N1238" i="11"/>
  <c r="N1237" i="11"/>
  <c r="N1236" i="11"/>
  <c r="N1235" i="11"/>
  <c r="N1234" i="11"/>
  <c r="N1233" i="11"/>
  <c r="N1232" i="11"/>
  <c r="N1231" i="11"/>
  <c r="N1230" i="11"/>
  <c r="N1229" i="11"/>
  <c r="N1228" i="11"/>
  <c r="N1227" i="11"/>
  <c r="N1226" i="11"/>
  <c r="N1225" i="11"/>
  <c r="N1224" i="11"/>
  <c r="N1223" i="11"/>
  <c r="N1222" i="11"/>
  <c r="N1221" i="11"/>
  <c r="N1220" i="11"/>
  <c r="N1219" i="11"/>
  <c r="N1218" i="11"/>
  <c r="N1217" i="11"/>
  <c r="N1216" i="11"/>
  <c r="N1215" i="11"/>
  <c r="N1214" i="11"/>
  <c r="N1213" i="11"/>
  <c r="N1212" i="11"/>
  <c r="N1211" i="11"/>
  <c r="N1210" i="11"/>
  <c r="N1209" i="11"/>
  <c r="N1208" i="11"/>
  <c r="N1207" i="11"/>
  <c r="N1206" i="11"/>
  <c r="N1205" i="11"/>
  <c r="N1204" i="11"/>
  <c r="N1203" i="11"/>
  <c r="N1202" i="11"/>
  <c r="N1201" i="11"/>
  <c r="N1200" i="11"/>
  <c r="N1199" i="11"/>
  <c r="N1198" i="11"/>
  <c r="N1197" i="11"/>
  <c r="N1196" i="11"/>
  <c r="N1195" i="11"/>
  <c r="N1194" i="11"/>
  <c r="N1193" i="11"/>
  <c r="N1192" i="11"/>
  <c r="N1191" i="11"/>
  <c r="N1190" i="11"/>
  <c r="N1189" i="11"/>
  <c r="N1188" i="11"/>
  <c r="N1187" i="11"/>
  <c r="N1186" i="11"/>
  <c r="N1185" i="11"/>
  <c r="N1184" i="11"/>
  <c r="N1183" i="11"/>
  <c r="N1182" i="11"/>
  <c r="N1181" i="11"/>
  <c r="N1180" i="11"/>
  <c r="N1179" i="11"/>
  <c r="N1178" i="11"/>
  <c r="N1177" i="11"/>
  <c r="N1176" i="11"/>
  <c r="N1175" i="11"/>
  <c r="N1174" i="11"/>
  <c r="N1173" i="11"/>
  <c r="N1172" i="11"/>
  <c r="N1171" i="11"/>
  <c r="N1170" i="11"/>
  <c r="N1169" i="11"/>
  <c r="N1168" i="11"/>
  <c r="N1167" i="11"/>
  <c r="N1166" i="11"/>
  <c r="N1165" i="11"/>
  <c r="N1164" i="11"/>
  <c r="N1163" i="11"/>
  <c r="N1162" i="11"/>
  <c r="N1161" i="11"/>
  <c r="N1160" i="11"/>
  <c r="N1159" i="11"/>
  <c r="N1158" i="11"/>
  <c r="N1157" i="11"/>
  <c r="N1156" i="11"/>
  <c r="N1155" i="11"/>
  <c r="N1154" i="11"/>
  <c r="N1153" i="11"/>
  <c r="N1152" i="11"/>
  <c r="N1151" i="11"/>
  <c r="N1150" i="11"/>
  <c r="N1149" i="11"/>
  <c r="N1148" i="11"/>
  <c r="N1147" i="11"/>
  <c r="N1146" i="11"/>
  <c r="N1145" i="11"/>
  <c r="N1144" i="11"/>
  <c r="N1143" i="11"/>
  <c r="N1142" i="11"/>
  <c r="N1141" i="11"/>
  <c r="N1140" i="11"/>
  <c r="N1139" i="11"/>
  <c r="N1138" i="11"/>
  <c r="N1137" i="11"/>
  <c r="N1136" i="11"/>
  <c r="N1135" i="11"/>
  <c r="N1134" i="11"/>
  <c r="N1133" i="11"/>
  <c r="N1132" i="11"/>
  <c r="N1131" i="11"/>
  <c r="N1130" i="11"/>
  <c r="N1129" i="11"/>
  <c r="N1128" i="11"/>
  <c r="N1127" i="11"/>
  <c r="N1126" i="11"/>
  <c r="N1125" i="11"/>
  <c r="N1124" i="11"/>
  <c r="N1123" i="11"/>
  <c r="N1122" i="11"/>
  <c r="N1121" i="11"/>
  <c r="N1120" i="11"/>
  <c r="N1119" i="11"/>
  <c r="N1118" i="11"/>
  <c r="N1117" i="11"/>
  <c r="N1116" i="11"/>
  <c r="N1115" i="11"/>
  <c r="N1114" i="11"/>
  <c r="N1113" i="11"/>
  <c r="N1112" i="11"/>
  <c r="N1111" i="11"/>
  <c r="N1110" i="11"/>
  <c r="N1109" i="11"/>
  <c r="N1108" i="11"/>
  <c r="N1107" i="11"/>
  <c r="N1106" i="11"/>
  <c r="N1105" i="11"/>
  <c r="N1104" i="11"/>
  <c r="N1103" i="11"/>
  <c r="N1102" i="11"/>
  <c r="N1101" i="11"/>
  <c r="N1100" i="11"/>
  <c r="N1099" i="11"/>
  <c r="N1098" i="11"/>
  <c r="N1097" i="11"/>
  <c r="N1096" i="11"/>
  <c r="N1095" i="11"/>
  <c r="N1094" i="11"/>
  <c r="N1093" i="11"/>
  <c r="N1092" i="11"/>
  <c r="N1091" i="11"/>
  <c r="N1090" i="11"/>
  <c r="N1089" i="11"/>
  <c r="N1088" i="11"/>
  <c r="N1087" i="11"/>
  <c r="N1086" i="11"/>
  <c r="N1085" i="11"/>
  <c r="N1084" i="11"/>
  <c r="N1083" i="11"/>
  <c r="N1082" i="11"/>
  <c r="N1081" i="11"/>
  <c r="N1080" i="11"/>
  <c r="N1079" i="11"/>
  <c r="N1078" i="11"/>
  <c r="N1077" i="11"/>
  <c r="N1076" i="11"/>
  <c r="N1075" i="11"/>
  <c r="N1074" i="11"/>
  <c r="N1073" i="11"/>
  <c r="N1072" i="11"/>
  <c r="N1071" i="11"/>
  <c r="N1070" i="11"/>
  <c r="N1069" i="11"/>
  <c r="N1068" i="11"/>
  <c r="N1067" i="11"/>
  <c r="N1066" i="11"/>
  <c r="N1065" i="11"/>
  <c r="N1064" i="11"/>
  <c r="N1063" i="11"/>
  <c r="N1062" i="11"/>
  <c r="N1061" i="11"/>
  <c r="N1060" i="11"/>
  <c r="N1059" i="11"/>
  <c r="N1058" i="11"/>
  <c r="N1057" i="11"/>
  <c r="N1056" i="11"/>
  <c r="N1055" i="11"/>
  <c r="N1054" i="11"/>
  <c r="N1053" i="11"/>
  <c r="N1052" i="11"/>
  <c r="N1051" i="11"/>
  <c r="N1050" i="11"/>
  <c r="N1049" i="11"/>
  <c r="N1048" i="11"/>
  <c r="N1047" i="11"/>
  <c r="N1046" i="11"/>
  <c r="N1045" i="11"/>
  <c r="N1044" i="11"/>
  <c r="N1043" i="11"/>
  <c r="N1042" i="11"/>
  <c r="N1041" i="11"/>
  <c r="N1040" i="11"/>
  <c r="N1039" i="11"/>
  <c r="N1038" i="11"/>
  <c r="N1037" i="11"/>
  <c r="N1036" i="11"/>
  <c r="N1035" i="11"/>
  <c r="N1034" i="11"/>
  <c r="N1033" i="11"/>
  <c r="N1032" i="11"/>
  <c r="N1031" i="11"/>
  <c r="N1030" i="11"/>
  <c r="N1029" i="11"/>
  <c r="N1028" i="11"/>
  <c r="N1027" i="11"/>
  <c r="N1026" i="11"/>
  <c r="N1025" i="11"/>
  <c r="N1024" i="11"/>
  <c r="N1023" i="11"/>
  <c r="N1022" i="11"/>
  <c r="N1021" i="11"/>
  <c r="N1020" i="11"/>
  <c r="N1019" i="11"/>
  <c r="N1018" i="11"/>
  <c r="N1017" i="11"/>
  <c r="N1016" i="11"/>
  <c r="N1015" i="11"/>
  <c r="N1014" i="11"/>
  <c r="N1013" i="11"/>
  <c r="N1012" i="11"/>
  <c r="N1011" i="11"/>
  <c r="N1010" i="11"/>
  <c r="N1009" i="11"/>
  <c r="N1008" i="11"/>
  <c r="N1007" i="11"/>
  <c r="N1006" i="11"/>
  <c r="N1005" i="11"/>
  <c r="N1004" i="11"/>
  <c r="N1003" i="11"/>
  <c r="N1002" i="11"/>
  <c r="N1001" i="11"/>
  <c r="N1000" i="11"/>
  <c r="N999" i="11"/>
  <c r="N998" i="11"/>
  <c r="N997" i="11"/>
  <c r="N996" i="11"/>
  <c r="N995" i="11"/>
  <c r="N994" i="11"/>
  <c r="N993" i="11"/>
  <c r="N992" i="11"/>
  <c r="N991" i="11"/>
  <c r="N990" i="11"/>
  <c r="N989" i="11"/>
  <c r="N988" i="11"/>
  <c r="N987" i="11"/>
  <c r="N986" i="11"/>
  <c r="N985" i="11"/>
  <c r="N984" i="11"/>
  <c r="N983" i="11"/>
  <c r="N982" i="11"/>
  <c r="N981" i="11"/>
  <c r="N980" i="11"/>
  <c r="N979" i="11"/>
  <c r="N978" i="11"/>
  <c r="N977" i="11"/>
  <c r="N976" i="11"/>
  <c r="N975" i="11"/>
  <c r="N974" i="11"/>
  <c r="N973" i="11"/>
  <c r="N972" i="11"/>
  <c r="N971" i="11"/>
  <c r="N970" i="11"/>
  <c r="N969" i="11"/>
  <c r="N968" i="11"/>
  <c r="N967" i="11"/>
  <c r="N966" i="11"/>
  <c r="N965" i="11"/>
  <c r="N964" i="11"/>
  <c r="N963" i="11"/>
  <c r="N962" i="11"/>
  <c r="N961" i="11"/>
  <c r="N960" i="11"/>
  <c r="N959" i="11"/>
  <c r="N958" i="11"/>
  <c r="N957" i="11"/>
  <c r="N956" i="11"/>
  <c r="N955" i="11"/>
  <c r="N954" i="11"/>
  <c r="N953" i="11"/>
  <c r="N952" i="11"/>
  <c r="N951" i="11"/>
  <c r="N950" i="11"/>
  <c r="N949" i="11"/>
  <c r="N948" i="11"/>
  <c r="N947" i="11"/>
  <c r="N946" i="11"/>
  <c r="N945" i="11"/>
  <c r="N944" i="11"/>
  <c r="N943" i="11"/>
  <c r="N942" i="11"/>
  <c r="N941" i="11"/>
  <c r="N940" i="11"/>
  <c r="N939" i="11"/>
  <c r="N938" i="11"/>
  <c r="N937" i="11"/>
  <c r="N936" i="11"/>
  <c r="N935" i="11"/>
  <c r="N934" i="11"/>
  <c r="N933" i="11"/>
  <c r="N932" i="11"/>
  <c r="N931" i="11"/>
  <c r="N930" i="11"/>
  <c r="N929" i="11"/>
  <c r="N928" i="11"/>
  <c r="N927" i="11"/>
  <c r="N926" i="11"/>
  <c r="N925" i="11"/>
  <c r="N924" i="11"/>
  <c r="N923" i="11"/>
  <c r="N922" i="11"/>
  <c r="N921" i="11"/>
  <c r="N920" i="11"/>
  <c r="N919" i="11"/>
  <c r="N918" i="11"/>
  <c r="N917" i="11"/>
  <c r="N916" i="11"/>
  <c r="N915" i="11"/>
  <c r="N914" i="11"/>
  <c r="N913" i="11"/>
  <c r="N912" i="11"/>
  <c r="N911" i="11"/>
  <c r="N910" i="11"/>
  <c r="N909" i="11"/>
  <c r="N908" i="11"/>
  <c r="N907" i="11"/>
  <c r="N906" i="11"/>
  <c r="N905" i="11"/>
  <c r="N904" i="11"/>
  <c r="N903" i="11"/>
  <c r="N902" i="11"/>
  <c r="N901" i="11"/>
  <c r="N900" i="11"/>
  <c r="N899" i="11"/>
  <c r="N898" i="11"/>
  <c r="N897" i="11"/>
  <c r="N896" i="11"/>
  <c r="N895" i="11"/>
  <c r="N894" i="11"/>
  <c r="N893" i="11"/>
  <c r="N892" i="11"/>
  <c r="N891" i="11"/>
  <c r="N890" i="11"/>
  <c r="N889" i="11"/>
  <c r="N888" i="11"/>
  <c r="N887" i="11"/>
  <c r="N886" i="11"/>
  <c r="N885" i="11"/>
  <c r="N884" i="11"/>
  <c r="N883" i="11"/>
  <c r="N882" i="11"/>
  <c r="N881" i="11"/>
  <c r="N880" i="11"/>
  <c r="N879" i="11"/>
  <c r="N878" i="11"/>
  <c r="N877" i="11"/>
  <c r="N876" i="11"/>
  <c r="N875" i="11"/>
  <c r="N874" i="11"/>
  <c r="N873" i="11"/>
  <c r="N872" i="11"/>
  <c r="N871" i="11"/>
  <c r="N870" i="11"/>
  <c r="N869" i="11"/>
  <c r="N868" i="11"/>
  <c r="N867" i="11"/>
  <c r="N866" i="11"/>
  <c r="N865" i="11"/>
  <c r="N864" i="11"/>
  <c r="N863" i="11"/>
  <c r="N862" i="11"/>
  <c r="N861" i="11"/>
  <c r="N860" i="11"/>
  <c r="N859" i="11"/>
  <c r="N858" i="11"/>
  <c r="N857" i="11"/>
  <c r="N856" i="11"/>
  <c r="N855" i="11"/>
  <c r="N854" i="11"/>
  <c r="N853" i="11"/>
  <c r="N852" i="11"/>
  <c r="N851" i="11"/>
  <c r="N850" i="11"/>
  <c r="N849" i="11"/>
  <c r="N848" i="11"/>
  <c r="N847" i="11"/>
  <c r="N846" i="11"/>
  <c r="N845" i="11"/>
  <c r="N844" i="11"/>
  <c r="N843" i="11"/>
  <c r="N842" i="11"/>
  <c r="N841" i="11"/>
  <c r="N840" i="11"/>
  <c r="N839" i="11"/>
  <c r="N838" i="11"/>
  <c r="N837" i="11"/>
  <c r="N836" i="11"/>
  <c r="N835" i="11"/>
  <c r="N834" i="11"/>
  <c r="N833" i="11"/>
  <c r="N832" i="11"/>
  <c r="N831" i="11"/>
  <c r="N830" i="11"/>
  <c r="N829" i="11"/>
  <c r="N828" i="11"/>
  <c r="N827" i="11"/>
  <c r="N826" i="11"/>
  <c r="N825" i="11"/>
  <c r="N824" i="11"/>
  <c r="N823" i="11"/>
  <c r="N822" i="11"/>
  <c r="N821" i="11"/>
  <c r="N820" i="11"/>
  <c r="N819" i="11"/>
  <c r="N818" i="11"/>
  <c r="N817" i="11"/>
  <c r="N816" i="11"/>
  <c r="N815" i="11"/>
  <c r="N814" i="11"/>
  <c r="N813" i="11"/>
  <c r="N812" i="11"/>
  <c r="N811" i="11"/>
  <c r="N810" i="11"/>
  <c r="N809" i="11"/>
  <c r="N808" i="11"/>
  <c r="N807" i="11"/>
  <c r="N806" i="11"/>
  <c r="N805" i="11"/>
  <c r="N804" i="11"/>
  <c r="N803" i="11"/>
  <c r="N802" i="11"/>
  <c r="N801" i="11"/>
  <c r="N800" i="11"/>
  <c r="N799" i="11"/>
  <c r="N798" i="11"/>
  <c r="N797" i="11"/>
  <c r="N796" i="11"/>
  <c r="N795" i="11"/>
  <c r="N794" i="11"/>
  <c r="N793" i="11"/>
  <c r="N792" i="11"/>
  <c r="N791" i="11"/>
  <c r="N790" i="11"/>
  <c r="N789" i="11"/>
  <c r="N788" i="11"/>
  <c r="N787" i="11"/>
  <c r="N786" i="11"/>
  <c r="N785" i="11"/>
  <c r="N784" i="11"/>
  <c r="N783" i="11"/>
  <c r="N782" i="11"/>
  <c r="N781" i="11"/>
  <c r="N780" i="11"/>
  <c r="N779" i="11"/>
  <c r="N778" i="11"/>
  <c r="N777" i="11"/>
  <c r="N776" i="11"/>
  <c r="N775" i="11"/>
  <c r="N774" i="11"/>
  <c r="N773" i="11"/>
  <c r="N772" i="11"/>
  <c r="N771" i="11"/>
  <c r="N770" i="11"/>
  <c r="N769" i="11"/>
  <c r="N768" i="11"/>
  <c r="N767" i="11"/>
  <c r="N766" i="11"/>
  <c r="N765" i="11"/>
  <c r="N764" i="11"/>
  <c r="N763" i="11"/>
  <c r="N762" i="11"/>
  <c r="N761" i="11"/>
  <c r="N760" i="11"/>
  <c r="N759" i="11"/>
  <c r="N758" i="11"/>
  <c r="N757" i="11"/>
  <c r="N756" i="11"/>
  <c r="N755" i="11"/>
  <c r="N754" i="11"/>
  <c r="N753" i="11"/>
  <c r="N752" i="11"/>
  <c r="N751" i="11"/>
  <c r="N750" i="11"/>
  <c r="N749" i="11"/>
  <c r="N748" i="11"/>
  <c r="N747" i="11"/>
  <c r="N746" i="11"/>
  <c r="N745" i="11"/>
  <c r="N744" i="11"/>
  <c r="N743" i="11"/>
  <c r="N742" i="11"/>
  <c r="N741" i="11"/>
  <c r="N740" i="11"/>
  <c r="N739" i="11"/>
  <c r="N738" i="11"/>
  <c r="N737" i="11"/>
  <c r="N736" i="11"/>
  <c r="N735" i="11"/>
  <c r="N734" i="11"/>
  <c r="N733" i="11"/>
  <c r="N732" i="11"/>
  <c r="N731" i="11"/>
  <c r="N730" i="11"/>
  <c r="N729" i="11"/>
  <c r="N728" i="11"/>
  <c r="N727" i="11"/>
  <c r="N726" i="11"/>
  <c r="N725" i="11"/>
  <c r="N724" i="11"/>
  <c r="N723" i="11"/>
  <c r="N722" i="11"/>
  <c r="N721" i="11"/>
  <c r="N720" i="11"/>
  <c r="N719" i="11"/>
  <c r="N718" i="11"/>
  <c r="N717" i="11"/>
  <c r="N716" i="11"/>
  <c r="N715" i="11"/>
  <c r="N714" i="11"/>
  <c r="N713" i="11"/>
  <c r="N712" i="11"/>
  <c r="N711" i="11"/>
  <c r="N710" i="11"/>
  <c r="N709" i="11"/>
  <c r="N708" i="11"/>
  <c r="N707" i="11"/>
  <c r="N706" i="11"/>
  <c r="N705" i="11"/>
  <c r="N704" i="11"/>
  <c r="N703" i="11"/>
  <c r="N702" i="11"/>
  <c r="N701" i="11"/>
  <c r="N700" i="11"/>
  <c r="N699" i="11"/>
  <c r="N698" i="11"/>
  <c r="N697" i="11"/>
  <c r="N696" i="11"/>
  <c r="N695" i="11"/>
  <c r="N694" i="11"/>
  <c r="N693" i="11"/>
  <c r="N692" i="11"/>
  <c r="N691" i="11"/>
  <c r="N690" i="11"/>
  <c r="N689" i="11"/>
  <c r="N688" i="11"/>
  <c r="N687" i="11"/>
  <c r="N686" i="11"/>
  <c r="N685" i="11"/>
  <c r="N684" i="11"/>
  <c r="N683" i="11"/>
  <c r="N682" i="11"/>
  <c r="N681" i="11"/>
  <c r="N680" i="11"/>
  <c r="N679" i="11"/>
  <c r="N678" i="11"/>
  <c r="N677" i="11"/>
  <c r="N676" i="11"/>
  <c r="N675" i="11"/>
  <c r="N674" i="11"/>
  <c r="N673" i="11"/>
  <c r="N672" i="11"/>
  <c r="N671" i="11"/>
  <c r="N670" i="11"/>
  <c r="N669" i="11"/>
  <c r="N668" i="11"/>
  <c r="N667" i="11"/>
  <c r="N666" i="11"/>
  <c r="N665" i="11"/>
  <c r="N664" i="11"/>
  <c r="N663" i="11"/>
  <c r="N662" i="11"/>
  <c r="N661" i="11"/>
  <c r="N660" i="11"/>
  <c r="N659" i="11"/>
  <c r="N658" i="11"/>
  <c r="N657" i="11"/>
  <c r="N656" i="11"/>
  <c r="N655" i="11"/>
  <c r="N654" i="11"/>
  <c r="N653" i="11"/>
  <c r="N652" i="11"/>
  <c r="N651" i="11"/>
  <c r="N650" i="11"/>
  <c r="N649" i="11"/>
  <c r="N648" i="11"/>
  <c r="N647" i="11"/>
  <c r="N646" i="11"/>
  <c r="N645" i="11"/>
  <c r="N644" i="11"/>
  <c r="N643" i="11"/>
  <c r="N642" i="11"/>
  <c r="N641" i="11"/>
  <c r="N640" i="11"/>
  <c r="N639" i="11"/>
  <c r="N638" i="11"/>
  <c r="N637" i="11"/>
  <c r="N636" i="11"/>
  <c r="N635" i="11"/>
  <c r="N634" i="11"/>
  <c r="N633" i="11"/>
  <c r="N632" i="11"/>
  <c r="N631" i="11"/>
  <c r="N630" i="11"/>
  <c r="N629" i="11"/>
  <c r="N628" i="11"/>
  <c r="N627" i="11"/>
  <c r="N626" i="11"/>
  <c r="N625" i="11"/>
  <c r="N624" i="11"/>
  <c r="N623" i="11"/>
  <c r="N622" i="11"/>
  <c r="N621" i="11"/>
  <c r="N620" i="11"/>
  <c r="N619" i="11"/>
  <c r="N618" i="11"/>
  <c r="N617" i="11"/>
  <c r="N616" i="11"/>
  <c r="N615" i="11"/>
  <c r="N614" i="11"/>
  <c r="N613" i="11"/>
  <c r="N612" i="11"/>
  <c r="N611" i="11"/>
  <c r="N610" i="11"/>
  <c r="N609" i="11"/>
  <c r="N608" i="11"/>
  <c r="N607" i="11"/>
  <c r="N606" i="11"/>
  <c r="N605" i="11"/>
  <c r="N604" i="11"/>
  <c r="N603" i="11"/>
  <c r="N602" i="11"/>
  <c r="N601" i="11"/>
  <c r="N600" i="11"/>
  <c r="N599" i="11"/>
  <c r="N598" i="11"/>
  <c r="N597" i="11"/>
  <c r="N596" i="11"/>
  <c r="N595" i="11"/>
  <c r="N594" i="11"/>
  <c r="N593" i="11"/>
  <c r="N592" i="11"/>
  <c r="N591" i="11"/>
  <c r="N590" i="11"/>
  <c r="N589" i="11"/>
  <c r="N588" i="11"/>
  <c r="N587" i="11"/>
  <c r="N586" i="11"/>
  <c r="N585" i="11"/>
  <c r="N584" i="11"/>
  <c r="N583" i="11"/>
  <c r="N582" i="11"/>
  <c r="N581" i="11"/>
  <c r="N580" i="11"/>
  <c r="N579" i="11"/>
  <c r="N578" i="11"/>
  <c r="N577" i="11"/>
  <c r="N576" i="11"/>
  <c r="N575" i="11"/>
  <c r="N574" i="11"/>
  <c r="N573" i="11"/>
  <c r="N572" i="11"/>
  <c r="N571" i="11"/>
  <c r="N570" i="11"/>
  <c r="N569" i="11"/>
  <c r="N568" i="11"/>
  <c r="N567" i="11"/>
  <c r="N566" i="11"/>
  <c r="N565" i="11"/>
  <c r="N564" i="11"/>
  <c r="N563" i="11"/>
  <c r="N562" i="11"/>
  <c r="N561" i="11"/>
  <c r="N560" i="11"/>
  <c r="N559" i="11"/>
  <c r="N558" i="11"/>
  <c r="N557" i="11"/>
  <c r="N556" i="11"/>
  <c r="N555" i="11"/>
  <c r="N554" i="11"/>
  <c r="N553" i="11"/>
  <c r="N552" i="11"/>
  <c r="N551" i="11"/>
  <c r="N550" i="11"/>
  <c r="N549" i="11"/>
  <c r="N548" i="11"/>
  <c r="N547" i="11"/>
  <c r="N546" i="11"/>
  <c r="N545" i="11"/>
  <c r="N544" i="11"/>
  <c r="N543" i="11"/>
  <c r="N542" i="11"/>
  <c r="N541" i="11"/>
  <c r="N540" i="11"/>
  <c r="N539" i="11"/>
  <c r="N538" i="11"/>
  <c r="N537" i="11"/>
  <c r="N536" i="11"/>
  <c r="N535" i="11"/>
  <c r="N534" i="11"/>
  <c r="N533" i="11"/>
  <c r="N532" i="11"/>
  <c r="N531" i="11"/>
  <c r="N530" i="11"/>
  <c r="N529" i="11"/>
  <c r="N528" i="11"/>
  <c r="N527" i="11"/>
  <c r="N526" i="11"/>
  <c r="N525" i="11"/>
  <c r="N524" i="11"/>
  <c r="N523" i="11"/>
  <c r="N522" i="11"/>
  <c r="N521" i="11"/>
  <c r="N520" i="11"/>
  <c r="N519" i="11"/>
  <c r="N518" i="11"/>
  <c r="N517" i="11"/>
  <c r="N516" i="11"/>
  <c r="N515" i="11"/>
  <c r="N514" i="11"/>
  <c r="N513" i="11"/>
  <c r="N512" i="11"/>
  <c r="N511" i="11"/>
  <c r="N510" i="11"/>
  <c r="N509" i="11"/>
  <c r="N508" i="11"/>
  <c r="N507" i="11"/>
  <c r="N506" i="11"/>
  <c r="N505" i="11"/>
  <c r="N504" i="11"/>
  <c r="N503" i="11"/>
  <c r="N502" i="11"/>
  <c r="N501" i="11"/>
  <c r="N500" i="11"/>
  <c r="N499" i="11"/>
  <c r="N498" i="11"/>
  <c r="N497" i="11"/>
  <c r="N496" i="11"/>
  <c r="N495" i="11"/>
  <c r="N494" i="11"/>
  <c r="N493" i="11"/>
  <c r="N492" i="11"/>
  <c r="N491" i="11"/>
  <c r="N490" i="11"/>
  <c r="N489" i="11"/>
  <c r="N488" i="11"/>
  <c r="N487" i="11"/>
  <c r="N486" i="11"/>
  <c r="N485" i="11"/>
  <c r="N484" i="11"/>
  <c r="N483" i="11"/>
  <c r="N482" i="11"/>
  <c r="N481" i="11"/>
  <c r="N480" i="11"/>
  <c r="N479" i="11"/>
  <c r="N478" i="11"/>
  <c r="N477" i="11"/>
  <c r="N476" i="11"/>
  <c r="N475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44" i="11"/>
  <c r="N443" i="11"/>
  <c r="N442" i="11"/>
  <c r="N441" i="11"/>
  <c r="N440" i="11"/>
  <c r="N439" i="11"/>
  <c r="N438" i="11"/>
  <c r="N437" i="11"/>
  <c r="N436" i="11"/>
  <c r="N435" i="11"/>
  <c r="N434" i="11"/>
  <c r="N433" i="11"/>
  <c r="N432" i="11"/>
  <c r="N431" i="11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74" i="11"/>
  <c r="N373" i="11"/>
  <c r="N372" i="11"/>
  <c r="N371" i="11"/>
  <c r="N370" i="11"/>
  <c r="N369" i="11"/>
  <c r="N368" i="11"/>
  <c r="N367" i="11"/>
  <c r="N366" i="11"/>
  <c r="N365" i="11"/>
  <c r="N364" i="11"/>
  <c r="N363" i="11"/>
  <c r="N362" i="11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2" i="11"/>
  <c r="U53" i="11"/>
  <c r="U54" i="11"/>
  <c r="U32" i="11"/>
  <c r="U55" i="11"/>
  <c r="U56" i="11"/>
  <c r="U59" i="11"/>
  <c r="U60" i="11"/>
  <c r="U61" i="11"/>
  <c r="U62" i="11"/>
  <c r="U63" i="11"/>
  <c r="U64" i="11"/>
  <c r="U65" i="11"/>
  <c r="U66" i="11"/>
  <c r="U68" i="11"/>
  <c r="U69" i="11"/>
  <c r="U70" i="11"/>
  <c r="U71" i="11"/>
  <c r="U72" i="11"/>
  <c r="U73" i="11"/>
  <c r="U74" i="11"/>
  <c r="U75" i="11"/>
  <c r="U76" i="11"/>
  <c r="U77" i="11"/>
  <c r="U57" i="11"/>
  <c r="U78" i="11"/>
  <c r="U80" i="11"/>
  <c r="U81" i="11"/>
  <c r="U82" i="11"/>
  <c r="U83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32" i="11"/>
  <c r="U153" i="11"/>
  <c r="U154" i="11"/>
  <c r="U155" i="11"/>
  <c r="U156" i="11"/>
  <c r="U157" i="11"/>
  <c r="U158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2" i="11"/>
  <c r="U213" i="11"/>
  <c r="U214" i="11"/>
  <c r="U216" i="11"/>
  <c r="U217" i="11"/>
  <c r="U218" i="11"/>
  <c r="U219" i="11"/>
  <c r="U220" i="11"/>
  <c r="U221" i="11"/>
  <c r="U222" i="11"/>
  <c r="U223" i="11"/>
  <c r="U225" i="11"/>
  <c r="U226" i="11"/>
  <c r="U227" i="11"/>
  <c r="U228" i="11"/>
  <c r="U229" i="11"/>
  <c r="U230" i="11"/>
  <c r="U231" i="11"/>
  <c r="U232" i="11"/>
  <c r="U234" i="11"/>
  <c r="U235" i="11"/>
  <c r="U236" i="11"/>
  <c r="U237" i="11"/>
  <c r="U238" i="11"/>
  <c r="U239" i="11"/>
  <c r="U241" i="11"/>
  <c r="U242" i="11"/>
  <c r="U243" i="11"/>
  <c r="U244" i="11"/>
  <c r="U245" i="11"/>
  <c r="U246" i="11"/>
  <c r="U248" i="11"/>
  <c r="U249" i="11"/>
  <c r="U250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51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10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60" i="11"/>
  <c r="U461" i="11"/>
  <c r="U462" i="11"/>
  <c r="U463" i="11"/>
  <c r="U464" i="11"/>
  <c r="U465" i="11"/>
  <c r="U466" i="11"/>
  <c r="U467" i="11"/>
  <c r="U469" i="11"/>
  <c r="U470" i="11"/>
  <c r="U471" i="11"/>
  <c r="U472" i="11"/>
  <c r="U473" i="11"/>
  <c r="U474" i="11"/>
  <c r="U476" i="11"/>
  <c r="U477" i="11"/>
  <c r="U478" i="11"/>
  <c r="U479" i="11"/>
  <c r="U480" i="11"/>
  <c r="U481" i="11"/>
  <c r="U482" i="11"/>
  <c r="U483" i="11"/>
  <c r="U484" i="11"/>
  <c r="U485" i="11"/>
  <c r="U486" i="11"/>
  <c r="U51" i="11"/>
  <c r="U487" i="11"/>
  <c r="U159" i="11"/>
  <c r="U488" i="11"/>
  <c r="U344" i="11"/>
  <c r="U489" i="11"/>
  <c r="U490" i="11"/>
  <c r="U491" i="11"/>
  <c r="U475" i="11"/>
  <c r="U492" i="11"/>
  <c r="U493" i="11"/>
  <c r="U494" i="11"/>
  <c r="U495" i="11"/>
  <c r="U496" i="11"/>
  <c r="U497" i="11"/>
  <c r="U498" i="11"/>
  <c r="U500" i="11"/>
  <c r="U501" i="11"/>
  <c r="U502" i="11"/>
  <c r="U504" i="11"/>
  <c r="U505" i="11"/>
  <c r="U506" i="11"/>
  <c r="U507" i="11"/>
  <c r="U508" i="11"/>
  <c r="U510" i="11"/>
  <c r="U511" i="11"/>
  <c r="U512" i="11"/>
  <c r="U513" i="11"/>
  <c r="U514" i="11"/>
  <c r="U515" i="11"/>
  <c r="U516" i="11"/>
  <c r="U517" i="11"/>
  <c r="U518" i="11"/>
  <c r="U499" i="11"/>
  <c r="U519" i="11"/>
  <c r="U520" i="11"/>
  <c r="U521" i="11"/>
  <c r="U522" i="11"/>
  <c r="U523" i="11"/>
  <c r="U524" i="11"/>
  <c r="U525" i="11"/>
  <c r="U503" i="11"/>
  <c r="U527" i="11"/>
  <c r="U509" i="11"/>
  <c r="U528" i="11"/>
  <c r="U529" i="11"/>
  <c r="U530" i="11"/>
  <c r="U531" i="11"/>
  <c r="U533" i="11"/>
  <c r="U534" i="11"/>
  <c r="U535" i="11"/>
  <c r="U536" i="11"/>
  <c r="U537" i="11"/>
  <c r="U538" i="11"/>
  <c r="U539" i="11"/>
  <c r="U540" i="11"/>
  <c r="U542" i="11"/>
  <c r="U543" i="11"/>
  <c r="U544" i="11"/>
  <c r="U545" i="11"/>
  <c r="U546" i="11"/>
  <c r="U547" i="11"/>
  <c r="U548" i="11"/>
  <c r="U549" i="11"/>
  <c r="U550" i="11"/>
  <c r="U551" i="11"/>
  <c r="U552" i="11"/>
  <c r="U526" i="11"/>
  <c r="U553" i="11"/>
  <c r="U554" i="11"/>
  <c r="U555" i="11"/>
  <c r="U556" i="11"/>
  <c r="U557" i="11"/>
  <c r="U558" i="11"/>
  <c r="U559" i="11"/>
  <c r="U560" i="11"/>
  <c r="U561" i="11"/>
  <c r="U562" i="11"/>
  <c r="U564" i="11"/>
  <c r="U565" i="11"/>
  <c r="U566" i="11"/>
  <c r="U567" i="11"/>
  <c r="U568" i="11"/>
  <c r="U569" i="11"/>
  <c r="U570" i="11"/>
  <c r="U571" i="11"/>
  <c r="U572" i="11"/>
  <c r="U574" i="11"/>
  <c r="U575" i="11"/>
  <c r="U576" i="11"/>
  <c r="U577" i="11"/>
  <c r="U578" i="11"/>
  <c r="U579" i="11"/>
  <c r="U580" i="11"/>
  <c r="U581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10" i="11"/>
  <c r="U611" i="11"/>
  <c r="U612" i="11"/>
  <c r="U613" i="11"/>
  <c r="U614" i="11"/>
  <c r="U615" i="11"/>
  <c r="U616" i="11"/>
  <c r="U617" i="11"/>
  <c r="U619" i="11"/>
  <c r="U620" i="11"/>
  <c r="U621" i="11"/>
  <c r="U622" i="11"/>
  <c r="U623" i="11"/>
  <c r="U624" i="11"/>
  <c r="U625" i="11"/>
  <c r="U626" i="11"/>
  <c r="U627" i="11"/>
  <c r="U628" i="11"/>
  <c r="U629" i="11"/>
  <c r="U609" i="11"/>
  <c r="U630" i="11"/>
  <c r="U631" i="11"/>
  <c r="U632" i="11"/>
  <c r="U633" i="11"/>
  <c r="U634" i="11"/>
  <c r="U635" i="11"/>
  <c r="U636" i="11"/>
  <c r="U84" i="11"/>
  <c r="U2" i="11"/>
  <c r="U637" i="11"/>
  <c r="U641" i="11"/>
  <c r="U642" i="11"/>
  <c r="U643" i="11"/>
  <c r="U644" i="11"/>
  <c r="U645" i="11"/>
  <c r="U233" i="11"/>
  <c r="U646" i="11"/>
  <c r="U647" i="11"/>
  <c r="U648" i="11"/>
  <c r="U650" i="11"/>
  <c r="U459" i="11"/>
  <c r="U319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38" i="11"/>
  <c r="U665" i="11"/>
  <c r="U639" i="11"/>
  <c r="U666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3" i="11"/>
  <c r="U694" i="11"/>
  <c r="U695" i="11"/>
  <c r="U696" i="11"/>
  <c r="U667" i="11"/>
  <c r="U697" i="11"/>
  <c r="U698" i="11"/>
  <c r="U699" i="11"/>
  <c r="U700" i="11"/>
  <c r="U701" i="11"/>
  <c r="U702" i="11"/>
  <c r="U703" i="11"/>
  <c r="U704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6" i="11"/>
  <c r="U727" i="11"/>
  <c r="U728" i="11"/>
  <c r="U705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173" i="11"/>
  <c r="U808" i="11"/>
  <c r="U809" i="11"/>
  <c r="U810" i="11"/>
  <c r="U811" i="11"/>
  <c r="U812" i="11"/>
  <c r="U814" i="11"/>
  <c r="U815" i="11"/>
  <c r="U816" i="11"/>
  <c r="U817" i="11"/>
  <c r="U818" i="11"/>
  <c r="U819" i="11"/>
  <c r="U820" i="11"/>
  <c r="U240" i="11"/>
  <c r="U821" i="11"/>
  <c r="U822" i="11"/>
  <c r="U823" i="11"/>
  <c r="U824" i="11"/>
  <c r="U825" i="11"/>
  <c r="U468" i="11"/>
  <c r="U826" i="11"/>
  <c r="U827" i="11"/>
  <c r="U828" i="11"/>
  <c r="U829" i="11"/>
  <c r="U830" i="11"/>
  <c r="U831" i="11"/>
  <c r="U832" i="11"/>
  <c r="U833" i="11"/>
  <c r="U834" i="11"/>
  <c r="U835" i="11"/>
  <c r="U640" i="11"/>
  <c r="U836" i="11"/>
  <c r="U837" i="11"/>
  <c r="U838" i="11"/>
  <c r="U839" i="11"/>
  <c r="U840" i="11"/>
  <c r="U841" i="11"/>
  <c r="U842" i="11"/>
  <c r="U813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55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320" i="11"/>
  <c r="U991" i="11"/>
  <c r="U992" i="11"/>
  <c r="U993" i="11"/>
  <c r="U994" i="11"/>
  <c r="U995" i="11"/>
  <c r="U996" i="11"/>
  <c r="U997" i="11"/>
  <c r="U998" i="11"/>
  <c r="U999" i="11"/>
  <c r="U1001" i="11"/>
  <c r="U649" i="11"/>
  <c r="U1002" i="11"/>
  <c r="U1003" i="11"/>
  <c r="U1004" i="11"/>
  <c r="U1005" i="11"/>
  <c r="U1006" i="11"/>
  <c r="U541" i="11"/>
  <c r="U1007" i="11"/>
  <c r="U1008" i="11"/>
  <c r="U1009" i="11"/>
  <c r="U1010" i="11"/>
  <c r="U1011" i="11"/>
  <c r="U1012" i="11"/>
  <c r="U1013" i="11"/>
  <c r="U1014" i="11"/>
  <c r="U930" i="11"/>
  <c r="U1015" i="11"/>
  <c r="U1016" i="11"/>
  <c r="U1017" i="11"/>
  <c r="U1018" i="11"/>
  <c r="U1019" i="11"/>
  <c r="U1020" i="11"/>
  <c r="U1021" i="11"/>
  <c r="U1022" i="11"/>
  <c r="U1023" i="11"/>
  <c r="U1025" i="11"/>
  <c r="U1026" i="11"/>
  <c r="U1027" i="11"/>
  <c r="U1028" i="11"/>
  <c r="U1030" i="11"/>
  <c r="U1031" i="11"/>
  <c r="U1032" i="11"/>
  <c r="U1033" i="11"/>
  <c r="U1034" i="11"/>
  <c r="U1035" i="11"/>
  <c r="U1036" i="11"/>
  <c r="U1037" i="11"/>
  <c r="U1038" i="11"/>
  <c r="U1039" i="11"/>
  <c r="U1040" i="11"/>
  <c r="U1041" i="11"/>
  <c r="U1042" i="11"/>
  <c r="U1043" i="11"/>
  <c r="U1045" i="11"/>
  <c r="U1024" i="11"/>
  <c r="U1046" i="11"/>
  <c r="U1047" i="11"/>
  <c r="U1048" i="11"/>
  <c r="U1049" i="11"/>
  <c r="U1050" i="11"/>
  <c r="U1051" i="11"/>
  <c r="U1052" i="11"/>
  <c r="U1053" i="11"/>
  <c r="U1054" i="11"/>
  <c r="U1055" i="11"/>
  <c r="U1056" i="11"/>
  <c r="U1057" i="11"/>
  <c r="U1058" i="11"/>
  <c r="U1059" i="11"/>
  <c r="U1060" i="11"/>
  <c r="U1061" i="11"/>
  <c r="U1062" i="11"/>
  <c r="U1063" i="11"/>
  <c r="U1064" i="11"/>
  <c r="U1065" i="11"/>
  <c r="U1066" i="11"/>
  <c r="U1067" i="11"/>
  <c r="U1068" i="11"/>
  <c r="U1069" i="11"/>
  <c r="U1070" i="11"/>
  <c r="U1071" i="11"/>
  <c r="U1072" i="11"/>
  <c r="U1073" i="11"/>
  <c r="U1074" i="11"/>
  <c r="U1075" i="11"/>
  <c r="U1076" i="11"/>
  <c r="U1077" i="11"/>
  <c r="U1078" i="11"/>
  <c r="U1080" i="11"/>
  <c r="U1081" i="11"/>
  <c r="U1082" i="11"/>
  <c r="U1083" i="11"/>
  <c r="U1084" i="11"/>
  <c r="U1085" i="11"/>
  <c r="U1086" i="11"/>
  <c r="U1087" i="11"/>
  <c r="U1088" i="11"/>
  <c r="U1089" i="11"/>
  <c r="U1090" i="11"/>
  <c r="U1091" i="11"/>
  <c r="U1079" i="11"/>
  <c r="U1092" i="11"/>
  <c r="U1093" i="11"/>
  <c r="U1094" i="11"/>
  <c r="U1095" i="11"/>
  <c r="U1096" i="11"/>
  <c r="U1097" i="11"/>
  <c r="U1098" i="11"/>
  <c r="U1099" i="11"/>
  <c r="U1100" i="11"/>
  <c r="U1101" i="11"/>
  <c r="U1102" i="11"/>
  <c r="U1103" i="11"/>
  <c r="U1104" i="11"/>
  <c r="U1105" i="11"/>
  <c r="U1106" i="11"/>
  <c r="U1107" i="11"/>
  <c r="U1108" i="11"/>
  <c r="U1109" i="11"/>
  <c r="U1110" i="11"/>
  <c r="U1111" i="11"/>
  <c r="U1112" i="11"/>
  <c r="U1113" i="11"/>
  <c r="U1114" i="11"/>
  <c r="U1115" i="11"/>
  <c r="U1116" i="11"/>
  <c r="U1117" i="11"/>
  <c r="U1118" i="11"/>
  <c r="U1119" i="11"/>
  <c r="U1120" i="11"/>
  <c r="U1123" i="11"/>
  <c r="U1124" i="11"/>
  <c r="U1125" i="11"/>
  <c r="U1126" i="11"/>
  <c r="U1127" i="11"/>
  <c r="U1128" i="11"/>
  <c r="U1129" i="11"/>
  <c r="U1130" i="11"/>
  <c r="U1131" i="11"/>
  <c r="U1132" i="11"/>
  <c r="U1133" i="11"/>
  <c r="U1134" i="11"/>
  <c r="U1135" i="11"/>
  <c r="U1136" i="11"/>
  <c r="U1137" i="11"/>
  <c r="U1138" i="11"/>
  <c r="U1139" i="11"/>
  <c r="U1140" i="11"/>
  <c r="U1121" i="11"/>
  <c r="U1141" i="11"/>
  <c r="U1142" i="11"/>
  <c r="U1143" i="11"/>
  <c r="U1144" i="11"/>
  <c r="U1146" i="11"/>
  <c r="U1147" i="11"/>
  <c r="U1148" i="11"/>
  <c r="U1149" i="11"/>
  <c r="U1150" i="11"/>
  <c r="U1151" i="11"/>
  <c r="U1152" i="11"/>
  <c r="U1153" i="11"/>
  <c r="U1154" i="11"/>
  <c r="U1155" i="11"/>
  <c r="U247" i="11"/>
  <c r="U1156" i="11"/>
  <c r="U215" i="11"/>
  <c r="U1157" i="11"/>
  <c r="U1158" i="11"/>
  <c r="U1159" i="11"/>
  <c r="U1160" i="11"/>
  <c r="U1161" i="11"/>
  <c r="U1162" i="11"/>
  <c r="U1163" i="11"/>
  <c r="U1145" i="11"/>
  <c r="U1164" i="11"/>
  <c r="U582" i="11"/>
  <c r="U1165" i="11"/>
  <c r="U1166" i="11"/>
  <c r="U1167" i="11"/>
  <c r="U788" i="11"/>
  <c r="U1168" i="11"/>
  <c r="U1169" i="11"/>
  <c r="U1170" i="11"/>
  <c r="U1171" i="11"/>
  <c r="U1122" i="11"/>
  <c r="U1173" i="11"/>
  <c r="U1174" i="11"/>
  <c r="U1175" i="11"/>
  <c r="U1044" i="11"/>
  <c r="U1176" i="11"/>
  <c r="U1177" i="11"/>
  <c r="U1178" i="11"/>
  <c r="U1179" i="11"/>
  <c r="U1180" i="11"/>
  <c r="U1181" i="11"/>
  <c r="U1182" i="11"/>
  <c r="U1183" i="11"/>
  <c r="U1184" i="11"/>
  <c r="U1185" i="11"/>
  <c r="U1186" i="11"/>
  <c r="U1187" i="11"/>
  <c r="U1188" i="11"/>
  <c r="U1189" i="11"/>
  <c r="U1190" i="11"/>
  <c r="U1191" i="11"/>
  <c r="U1192" i="11"/>
  <c r="U1193" i="11"/>
  <c r="U1194" i="11"/>
  <c r="U1195" i="11"/>
  <c r="U1196" i="11"/>
  <c r="U1197" i="11"/>
  <c r="U1198" i="11"/>
  <c r="U1199" i="11"/>
  <c r="U1200" i="11"/>
  <c r="U1201" i="11"/>
  <c r="U1202" i="11"/>
  <c r="U1203" i="11"/>
  <c r="U1204" i="11"/>
  <c r="U1205" i="11"/>
  <c r="U1206" i="11"/>
  <c r="U1207" i="11"/>
  <c r="U1208" i="11"/>
  <c r="U1209" i="11"/>
  <c r="U1210" i="11"/>
  <c r="U1211" i="11"/>
  <c r="U1212" i="11"/>
  <c r="U1213" i="11"/>
  <c r="U1214" i="11"/>
  <c r="U1215" i="11"/>
  <c r="U1216" i="11"/>
  <c r="U1217" i="11"/>
  <c r="U1218" i="11"/>
  <c r="U1219" i="11"/>
  <c r="U1220" i="11"/>
  <c r="U1221" i="11"/>
  <c r="U1222" i="11"/>
  <c r="U1223" i="11"/>
  <c r="U1224" i="11"/>
  <c r="U1225" i="11"/>
  <c r="U1226" i="11"/>
  <c r="U1227" i="11"/>
  <c r="U1228" i="11"/>
  <c r="U1229" i="11"/>
  <c r="U1230" i="11"/>
  <c r="U1231" i="11"/>
  <c r="U1232" i="11"/>
  <c r="U1233" i="11"/>
  <c r="U1234" i="11"/>
  <c r="U1235" i="11"/>
  <c r="U1236" i="11"/>
  <c r="U1237" i="11"/>
  <c r="U1238" i="11"/>
  <c r="U1239" i="11"/>
  <c r="U1240" i="11"/>
  <c r="U1241" i="11"/>
  <c r="U1242" i="11"/>
  <c r="U1243" i="11"/>
  <c r="U1244" i="11"/>
  <c r="U1245" i="11"/>
  <c r="U1246" i="11"/>
  <c r="U1247" i="11"/>
  <c r="U1248" i="11"/>
  <c r="U1249" i="11"/>
  <c r="U1250" i="11"/>
  <c r="U1252" i="11"/>
  <c r="U1253" i="11"/>
  <c r="U1254" i="11"/>
  <c r="U1255" i="11"/>
  <c r="U1256" i="11"/>
  <c r="U1257" i="11"/>
  <c r="U1258" i="11"/>
  <c r="U1259" i="11"/>
  <c r="U1260" i="11"/>
  <c r="U1261" i="11"/>
  <c r="U1262" i="11"/>
  <c r="U1263" i="11"/>
  <c r="U1264" i="11"/>
  <c r="U1265" i="11"/>
  <c r="U1266" i="11"/>
  <c r="U1267" i="11"/>
  <c r="U1268" i="11"/>
  <c r="U1269" i="11"/>
  <c r="U1270" i="11"/>
  <c r="U1271" i="11"/>
  <c r="U1272" i="11"/>
  <c r="U1251" i="11"/>
  <c r="U1273" i="11"/>
  <c r="U1274" i="11"/>
  <c r="U1275" i="11"/>
  <c r="U1276" i="11"/>
  <c r="U1277" i="11"/>
  <c r="U1278" i="11"/>
  <c r="U1280" i="11"/>
  <c r="U1281" i="11"/>
  <c r="U1282" i="11"/>
  <c r="U1283" i="11"/>
  <c r="U1284" i="11"/>
  <c r="U1285" i="11"/>
  <c r="U1286" i="11"/>
  <c r="U1287" i="11"/>
  <c r="U1288" i="11"/>
  <c r="U1289" i="11"/>
  <c r="U1290" i="11"/>
  <c r="U1291" i="11"/>
  <c r="U1292" i="11"/>
  <c r="U1293" i="11"/>
  <c r="U1294" i="11"/>
  <c r="U1295" i="11"/>
  <c r="U1296" i="11"/>
  <c r="U1297" i="11"/>
  <c r="U1298" i="11"/>
  <c r="U1299" i="11"/>
  <c r="U1300" i="11"/>
  <c r="U1301" i="11"/>
  <c r="U1302" i="11"/>
  <c r="U1303" i="11"/>
  <c r="U1304" i="11"/>
  <c r="U1305" i="11"/>
  <c r="U1306" i="11"/>
  <c r="U1307" i="11"/>
  <c r="U1308" i="11"/>
  <c r="U1309" i="11"/>
  <c r="U1279" i="11"/>
  <c r="U1310" i="11"/>
  <c r="U1311" i="11"/>
  <c r="U1312" i="11"/>
  <c r="U1313" i="11"/>
  <c r="U1314" i="11"/>
  <c r="U1315" i="11"/>
  <c r="U1316" i="11"/>
  <c r="U1317" i="11"/>
  <c r="U1318" i="11"/>
  <c r="U1319" i="11"/>
  <c r="U1320" i="11"/>
  <c r="U1321" i="11"/>
  <c r="U1322" i="11"/>
  <c r="U1323" i="11"/>
  <c r="U1324" i="11"/>
  <c r="U1325" i="11"/>
  <c r="U1326" i="11"/>
  <c r="U618" i="11"/>
  <c r="U1327" i="11"/>
  <c r="U1328" i="11"/>
  <c r="U1329" i="11"/>
  <c r="U1330" i="11"/>
  <c r="U532" i="11"/>
  <c r="U1331" i="11"/>
  <c r="U725" i="11"/>
  <c r="U754" i="11"/>
  <c r="U1332" i="11"/>
  <c r="U1333" i="11"/>
  <c r="U1334" i="11"/>
  <c r="U1335" i="11"/>
  <c r="U1336" i="11"/>
  <c r="U1337" i="11"/>
  <c r="U1338" i="11"/>
  <c r="U1339" i="11"/>
  <c r="U1340" i="11"/>
  <c r="U1341" i="11"/>
  <c r="U1172" i="11"/>
  <c r="U1342" i="11"/>
  <c r="U1343" i="11"/>
  <c r="U1344" i="11"/>
  <c r="U1345" i="11"/>
  <c r="U1346" i="11"/>
  <c r="U1347" i="11"/>
  <c r="U1348" i="11"/>
  <c r="U1349" i="11"/>
  <c r="U1350" i="11"/>
  <c r="U1351" i="11"/>
  <c r="U1352" i="11"/>
  <c r="U1353" i="11"/>
  <c r="U1354" i="11"/>
  <c r="U1355" i="11"/>
  <c r="U1356" i="11"/>
  <c r="U1357" i="11"/>
  <c r="U1358" i="11"/>
  <c r="U1359" i="11"/>
  <c r="U1360" i="11"/>
  <c r="U1361" i="11"/>
  <c r="U1362" i="11"/>
  <c r="U1363" i="11"/>
  <c r="U1364" i="11"/>
  <c r="U1365" i="11"/>
  <c r="U1366" i="11"/>
  <c r="U1367" i="11"/>
  <c r="U1368" i="11"/>
  <c r="U1369" i="11"/>
  <c r="U1370" i="11"/>
  <c r="U1371" i="11"/>
  <c r="U1372" i="11"/>
  <c r="U1373" i="11"/>
  <c r="U1374" i="11"/>
  <c r="U1375" i="11"/>
  <c r="U1376" i="11"/>
  <c r="U1377" i="11"/>
  <c r="U1378" i="11"/>
  <c r="U1379" i="11"/>
  <c r="U1380" i="11"/>
  <c r="U1381" i="11"/>
  <c r="U1382" i="11"/>
  <c r="U1383" i="11"/>
  <c r="U1384" i="11"/>
  <c r="U1385" i="11"/>
  <c r="U1386" i="11"/>
  <c r="U1387" i="11"/>
  <c r="U1388" i="11"/>
  <c r="U1389" i="11"/>
  <c r="U1390" i="11"/>
  <c r="U1391" i="11"/>
  <c r="U1392" i="11"/>
  <c r="U1393" i="11"/>
  <c r="U1394" i="11"/>
  <c r="U1395" i="11"/>
  <c r="U1396" i="11"/>
  <c r="U1397" i="11"/>
  <c r="U1398" i="11"/>
  <c r="U1399" i="11"/>
  <c r="U1400" i="11"/>
  <c r="U1401" i="11"/>
  <c r="U1402" i="11"/>
  <c r="U1403" i="11"/>
  <c r="U1404" i="11"/>
  <c r="U1405" i="11"/>
  <c r="U1406" i="11"/>
  <c r="U1407" i="11"/>
  <c r="U1408" i="11"/>
  <c r="U1409" i="11"/>
  <c r="U1410" i="11"/>
  <c r="U1411" i="11"/>
  <c r="U1412" i="11"/>
  <c r="U1413" i="11"/>
  <c r="U1414" i="11"/>
  <c r="U1415" i="11"/>
  <c r="U1416" i="11"/>
  <c r="U1419" i="11"/>
  <c r="U1420" i="11"/>
  <c r="U1421" i="11"/>
  <c r="U1422" i="11"/>
  <c r="U1423" i="11"/>
  <c r="U1425" i="11"/>
  <c r="U1426" i="11"/>
  <c r="U1427" i="11"/>
  <c r="U1428" i="11"/>
  <c r="U1429" i="11"/>
  <c r="U1430" i="11"/>
  <c r="U1431" i="11"/>
  <c r="U1432" i="11"/>
  <c r="U1433" i="11"/>
  <c r="U1434" i="11"/>
  <c r="U1435" i="11"/>
  <c r="U1436" i="11"/>
  <c r="U1437" i="11"/>
  <c r="U1438" i="11"/>
  <c r="U1439" i="11"/>
  <c r="U1440" i="11"/>
  <c r="U1441" i="11"/>
  <c r="U1442" i="11"/>
  <c r="U1443" i="11"/>
  <c r="U1444" i="11"/>
  <c r="U1417" i="11"/>
  <c r="U1445" i="11"/>
  <c r="U1446" i="11"/>
  <c r="U1447" i="11"/>
  <c r="U1448" i="11"/>
  <c r="U1449" i="11"/>
  <c r="U1450" i="11"/>
  <c r="U1424" i="11"/>
  <c r="U1451" i="11"/>
  <c r="U1452" i="11"/>
  <c r="U1453" i="11"/>
  <c r="U1454" i="11"/>
  <c r="U1455" i="11"/>
  <c r="U1457" i="11"/>
  <c r="U1458" i="11"/>
  <c r="U1459" i="11"/>
  <c r="U1460" i="11"/>
  <c r="U1461" i="11"/>
  <c r="U1462" i="11"/>
  <c r="U1463" i="11"/>
  <c r="U1464" i="11"/>
  <c r="U1465" i="11"/>
  <c r="U1466" i="11"/>
  <c r="U1467" i="11"/>
  <c r="U1468" i="11"/>
  <c r="U1469" i="11"/>
  <c r="U1470" i="11"/>
  <c r="U1471" i="11"/>
  <c r="U1472" i="11"/>
  <c r="U58" i="11"/>
  <c r="U1473" i="11"/>
  <c r="U1474" i="11"/>
  <c r="U1475" i="11"/>
  <c r="U1476" i="11"/>
  <c r="U1477" i="11"/>
  <c r="U1478" i="11"/>
  <c r="U1479" i="11"/>
  <c r="U1480" i="11"/>
  <c r="U1481" i="11"/>
  <c r="U1482" i="11"/>
  <c r="U1483" i="11"/>
  <c r="U1456" i="11"/>
  <c r="U1484" i="11"/>
  <c r="U1485" i="11"/>
  <c r="U1486" i="11"/>
  <c r="U1487" i="11"/>
  <c r="U1488" i="11"/>
  <c r="U1489" i="11"/>
  <c r="U573" i="11"/>
  <c r="U1490" i="11"/>
  <c r="U1491" i="11"/>
  <c r="U1492" i="11"/>
  <c r="U1493" i="11"/>
  <c r="U1494" i="11"/>
  <c r="U1495" i="11"/>
  <c r="U1496" i="11"/>
  <c r="U1497" i="11"/>
  <c r="U1498" i="11"/>
  <c r="U1499" i="11"/>
  <c r="U1500" i="11"/>
  <c r="U1501" i="11"/>
  <c r="U1502" i="11"/>
  <c r="U1000" i="11"/>
  <c r="U1029" i="11"/>
  <c r="U1503" i="11"/>
  <c r="U1504" i="11"/>
  <c r="U1505" i="11"/>
  <c r="U1506" i="11"/>
  <c r="U1507" i="11"/>
  <c r="U1508" i="11"/>
  <c r="U1509" i="11"/>
  <c r="U1510" i="11"/>
  <c r="U1511" i="11"/>
  <c r="U1512" i="11"/>
  <c r="U1513" i="11"/>
  <c r="U1514" i="11"/>
  <c r="U1516" i="11"/>
  <c r="U1517" i="11"/>
  <c r="U1518" i="11"/>
  <c r="U1519" i="11"/>
  <c r="U1520" i="11"/>
  <c r="U1522" i="11"/>
  <c r="U1523" i="11"/>
  <c r="U1524" i="11"/>
  <c r="U1525" i="11"/>
  <c r="U1526" i="11"/>
  <c r="U1527" i="11"/>
  <c r="U1528" i="11"/>
  <c r="U1529" i="11"/>
  <c r="U1530" i="11"/>
  <c r="U1531" i="11"/>
  <c r="U1532" i="11"/>
  <c r="U1533" i="11"/>
  <c r="U1535" i="11"/>
  <c r="U1536" i="11"/>
  <c r="U1537" i="11"/>
  <c r="U1538" i="11"/>
  <c r="U1539" i="11"/>
  <c r="U1540" i="11"/>
  <c r="U1515" i="11"/>
  <c r="U1541" i="11"/>
  <c r="U1542" i="11"/>
  <c r="U1543" i="11"/>
  <c r="U1544" i="11"/>
  <c r="U1545" i="11"/>
  <c r="U1546" i="11"/>
  <c r="U1547" i="11"/>
  <c r="U1548" i="11"/>
  <c r="U1549" i="11"/>
  <c r="U1550" i="11"/>
  <c r="U1521" i="11"/>
  <c r="U1551" i="11"/>
  <c r="U1552" i="11"/>
  <c r="U1553" i="11"/>
  <c r="U1554" i="11"/>
  <c r="U1555" i="11"/>
  <c r="U1556" i="11"/>
  <c r="U1557" i="11"/>
  <c r="U1558" i="11"/>
  <c r="U1559" i="11"/>
  <c r="U1560" i="11"/>
  <c r="U1561" i="11"/>
  <c r="U1562" i="11"/>
  <c r="U1563" i="11"/>
  <c r="U1564" i="11"/>
  <c r="U1566" i="11"/>
  <c r="U1567" i="11"/>
  <c r="U1568" i="11"/>
  <c r="U1569" i="11"/>
  <c r="U1534" i="11"/>
  <c r="U1570" i="11"/>
  <c r="U1571" i="11"/>
  <c r="U1572" i="11"/>
  <c r="U1573" i="11"/>
  <c r="U1574" i="11"/>
  <c r="U1575" i="11"/>
  <c r="U1576" i="11"/>
  <c r="U1577" i="11"/>
  <c r="U1578" i="11"/>
  <c r="U1579" i="11"/>
  <c r="U1580" i="11"/>
  <c r="U1581" i="11"/>
  <c r="U1582" i="11"/>
  <c r="U1583" i="11"/>
  <c r="U1584" i="11"/>
  <c r="U1586" i="11"/>
  <c r="U1587" i="11"/>
  <c r="U1588" i="11"/>
  <c r="U1589" i="11"/>
  <c r="U1590" i="11"/>
  <c r="U1591" i="11"/>
  <c r="U1592" i="11"/>
  <c r="U1593" i="11"/>
  <c r="U1594" i="11"/>
  <c r="U1595" i="11"/>
  <c r="U1565" i="11"/>
  <c r="U1596" i="11"/>
  <c r="U1597" i="11"/>
  <c r="U1598" i="11"/>
  <c r="U1599" i="11"/>
  <c r="U1600" i="11"/>
  <c r="U1601" i="11"/>
  <c r="U1602" i="11"/>
  <c r="U1603" i="11"/>
  <c r="U1604" i="11"/>
  <c r="U1605" i="11"/>
  <c r="U1606" i="11"/>
  <c r="U1607" i="11"/>
  <c r="U1608" i="11"/>
  <c r="U1609" i="11"/>
  <c r="U1610" i="11"/>
  <c r="U1611" i="11"/>
  <c r="U1612" i="11"/>
  <c r="U1613" i="11"/>
  <c r="U1614" i="11"/>
  <c r="U1615" i="11"/>
  <c r="U1616" i="11"/>
  <c r="U1617" i="11"/>
  <c r="U1618" i="11"/>
  <c r="U1585" i="11"/>
  <c r="U1619" i="11"/>
  <c r="U1620" i="11"/>
  <c r="U1621" i="11"/>
  <c r="U1622" i="11"/>
  <c r="U1623" i="11"/>
  <c r="U1624" i="11"/>
  <c r="U1625" i="11"/>
  <c r="U1626" i="11"/>
  <c r="U1627" i="11"/>
  <c r="U1628" i="11"/>
  <c r="U1629" i="11"/>
  <c r="U1630" i="11"/>
  <c r="U1631" i="11"/>
  <c r="U1632" i="11"/>
  <c r="U1633" i="11"/>
  <c r="U1634" i="11"/>
  <c r="U1635" i="11"/>
  <c r="U1636" i="11"/>
  <c r="U1637" i="11"/>
  <c r="U1638" i="11"/>
  <c r="U1639" i="11"/>
  <c r="U1640" i="11"/>
  <c r="U1641" i="11"/>
  <c r="U1642" i="11"/>
  <c r="U1643" i="11"/>
  <c r="U1644" i="11"/>
  <c r="U1645" i="11"/>
  <c r="U1646" i="11"/>
  <c r="U1647" i="11"/>
  <c r="U152" i="11"/>
  <c r="U1648" i="11"/>
  <c r="U67" i="11"/>
  <c r="U79" i="11"/>
  <c r="U364" i="11"/>
  <c r="U1649" i="11"/>
  <c r="U1650" i="11"/>
  <c r="U1651" i="11"/>
  <c r="U1652" i="11"/>
  <c r="U1654" i="11"/>
  <c r="U1655" i="11"/>
  <c r="U1656" i="11"/>
  <c r="U1657" i="11"/>
  <c r="U1658" i="11"/>
  <c r="U1659" i="11"/>
  <c r="U1660" i="11"/>
  <c r="U563" i="11"/>
  <c r="U1661" i="11"/>
  <c r="U1662" i="11"/>
  <c r="U1663" i="11"/>
  <c r="U1664" i="11"/>
  <c r="U1665" i="11"/>
  <c r="U1666" i="11"/>
  <c r="U1667" i="11"/>
  <c r="U1668" i="11"/>
  <c r="U1669" i="11"/>
  <c r="U1653" i="11"/>
  <c r="U1670" i="11"/>
  <c r="U1671" i="11"/>
  <c r="U1672" i="11"/>
  <c r="U1673" i="11"/>
  <c r="U1674" i="11"/>
  <c r="U1675" i="11"/>
  <c r="U1676" i="11"/>
  <c r="U1677" i="11"/>
  <c r="U1678" i="11"/>
  <c r="U1679" i="11"/>
  <c r="U1680" i="11"/>
  <c r="U1681" i="11"/>
  <c r="U1682" i="11"/>
  <c r="U1683" i="11"/>
  <c r="U1684" i="11"/>
  <c r="U1685" i="11"/>
  <c r="U1686" i="11"/>
  <c r="U1687" i="11"/>
  <c r="U1688" i="11"/>
  <c r="U1689" i="11"/>
  <c r="U1690" i="11"/>
  <c r="U1691" i="11"/>
  <c r="U1692" i="11"/>
  <c r="U1693" i="11"/>
  <c r="U1694" i="11"/>
  <c r="U1695" i="11"/>
  <c r="U1696" i="11"/>
  <c r="U1697" i="11"/>
  <c r="U1698" i="11"/>
  <c r="U1699" i="11"/>
  <c r="U1700" i="11"/>
  <c r="U1701" i="11"/>
  <c r="U1702" i="11"/>
  <c r="U1703" i="11"/>
  <c r="U1704" i="11"/>
  <c r="U1705" i="11"/>
  <c r="U1706" i="11"/>
  <c r="U1707" i="11"/>
  <c r="U1708" i="11"/>
  <c r="U1709" i="11"/>
  <c r="U1710" i="11"/>
  <c r="U1711" i="11"/>
  <c r="U1712" i="11"/>
  <c r="U1713" i="11"/>
  <c r="U1714" i="11"/>
  <c r="U1715" i="11"/>
  <c r="U1716" i="11"/>
  <c r="U1717" i="11"/>
  <c r="U1718" i="11"/>
  <c r="U1719" i="11"/>
  <c r="U1720" i="11"/>
  <c r="U1721" i="11"/>
  <c r="U1722" i="11"/>
  <c r="U1723" i="11"/>
  <c r="U1724" i="11"/>
  <c r="U1725" i="11"/>
  <c r="U1726" i="11"/>
  <c r="U1727" i="11"/>
  <c r="U1728" i="11"/>
  <c r="U1729" i="11"/>
  <c r="U1730" i="11"/>
  <c r="U1731" i="11"/>
  <c r="U1732" i="11"/>
  <c r="U1733" i="11"/>
  <c r="U1734" i="11"/>
  <c r="U1735" i="11"/>
  <c r="U1736" i="11"/>
  <c r="U1737" i="11"/>
  <c r="U1738" i="11"/>
  <c r="U1739" i="11"/>
  <c r="U1740" i="11"/>
  <c r="U1741" i="11"/>
  <c r="U1742" i="11"/>
  <c r="U1743" i="11"/>
  <c r="U1745" i="11"/>
  <c r="U1746" i="11"/>
  <c r="U1747" i="11"/>
  <c r="U1748" i="11"/>
  <c r="U1749" i="11"/>
  <c r="U1750" i="11"/>
  <c r="U1751" i="11"/>
  <c r="U1752" i="11"/>
  <c r="U1753" i="11"/>
  <c r="U1754" i="11"/>
  <c r="U1755" i="11"/>
  <c r="U1756" i="11"/>
  <c r="U1757" i="11"/>
  <c r="U1758" i="11"/>
  <c r="U1759" i="11"/>
  <c r="U1760" i="11"/>
  <c r="U1761" i="11"/>
  <c r="U1763" i="11"/>
  <c r="U1764" i="11"/>
  <c r="U1765" i="11"/>
  <c r="U1766" i="11"/>
  <c r="U1767" i="11"/>
  <c r="U1768" i="11"/>
  <c r="U1769" i="11"/>
  <c r="U1770" i="11"/>
  <c r="U1771" i="11"/>
  <c r="U1744" i="11"/>
  <c r="U1772" i="11"/>
  <c r="U1773" i="11"/>
  <c r="U1774" i="11"/>
  <c r="U1775" i="11"/>
  <c r="U1776" i="11"/>
  <c r="U1777" i="11"/>
  <c r="U1778" i="11"/>
  <c r="U1779" i="11"/>
  <c r="U1780" i="11"/>
  <c r="U1781" i="11"/>
  <c r="U1782" i="11"/>
  <c r="U1783" i="11"/>
  <c r="U1784" i="11"/>
  <c r="U1785" i="11"/>
  <c r="U1786" i="11"/>
  <c r="U1787" i="11"/>
  <c r="U1788" i="11"/>
  <c r="U1789" i="11"/>
  <c r="U1790" i="11"/>
  <c r="U1791" i="11"/>
  <c r="U1762" i="11"/>
  <c r="U1792" i="11"/>
  <c r="U1793" i="11"/>
  <c r="U1794" i="11"/>
  <c r="U1795" i="11"/>
  <c r="U1796" i="11"/>
  <c r="U1797" i="11"/>
  <c r="U1798" i="11"/>
  <c r="U1799" i="11"/>
  <c r="U1800" i="11"/>
  <c r="U1801" i="11"/>
  <c r="U1802" i="11"/>
  <c r="U1803" i="11"/>
  <c r="U1804" i="11"/>
  <c r="U1805" i="11"/>
  <c r="U1806" i="11"/>
  <c r="U1807" i="11"/>
  <c r="U1808" i="11"/>
  <c r="U1809" i="11"/>
  <c r="U1810" i="11"/>
  <c r="U1811" i="11"/>
  <c r="U1812" i="11"/>
  <c r="U1813" i="11"/>
  <c r="U1814" i="11"/>
  <c r="U1815" i="11"/>
  <c r="U1816" i="11"/>
  <c r="U1817" i="11"/>
  <c r="U1818" i="11"/>
  <c r="U1819" i="11"/>
  <c r="U211" i="11"/>
  <c r="U1820" i="11"/>
  <c r="U1823" i="11"/>
  <c r="U1824" i="11"/>
  <c r="U1825" i="11"/>
  <c r="U1826" i="11"/>
  <c r="U224" i="11"/>
  <c r="U1827" i="11"/>
  <c r="U1828" i="11"/>
  <c r="U1829" i="11"/>
  <c r="U1830" i="11"/>
  <c r="U1831" i="11"/>
  <c r="U397" i="11"/>
  <c r="U1832" i="11"/>
  <c r="U1833" i="11"/>
  <c r="U1834" i="11"/>
  <c r="U1835" i="11"/>
  <c r="U692" i="11"/>
  <c r="U1836" i="11"/>
  <c r="U1837" i="11"/>
  <c r="U1838" i="11"/>
  <c r="U1839" i="11"/>
  <c r="U1840" i="11"/>
  <c r="U1841" i="11"/>
  <c r="U1842" i="11"/>
  <c r="U1843" i="11"/>
  <c r="U1844" i="11"/>
  <c r="U1845" i="11"/>
  <c r="U1846" i="11"/>
  <c r="U1847" i="11"/>
  <c r="U1848" i="11"/>
  <c r="U1849" i="11"/>
  <c r="U1850" i="11"/>
  <c r="U1852" i="11"/>
  <c r="U1853" i="11"/>
  <c r="U1854" i="11"/>
  <c r="U1855" i="11"/>
  <c r="U1856" i="11"/>
  <c r="U1821" i="11"/>
  <c r="U1822" i="11"/>
  <c r="U1857" i="11"/>
  <c r="U1858" i="11"/>
  <c r="U1859" i="11"/>
  <c r="U1860" i="11"/>
  <c r="U1861" i="11"/>
  <c r="U1862" i="11"/>
  <c r="U1863" i="11"/>
  <c r="U1864" i="11"/>
  <c r="U1418" i="11"/>
  <c r="U1865" i="11"/>
  <c r="U1866" i="11"/>
  <c r="U1867" i="11"/>
  <c r="U1868" i="11"/>
  <c r="U1869" i="11"/>
  <c r="U1870" i="11"/>
  <c r="U1871" i="11"/>
  <c r="U1872" i="11"/>
  <c r="U1873" i="11"/>
  <c r="U1851" i="11"/>
  <c r="U1874" i="11"/>
  <c r="U1875" i="11"/>
  <c r="U1876" i="11"/>
  <c r="U1877" i="11"/>
  <c r="U1878" i="11"/>
  <c r="U1879" i="11"/>
  <c r="U1880" i="11"/>
  <c r="U1881" i="11"/>
  <c r="U1882" i="11"/>
  <c r="U1883" i="11"/>
  <c r="U1884" i="11"/>
  <c r="U1885" i="11"/>
  <c r="U1886" i="11"/>
  <c r="U1887" i="11"/>
  <c r="U1888" i="11"/>
  <c r="U1889" i="11"/>
  <c r="U1890" i="11"/>
  <c r="U1891" i="11"/>
  <c r="U1892" i="11"/>
  <c r="U1893" i="11"/>
  <c r="U1894" i="11"/>
  <c r="U1895" i="11"/>
  <c r="U1896" i="11"/>
  <c r="U1897" i="11"/>
  <c r="U1898" i="11"/>
  <c r="U1899" i="11"/>
  <c r="U1900" i="11"/>
  <c r="U1901" i="11"/>
  <c r="U1902" i="11"/>
  <c r="U1903" i="11"/>
  <c r="U1904" i="11"/>
  <c r="U1905" i="11"/>
  <c r="U1906" i="11"/>
  <c r="U1907" i="11"/>
  <c r="U1908" i="11"/>
  <c r="U1909" i="11"/>
  <c r="U1910" i="11"/>
  <c r="U1911" i="11"/>
  <c r="U1912" i="11"/>
  <c r="U1913" i="11"/>
  <c r="U1914" i="11"/>
  <c r="U1915" i="11"/>
  <c r="U1916" i="11"/>
  <c r="U1917" i="11"/>
  <c r="U1918" i="11"/>
  <c r="U1919" i="11"/>
  <c r="U1920" i="11"/>
  <c r="U1921" i="11"/>
  <c r="U1922" i="11"/>
  <c r="U1923" i="11"/>
  <c r="U1924" i="11"/>
  <c r="U1925" i="11"/>
  <c r="U1926" i="11"/>
  <c r="U1927" i="11"/>
  <c r="U1928" i="11"/>
  <c r="U1929" i="11"/>
  <c r="U1930" i="11"/>
  <c r="U1931" i="11"/>
  <c r="U1932" i="11"/>
  <c r="U1933" i="11"/>
  <c r="U1934" i="11"/>
  <c r="U1935" i="11"/>
  <c r="U1936" i="11"/>
  <c r="U1937" i="11"/>
  <c r="U1938" i="11"/>
  <c r="U1939" i="11"/>
  <c r="U1940" i="11"/>
  <c r="U1941" i="11"/>
  <c r="U1942" i="11"/>
  <c r="U1943" i="11"/>
  <c r="U1944" i="11"/>
  <c r="U1945" i="11"/>
  <c r="U1946" i="11"/>
  <c r="U1947" i="11"/>
  <c r="U1948" i="11"/>
  <c r="U1949" i="11"/>
  <c r="U1950" i="11"/>
  <c r="U1951" i="11"/>
  <c r="U1952" i="11"/>
  <c r="U1953" i="11"/>
  <c r="U1954" i="11"/>
  <c r="U1955" i="11"/>
  <c r="U1956" i="11"/>
  <c r="U1957" i="11"/>
  <c r="U1958" i="11"/>
  <c r="U1959" i="11"/>
  <c r="U1960" i="11"/>
  <c r="U1961" i="11"/>
  <c r="U1962" i="11"/>
  <c r="U1963" i="11"/>
  <c r="U1964" i="11"/>
  <c r="U1965" i="11"/>
  <c r="U1966" i="11"/>
  <c r="U1967" i="11"/>
  <c r="U1968" i="11"/>
  <c r="U1969" i="11"/>
  <c r="U1970" i="11"/>
  <c r="U1971" i="11"/>
  <c r="U1972" i="11"/>
  <c r="U1973" i="11"/>
  <c r="U1974" i="11"/>
  <c r="U1975" i="11"/>
  <c r="U1976" i="11"/>
  <c r="U1977" i="11"/>
  <c r="U1978" i="11"/>
  <c r="U1979" i="11"/>
  <c r="U1980" i="11"/>
  <c r="U1981" i="11"/>
  <c r="U1982" i="11"/>
  <c r="U1983" i="11"/>
  <c r="U1984" i="11"/>
  <c r="U1985" i="11"/>
  <c r="U1986" i="11"/>
  <c r="U1987" i="11"/>
  <c r="U1988" i="11"/>
  <c r="U1989" i="11"/>
  <c r="U1990" i="11"/>
  <c r="U1991" i="11"/>
  <c r="U1992" i="11"/>
  <c r="U1993" i="11"/>
  <c r="U1994" i="11"/>
  <c r="U1995" i="11"/>
  <c r="U1996" i="11"/>
  <c r="U1997" i="11"/>
  <c r="U1998" i="11"/>
  <c r="U1999" i="11"/>
  <c r="U2000" i="11"/>
  <c r="U2001" i="11"/>
  <c r="U2002" i="11"/>
  <c r="U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2" i="11"/>
  <c r="T53" i="11"/>
  <c r="T54" i="11"/>
  <c r="T32" i="11"/>
  <c r="T55" i="11"/>
  <c r="T56" i="11"/>
  <c r="T59" i="11"/>
  <c r="T60" i="11"/>
  <c r="T61" i="11"/>
  <c r="T62" i="11"/>
  <c r="T63" i="11"/>
  <c r="T64" i="11"/>
  <c r="T65" i="11"/>
  <c r="T66" i="11"/>
  <c r="T68" i="11"/>
  <c r="T69" i="11"/>
  <c r="T70" i="11"/>
  <c r="T71" i="11"/>
  <c r="T72" i="11"/>
  <c r="T73" i="11"/>
  <c r="T74" i="11"/>
  <c r="T75" i="11"/>
  <c r="T76" i="11"/>
  <c r="T77" i="11"/>
  <c r="T57" i="11"/>
  <c r="T78" i="11"/>
  <c r="T80" i="11"/>
  <c r="T81" i="11"/>
  <c r="T82" i="11"/>
  <c r="T83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32" i="11"/>
  <c r="T153" i="11"/>
  <c r="T154" i="11"/>
  <c r="T155" i="11"/>
  <c r="T156" i="11"/>
  <c r="T157" i="11"/>
  <c r="T158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2" i="11"/>
  <c r="T213" i="11"/>
  <c r="T214" i="11"/>
  <c r="T216" i="11"/>
  <c r="T217" i="11"/>
  <c r="T218" i="11"/>
  <c r="T219" i="11"/>
  <c r="T220" i="11"/>
  <c r="T221" i="11"/>
  <c r="T222" i="11"/>
  <c r="T223" i="11"/>
  <c r="T225" i="11"/>
  <c r="T226" i="11"/>
  <c r="T227" i="11"/>
  <c r="T228" i="11"/>
  <c r="T229" i="11"/>
  <c r="T230" i="11"/>
  <c r="T231" i="11"/>
  <c r="T232" i="11"/>
  <c r="T234" i="11"/>
  <c r="T235" i="11"/>
  <c r="T236" i="11"/>
  <c r="T237" i="11"/>
  <c r="T238" i="11"/>
  <c r="T239" i="11"/>
  <c r="T241" i="11"/>
  <c r="T242" i="11"/>
  <c r="T243" i="11"/>
  <c r="T244" i="11"/>
  <c r="T245" i="11"/>
  <c r="T246" i="11"/>
  <c r="T248" i="11"/>
  <c r="T249" i="11"/>
  <c r="T250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51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3" i="11"/>
  <c r="T304" i="11"/>
  <c r="T305" i="11"/>
  <c r="T306" i="11"/>
  <c r="T307" i="11"/>
  <c r="T308" i="11"/>
  <c r="T309" i="11"/>
  <c r="T310" i="11"/>
  <c r="T311" i="11"/>
  <c r="T312" i="11"/>
  <c r="T313" i="11"/>
  <c r="T314" i="11"/>
  <c r="T315" i="11"/>
  <c r="T316" i="11"/>
  <c r="T317" i="11"/>
  <c r="T318" i="11"/>
  <c r="T321" i="11"/>
  <c r="T322" i="11"/>
  <c r="T323" i="11"/>
  <c r="T324" i="11"/>
  <c r="T325" i="11"/>
  <c r="T326" i="11"/>
  <c r="T327" i="11"/>
  <c r="T328" i="11"/>
  <c r="T329" i="11"/>
  <c r="T330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8" i="11"/>
  <c r="T399" i="11"/>
  <c r="T400" i="11"/>
  <c r="T401" i="11"/>
  <c r="T402" i="11"/>
  <c r="T403" i="11"/>
  <c r="T404" i="11"/>
  <c r="T405" i="11"/>
  <c r="T406" i="11"/>
  <c r="T407" i="11"/>
  <c r="T408" i="11"/>
  <c r="T409" i="11"/>
  <c r="T411" i="11"/>
  <c r="T412" i="11"/>
  <c r="T413" i="11"/>
  <c r="T414" i="11"/>
  <c r="T415" i="11"/>
  <c r="T416" i="11"/>
  <c r="T417" i="11"/>
  <c r="T418" i="11"/>
  <c r="T419" i="11"/>
  <c r="T420" i="11"/>
  <c r="T421" i="11"/>
  <c r="T422" i="11"/>
  <c r="T423" i="11"/>
  <c r="T424" i="11"/>
  <c r="T425" i="11"/>
  <c r="T426" i="11"/>
  <c r="T427" i="11"/>
  <c r="T428" i="11"/>
  <c r="T429" i="11"/>
  <c r="T430" i="11"/>
  <c r="T431" i="11"/>
  <c r="T432" i="11"/>
  <c r="T433" i="11"/>
  <c r="T434" i="11"/>
  <c r="T435" i="11"/>
  <c r="T410" i="11"/>
  <c r="T436" i="11"/>
  <c r="T437" i="11"/>
  <c r="T438" i="11"/>
  <c r="T439" i="11"/>
  <c r="T440" i="11"/>
  <c r="T441" i="11"/>
  <c r="T442" i="11"/>
  <c r="T443" i="11"/>
  <c r="T444" i="11"/>
  <c r="T445" i="11"/>
  <c r="T446" i="11"/>
  <c r="T447" i="11"/>
  <c r="T448" i="11"/>
  <c r="T449" i="11"/>
  <c r="T450" i="11"/>
  <c r="T451" i="11"/>
  <c r="T452" i="11"/>
  <c r="T453" i="11"/>
  <c r="T454" i="11"/>
  <c r="T455" i="11"/>
  <c r="T456" i="11"/>
  <c r="T457" i="11"/>
  <c r="T458" i="11"/>
  <c r="T460" i="11"/>
  <c r="T461" i="11"/>
  <c r="T462" i="11"/>
  <c r="T463" i="11"/>
  <c r="T464" i="11"/>
  <c r="T465" i="11"/>
  <c r="T466" i="11"/>
  <c r="T467" i="11"/>
  <c r="T469" i="11"/>
  <c r="T470" i="11"/>
  <c r="T471" i="11"/>
  <c r="T472" i="11"/>
  <c r="T473" i="11"/>
  <c r="T474" i="11"/>
  <c r="T476" i="11"/>
  <c r="T477" i="11"/>
  <c r="T478" i="11"/>
  <c r="T479" i="11"/>
  <c r="T480" i="11"/>
  <c r="T481" i="11"/>
  <c r="T482" i="11"/>
  <c r="T483" i="11"/>
  <c r="T484" i="11"/>
  <c r="T485" i="11"/>
  <c r="T486" i="11"/>
  <c r="T51" i="11"/>
  <c r="T487" i="11"/>
  <c r="T159" i="11"/>
  <c r="T488" i="11"/>
  <c r="T344" i="11"/>
  <c r="T489" i="11"/>
  <c r="T490" i="11"/>
  <c r="T491" i="11"/>
  <c r="T475" i="11"/>
  <c r="T492" i="11"/>
  <c r="T493" i="11"/>
  <c r="T494" i="11"/>
  <c r="T495" i="11"/>
  <c r="T496" i="11"/>
  <c r="T497" i="11"/>
  <c r="T498" i="11"/>
  <c r="T500" i="11"/>
  <c r="T501" i="11"/>
  <c r="T502" i="11"/>
  <c r="T504" i="11"/>
  <c r="T505" i="11"/>
  <c r="T506" i="11"/>
  <c r="T507" i="11"/>
  <c r="T508" i="11"/>
  <c r="T510" i="11"/>
  <c r="T511" i="11"/>
  <c r="T512" i="11"/>
  <c r="T513" i="11"/>
  <c r="T514" i="11"/>
  <c r="T515" i="11"/>
  <c r="T516" i="11"/>
  <c r="T517" i="11"/>
  <c r="T518" i="11"/>
  <c r="T499" i="11"/>
  <c r="T519" i="11"/>
  <c r="T520" i="11"/>
  <c r="T521" i="11"/>
  <c r="T522" i="11"/>
  <c r="T523" i="11"/>
  <c r="T524" i="11"/>
  <c r="T525" i="11"/>
  <c r="T503" i="11"/>
  <c r="T527" i="11"/>
  <c r="T509" i="11"/>
  <c r="T528" i="11"/>
  <c r="T529" i="11"/>
  <c r="T530" i="11"/>
  <c r="T531" i="11"/>
  <c r="T533" i="11"/>
  <c r="T534" i="11"/>
  <c r="T535" i="11"/>
  <c r="T536" i="11"/>
  <c r="T537" i="11"/>
  <c r="T538" i="11"/>
  <c r="T539" i="11"/>
  <c r="T540" i="11"/>
  <c r="T542" i="11"/>
  <c r="T543" i="11"/>
  <c r="T544" i="11"/>
  <c r="T545" i="11"/>
  <c r="T546" i="11"/>
  <c r="T547" i="11"/>
  <c r="T548" i="11"/>
  <c r="T549" i="11"/>
  <c r="T550" i="11"/>
  <c r="T551" i="11"/>
  <c r="T552" i="11"/>
  <c r="T526" i="11"/>
  <c r="T553" i="11"/>
  <c r="T554" i="11"/>
  <c r="T555" i="11"/>
  <c r="T556" i="11"/>
  <c r="T557" i="11"/>
  <c r="T558" i="11"/>
  <c r="T559" i="11"/>
  <c r="T560" i="11"/>
  <c r="T561" i="11"/>
  <c r="T562" i="11"/>
  <c r="T564" i="11"/>
  <c r="T565" i="11"/>
  <c r="T566" i="11"/>
  <c r="T567" i="11"/>
  <c r="T568" i="11"/>
  <c r="T569" i="11"/>
  <c r="T570" i="11"/>
  <c r="T571" i="11"/>
  <c r="T572" i="11"/>
  <c r="T574" i="11"/>
  <c r="T575" i="11"/>
  <c r="T576" i="11"/>
  <c r="T577" i="11"/>
  <c r="T578" i="11"/>
  <c r="T579" i="11"/>
  <c r="T580" i="11"/>
  <c r="T581" i="11"/>
  <c r="T583" i="11"/>
  <c r="T584" i="11"/>
  <c r="T585" i="11"/>
  <c r="T586" i="11"/>
  <c r="T587" i="11"/>
  <c r="T588" i="11"/>
  <c r="T589" i="11"/>
  <c r="T590" i="11"/>
  <c r="T591" i="11"/>
  <c r="T592" i="11"/>
  <c r="T593" i="11"/>
  <c r="T594" i="11"/>
  <c r="T595" i="11"/>
  <c r="T596" i="11"/>
  <c r="T597" i="11"/>
  <c r="T598" i="11"/>
  <c r="T599" i="11"/>
  <c r="T600" i="11"/>
  <c r="T601" i="11"/>
  <c r="T602" i="11"/>
  <c r="T603" i="11"/>
  <c r="T604" i="11"/>
  <c r="T605" i="11"/>
  <c r="T606" i="11"/>
  <c r="T607" i="11"/>
  <c r="T608" i="11"/>
  <c r="T610" i="11"/>
  <c r="T611" i="11"/>
  <c r="T612" i="11"/>
  <c r="T613" i="11"/>
  <c r="T614" i="11"/>
  <c r="T615" i="11"/>
  <c r="T616" i="11"/>
  <c r="T617" i="11"/>
  <c r="T619" i="11"/>
  <c r="T620" i="11"/>
  <c r="T621" i="11"/>
  <c r="T622" i="11"/>
  <c r="T623" i="11"/>
  <c r="T624" i="11"/>
  <c r="T625" i="11"/>
  <c r="T626" i="11"/>
  <c r="T627" i="11"/>
  <c r="T628" i="11"/>
  <c r="T629" i="11"/>
  <c r="T609" i="11"/>
  <c r="T630" i="11"/>
  <c r="T631" i="11"/>
  <c r="T632" i="11"/>
  <c r="T633" i="11"/>
  <c r="T634" i="11"/>
  <c r="T635" i="11"/>
  <c r="T636" i="11"/>
  <c r="T84" i="11"/>
  <c r="T2" i="11"/>
  <c r="T637" i="11"/>
  <c r="T641" i="11"/>
  <c r="T642" i="11"/>
  <c r="T643" i="11"/>
  <c r="T644" i="11"/>
  <c r="T645" i="11"/>
  <c r="T233" i="11"/>
  <c r="T646" i="11"/>
  <c r="T647" i="11"/>
  <c r="T648" i="11"/>
  <c r="T650" i="11"/>
  <c r="T459" i="11"/>
  <c r="T319" i="11"/>
  <c r="T651" i="11"/>
  <c r="T652" i="11"/>
  <c r="T653" i="11"/>
  <c r="T654" i="11"/>
  <c r="T655" i="11"/>
  <c r="T656" i="11"/>
  <c r="T657" i="11"/>
  <c r="T658" i="11"/>
  <c r="T659" i="11"/>
  <c r="T660" i="11"/>
  <c r="T661" i="11"/>
  <c r="T662" i="11"/>
  <c r="T663" i="11"/>
  <c r="T664" i="11"/>
  <c r="T638" i="11"/>
  <c r="T665" i="11"/>
  <c r="T639" i="11"/>
  <c r="T666" i="11"/>
  <c r="T668" i="11"/>
  <c r="T669" i="11"/>
  <c r="T670" i="11"/>
  <c r="T671" i="11"/>
  <c r="T672" i="11"/>
  <c r="T673" i="11"/>
  <c r="T674" i="11"/>
  <c r="T675" i="11"/>
  <c r="T676" i="11"/>
  <c r="T677" i="11"/>
  <c r="T678" i="11"/>
  <c r="T679" i="11"/>
  <c r="T680" i="11"/>
  <c r="T681" i="11"/>
  <c r="T682" i="11"/>
  <c r="T683" i="11"/>
  <c r="T684" i="11"/>
  <c r="T685" i="11"/>
  <c r="T686" i="11"/>
  <c r="T687" i="11"/>
  <c r="T688" i="11"/>
  <c r="T689" i="11"/>
  <c r="T690" i="11"/>
  <c r="T691" i="11"/>
  <c r="T693" i="11"/>
  <c r="T694" i="11"/>
  <c r="T695" i="11"/>
  <c r="T696" i="11"/>
  <c r="T667" i="11"/>
  <c r="T697" i="11"/>
  <c r="T698" i="11"/>
  <c r="T699" i="11"/>
  <c r="T700" i="11"/>
  <c r="T701" i="11"/>
  <c r="T702" i="11"/>
  <c r="T703" i="11"/>
  <c r="T704" i="11"/>
  <c r="T706" i="11"/>
  <c r="T707" i="11"/>
  <c r="T708" i="11"/>
  <c r="T709" i="11"/>
  <c r="T710" i="11"/>
  <c r="T711" i="11"/>
  <c r="T712" i="11"/>
  <c r="T713" i="11"/>
  <c r="T714" i="11"/>
  <c r="T715" i="11"/>
  <c r="T716" i="11"/>
  <c r="T717" i="11"/>
  <c r="T718" i="11"/>
  <c r="T719" i="11"/>
  <c r="T720" i="11"/>
  <c r="T721" i="11"/>
  <c r="T722" i="11"/>
  <c r="T723" i="11"/>
  <c r="T724" i="11"/>
  <c r="T726" i="11"/>
  <c r="T727" i="11"/>
  <c r="T728" i="11"/>
  <c r="T705" i="11"/>
  <c r="T729" i="11"/>
  <c r="T730" i="11"/>
  <c r="T731" i="11"/>
  <c r="T732" i="11"/>
  <c r="T733" i="11"/>
  <c r="T734" i="11"/>
  <c r="T735" i="11"/>
  <c r="T736" i="11"/>
  <c r="T737" i="11"/>
  <c r="T738" i="11"/>
  <c r="T739" i="11"/>
  <c r="T740" i="11"/>
  <c r="T741" i="11"/>
  <c r="T742" i="11"/>
  <c r="T743" i="11"/>
  <c r="T744" i="11"/>
  <c r="T745" i="11"/>
  <c r="T746" i="11"/>
  <c r="T747" i="11"/>
  <c r="T748" i="11"/>
  <c r="T749" i="11"/>
  <c r="T750" i="11"/>
  <c r="T751" i="11"/>
  <c r="T752" i="11"/>
  <c r="T753" i="11"/>
  <c r="T755" i="11"/>
  <c r="T756" i="11"/>
  <c r="T757" i="11"/>
  <c r="T758" i="11"/>
  <c r="T759" i="11"/>
  <c r="T760" i="11"/>
  <c r="T761" i="11"/>
  <c r="T762" i="11"/>
  <c r="T763" i="11"/>
  <c r="T764" i="11"/>
  <c r="T765" i="11"/>
  <c r="T766" i="11"/>
  <c r="T767" i="11"/>
  <c r="T768" i="11"/>
  <c r="T769" i="11"/>
  <c r="T770" i="11"/>
  <c r="T771" i="11"/>
  <c r="T772" i="11"/>
  <c r="T773" i="11"/>
  <c r="T774" i="11"/>
  <c r="T775" i="11"/>
  <c r="T776" i="11"/>
  <c r="T777" i="11"/>
  <c r="T778" i="11"/>
  <c r="T779" i="11"/>
  <c r="T780" i="11"/>
  <c r="T781" i="11"/>
  <c r="T782" i="11"/>
  <c r="T783" i="11"/>
  <c r="T784" i="11"/>
  <c r="T785" i="11"/>
  <c r="T786" i="11"/>
  <c r="T787" i="11"/>
  <c r="T789" i="11"/>
  <c r="T790" i="11"/>
  <c r="T791" i="11"/>
  <c r="T792" i="11"/>
  <c r="T793" i="11"/>
  <c r="T794" i="11"/>
  <c r="T795" i="11"/>
  <c r="T796" i="11"/>
  <c r="T797" i="11"/>
  <c r="T798" i="11"/>
  <c r="T799" i="11"/>
  <c r="T800" i="11"/>
  <c r="T801" i="11"/>
  <c r="T802" i="11"/>
  <c r="T803" i="11"/>
  <c r="T804" i="11"/>
  <c r="T805" i="11"/>
  <c r="T806" i="11"/>
  <c r="T807" i="11"/>
  <c r="T173" i="11"/>
  <c r="T808" i="11"/>
  <c r="T809" i="11"/>
  <c r="T810" i="11"/>
  <c r="T811" i="11"/>
  <c r="T812" i="11"/>
  <c r="T814" i="11"/>
  <c r="T815" i="11"/>
  <c r="T816" i="11"/>
  <c r="T817" i="11"/>
  <c r="T818" i="11"/>
  <c r="T819" i="11"/>
  <c r="T820" i="11"/>
  <c r="T240" i="11"/>
  <c r="T821" i="11"/>
  <c r="T822" i="11"/>
  <c r="T823" i="11"/>
  <c r="T824" i="11"/>
  <c r="T825" i="11"/>
  <c r="T468" i="11"/>
  <c r="T826" i="11"/>
  <c r="T827" i="11"/>
  <c r="T828" i="11"/>
  <c r="T829" i="11"/>
  <c r="T830" i="11"/>
  <c r="T831" i="11"/>
  <c r="T832" i="11"/>
  <c r="T833" i="11"/>
  <c r="T834" i="11"/>
  <c r="T835" i="11"/>
  <c r="T640" i="11"/>
  <c r="T836" i="11"/>
  <c r="T837" i="11"/>
  <c r="T838" i="11"/>
  <c r="T839" i="11"/>
  <c r="T840" i="11"/>
  <c r="T841" i="11"/>
  <c r="T842" i="11"/>
  <c r="T813" i="11"/>
  <c r="T843" i="11"/>
  <c r="T844" i="11"/>
  <c r="T845" i="11"/>
  <c r="T846" i="11"/>
  <c r="T847" i="11"/>
  <c r="T848" i="11"/>
  <c r="T849" i="11"/>
  <c r="T850" i="11"/>
  <c r="T851" i="11"/>
  <c r="T852" i="11"/>
  <c r="T853" i="11"/>
  <c r="T854" i="11"/>
  <c r="T856" i="11"/>
  <c r="T857" i="11"/>
  <c r="T858" i="11"/>
  <c r="T859" i="11"/>
  <c r="T860" i="11"/>
  <c r="T861" i="11"/>
  <c r="T862" i="11"/>
  <c r="T863" i="11"/>
  <c r="T864" i="11"/>
  <c r="T865" i="11"/>
  <c r="T866" i="11"/>
  <c r="T867" i="11"/>
  <c r="T868" i="11"/>
  <c r="T869" i="11"/>
  <c r="T870" i="11"/>
  <c r="T871" i="11"/>
  <c r="T872" i="11"/>
  <c r="T873" i="11"/>
  <c r="T874" i="11"/>
  <c r="T875" i="11"/>
  <c r="T876" i="11"/>
  <c r="T877" i="11"/>
  <c r="T878" i="11"/>
  <c r="T879" i="11"/>
  <c r="T880" i="11"/>
  <c r="T881" i="11"/>
  <c r="T882" i="11"/>
  <c r="T883" i="11"/>
  <c r="T884" i="11"/>
  <c r="T885" i="11"/>
  <c r="T886" i="11"/>
  <c r="T887" i="11"/>
  <c r="T855" i="11"/>
  <c r="T888" i="11"/>
  <c r="T889" i="11"/>
  <c r="T890" i="11"/>
  <c r="T891" i="11"/>
  <c r="T892" i="11"/>
  <c r="T893" i="11"/>
  <c r="T894" i="11"/>
  <c r="T895" i="11"/>
  <c r="T896" i="11"/>
  <c r="T897" i="11"/>
  <c r="T898" i="11"/>
  <c r="T899" i="11"/>
  <c r="T900" i="11"/>
  <c r="T901" i="11"/>
  <c r="T902" i="11"/>
  <c r="T903" i="11"/>
  <c r="T904" i="11"/>
  <c r="T905" i="11"/>
  <c r="T906" i="11"/>
  <c r="T907" i="11"/>
  <c r="T908" i="11"/>
  <c r="T909" i="11"/>
  <c r="T910" i="11"/>
  <c r="T911" i="11"/>
  <c r="T912" i="11"/>
  <c r="T913" i="11"/>
  <c r="T914" i="11"/>
  <c r="T915" i="11"/>
  <c r="T916" i="11"/>
  <c r="T917" i="11"/>
  <c r="T918" i="11"/>
  <c r="T919" i="11"/>
  <c r="T920" i="11"/>
  <c r="T921" i="11"/>
  <c r="T922" i="11"/>
  <c r="T923" i="11"/>
  <c r="T924" i="11"/>
  <c r="T925" i="11"/>
  <c r="T926" i="11"/>
  <c r="T927" i="11"/>
  <c r="T928" i="11"/>
  <c r="T929" i="11"/>
  <c r="T931" i="11"/>
  <c r="T932" i="11"/>
  <c r="T933" i="11"/>
  <c r="T934" i="11"/>
  <c r="T935" i="11"/>
  <c r="T936" i="11"/>
  <c r="T937" i="11"/>
  <c r="T938" i="11"/>
  <c r="T939" i="11"/>
  <c r="T940" i="11"/>
  <c r="T941" i="11"/>
  <c r="T942" i="11"/>
  <c r="T943" i="11"/>
  <c r="T944" i="11"/>
  <c r="T945" i="11"/>
  <c r="T946" i="11"/>
  <c r="T947" i="11"/>
  <c r="T948" i="11"/>
  <c r="T949" i="11"/>
  <c r="T950" i="11"/>
  <c r="T951" i="11"/>
  <c r="T952" i="11"/>
  <c r="T953" i="11"/>
  <c r="T954" i="11"/>
  <c r="T955" i="11"/>
  <c r="T956" i="11"/>
  <c r="T957" i="11"/>
  <c r="T958" i="11"/>
  <c r="T959" i="11"/>
  <c r="T960" i="11"/>
  <c r="T961" i="11"/>
  <c r="T962" i="11"/>
  <c r="T963" i="11"/>
  <c r="T964" i="11"/>
  <c r="T965" i="11"/>
  <c r="T966" i="11"/>
  <c r="T967" i="11"/>
  <c r="T968" i="11"/>
  <c r="T969" i="11"/>
  <c r="T970" i="11"/>
  <c r="T971" i="11"/>
  <c r="T972" i="11"/>
  <c r="T973" i="11"/>
  <c r="T974" i="11"/>
  <c r="T975" i="11"/>
  <c r="T976" i="11"/>
  <c r="T977" i="11"/>
  <c r="T978" i="11"/>
  <c r="T979" i="11"/>
  <c r="T980" i="11"/>
  <c r="T981" i="11"/>
  <c r="T982" i="11"/>
  <c r="T983" i="11"/>
  <c r="T984" i="11"/>
  <c r="T985" i="11"/>
  <c r="T986" i="11"/>
  <c r="T987" i="11"/>
  <c r="T988" i="11"/>
  <c r="T989" i="11"/>
  <c r="T990" i="11"/>
  <c r="T320" i="11"/>
  <c r="T991" i="11"/>
  <c r="T992" i="11"/>
  <c r="T993" i="11"/>
  <c r="T994" i="11"/>
  <c r="T995" i="11"/>
  <c r="T996" i="11"/>
  <c r="T997" i="11"/>
  <c r="T998" i="11"/>
  <c r="T999" i="11"/>
  <c r="T1001" i="11"/>
  <c r="T649" i="11"/>
  <c r="T1002" i="11"/>
  <c r="T1003" i="11"/>
  <c r="T1004" i="11"/>
  <c r="T1005" i="11"/>
  <c r="T1006" i="11"/>
  <c r="T541" i="11"/>
  <c r="T1007" i="11"/>
  <c r="T1008" i="11"/>
  <c r="T1009" i="11"/>
  <c r="T1010" i="11"/>
  <c r="T1011" i="11"/>
  <c r="T1012" i="11"/>
  <c r="T1013" i="11"/>
  <c r="T1014" i="11"/>
  <c r="T930" i="11"/>
  <c r="T1015" i="11"/>
  <c r="T1016" i="11"/>
  <c r="T1017" i="11"/>
  <c r="T1018" i="11"/>
  <c r="T1019" i="11"/>
  <c r="T1020" i="11"/>
  <c r="T1021" i="11"/>
  <c r="T1022" i="11"/>
  <c r="T1023" i="11"/>
  <c r="T1025" i="11"/>
  <c r="T1026" i="11"/>
  <c r="T1027" i="11"/>
  <c r="T1028" i="11"/>
  <c r="T1030" i="11"/>
  <c r="T1031" i="11"/>
  <c r="T1032" i="11"/>
  <c r="T1033" i="11"/>
  <c r="T1034" i="11"/>
  <c r="T1035" i="11"/>
  <c r="T1036" i="11"/>
  <c r="T1037" i="11"/>
  <c r="T1038" i="11"/>
  <c r="T1039" i="11"/>
  <c r="T1040" i="11"/>
  <c r="T1041" i="11"/>
  <c r="T1042" i="11"/>
  <c r="T1043" i="11"/>
  <c r="T1045" i="11"/>
  <c r="T1024" i="11"/>
  <c r="T1046" i="11"/>
  <c r="T1047" i="11"/>
  <c r="T1048" i="11"/>
  <c r="T1049" i="11"/>
  <c r="T1050" i="11"/>
  <c r="T1051" i="11"/>
  <c r="T1052" i="11"/>
  <c r="T1053" i="11"/>
  <c r="T1054" i="11"/>
  <c r="T1055" i="11"/>
  <c r="T1056" i="11"/>
  <c r="T1057" i="11"/>
  <c r="T1058" i="11"/>
  <c r="T1059" i="11"/>
  <c r="T1060" i="11"/>
  <c r="T1061" i="11"/>
  <c r="T1062" i="11"/>
  <c r="T1063" i="11"/>
  <c r="T1064" i="11"/>
  <c r="T1065" i="11"/>
  <c r="T1066" i="11"/>
  <c r="T1067" i="11"/>
  <c r="T1068" i="11"/>
  <c r="T1069" i="11"/>
  <c r="T1070" i="11"/>
  <c r="T1071" i="11"/>
  <c r="T1072" i="11"/>
  <c r="T1073" i="11"/>
  <c r="T1074" i="11"/>
  <c r="T1075" i="11"/>
  <c r="T1076" i="11"/>
  <c r="T1077" i="11"/>
  <c r="T1078" i="11"/>
  <c r="T1080" i="11"/>
  <c r="T1081" i="11"/>
  <c r="T1082" i="11"/>
  <c r="T1083" i="11"/>
  <c r="T1084" i="11"/>
  <c r="T1085" i="11"/>
  <c r="T1086" i="11"/>
  <c r="T1087" i="11"/>
  <c r="T1088" i="11"/>
  <c r="T1089" i="11"/>
  <c r="T1090" i="11"/>
  <c r="T1091" i="11"/>
  <c r="T1079" i="11"/>
  <c r="T1092" i="11"/>
  <c r="T1093" i="11"/>
  <c r="T1094" i="11"/>
  <c r="T1095" i="11"/>
  <c r="T1096" i="11"/>
  <c r="T1097" i="11"/>
  <c r="T1098" i="11"/>
  <c r="T1099" i="11"/>
  <c r="T1100" i="11"/>
  <c r="T1101" i="11"/>
  <c r="T1102" i="11"/>
  <c r="T1103" i="11"/>
  <c r="T1104" i="11"/>
  <c r="T1105" i="11"/>
  <c r="T1106" i="11"/>
  <c r="T1107" i="11"/>
  <c r="T1108" i="11"/>
  <c r="T1109" i="11"/>
  <c r="T1110" i="11"/>
  <c r="T1111" i="11"/>
  <c r="T1112" i="11"/>
  <c r="T1113" i="11"/>
  <c r="T1114" i="11"/>
  <c r="T1115" i="11"/>
  <c r="T1116" i="11"/>
  <c r="T1117" i="11"/>
  <c r="T1118" i="11"/>
  <c r="T1119" i="11"/>
  <c r="T1120" i="11"/>
  <c r="T1123" i="11"/>
  <c r="T1124" i="11"/>
  <c r="T1125" i="11"/>
  <c r="T1126" i="11"/>
  <c r="T1127" i="11"/>
  <c r="T1128" i="11"/>
  <c r="T1129" i="11"/>
  <c r="T1130" i="11"/>
  <c r="T1131" i="11"/>
  <c r="T1132" i="11"/>
  <c r="T1133" i="11"/>
  <c r="T1134" i="11"/>
  <c r="T1135" i="11"/>
  <c r="T1136" i="11"/>
  <c r="T1137" i="11"/>
  <c r="T1138" i="11"/>
  <c r="T1139" i="11"/>
  <c r="T1140" i="11"/>
  <c r="T1121" i="11"/>
  <c r="T1141" i="11"/>
  <c r="T1142" i="11"/>
  <c r="T1143" i="11"/>
  <c r="T1144" i="11"/>
  <c r="T1146" i="11"/>
  <c r="T1147" i="11"/>
  <c r="T1148" i="11"/>
  <c r="T1149" i="11"/>
  <c r="T1150" i="11"/>
  <c r="T1151" i="11"/>
  <c r="T1152" i="11"/>
  <c r="T1153" i="11"/>
  <c r="T1154" i="11"/>
  <c r="T1155" i="11"/>
  <c r="T247" i="11"/>
  <c r="T1156" i="11"/>
  <c r="T215" i="11"/>
  <c r="T1157" i="11"/>
  <c r="T1158" i="11"/>
  <c r="T1159" i="11"/>
  <c r="T1160" i="11"/>
  <c r="T1161" i="11"/>
  <c r="T1162" i="11"/>
  <c r="T1163" i="11"/>
  <c r="T1145" i="11"/>
  <c r="T1164" i="11"/>
  <c r="T582" i="11"/>
  <c r="T1165" i="11"/>
  <c r="T1166" i="11"/>
  <c r="T1167" i="11"/>
  <c r="T788" i="11"/>
  <c r="T1168" i="11"/>
  <c r="T1169" i="11"/>
  <c r="T1170" i="11"/>
  <c r="T1171" i="11"/>
  <c r="T1122" i="11"/>
  <c r="T1173" i="11"/>
  <c r="T1174" i="11"/>
  <c r="T1175" i="11"/>
  <c r="T1044" i="11"/>
  <c r="T1176" i="11"/>
  <c r="T1177" i="11"/>
  <c r="T1178" i="11"/>
  <c r="T1179" i="11"/>
  <c r="T1180" i="11"/>
  <c r="T1181" i="11"/>
  <c r="T1182" i="11"/>
  <c r="T1183" i="11"/>
  <c r="T1184" i="11"/>
  <c r="T1185" i="11"/>
  <c r="T1186" i="11"/>
  <c r="T1187" i="11"/>
  <c r="T1188" i="11"/>
  <c r="T1189" i="11"/>
  <c r="T1190" i="11"/>
  <c r="T1191" i="11"/>
  <c r="T1192" i="11"/>
  <c r="T1193" i="11"/>
  <c r="T1194" i="11"/>
  <c r="T1195" i="11"/>
  <c r="T1196" i="11"/>
  <c r="T1197" i="11"/>
  <c r="T1198" i="11"/>
  <c r="T1199" i="11"/>
  <c r="T1200" i="11"/>
  <c r="T1201" i="11"/>
  <c r="T1202" i="11"/>
  <c r="T1203" i="11"/>
  <c r="T1204" i="11"/>
  <c r="T1205" i="11"/>
  <c r="T1206" i="11"/>
  <c r="T1207" i="11"/>
  <c r="T1208" i="11"/>
  <c r="T1209" i="11"/>
  <c r="T1210" i="11"/>
  <c r="T1211" i="11"/>
  <c r="T1212" i="11"/>
  <c r="T1213" i="11"/>
  <c r="T1214" i="11"/>
  <c r="T1215" i="11"/>
  <c r="T1216" i="11"/>
  <c r="T1217" i="11"/>
  <c r="T1218" i="11"/>
  <c r="T1219" i="11"/>
  <c r="T1220" i="11"/>
  <c r="T1221" i="11"/>
  <c r="T1222" i="11"/>
  <c r="T1223" i="11"/>
  <c r="T1224" i="11"/>
  <c r="T1225" i="11"/>
  <c r="T1226" i="11"/>
  <c r="T1227" i="11"/>
  <c r="T1228" i="11"/>
  <c r="T1229" i="11"/>
  <c r="T1230" i="11"/>
  <c r="T1231" i="11"/>
  <c r="T1232" i="11"/>
  <c r="T1233" i="11"/>
  <c r="T1234" i="11"/>
  <c r="T1235" i="11"/>
  <c r="T1236" i="11"/>
  <c r="T1237" i="11"/>
  <c r="T1238" i="11"/>
  <c r="T1239" i="11"/>
  <c r="T1240" i="11"/>
  <c r="T1241" i="11"/>
  <c r="T1242" i="11"/>
  <c r="T1243" i="11"/>
  <c r="T1244" i="11"/>
  <c r="T1245" i="11"/>
  <c r="T1246" i="11"/>
  <c r="T1247" i="11"/>
  <c r="T1248" i="11"/>
  <c r="T1249" i="11"/>
  <c r="T1250" i="11"/>
  <c r="T1252" i="11"/>
  <c r="T1253" i="11"/>
  <c r="T1254" i="11"/>
  <c r="T1255" i="11"/>
  <c r="T1256" i="11"/>
  <c r="T1257" i="11"/>
  <c r="T1258" i="11"/>
  <c r="T1259" i="11"/>
  <c r="T1260" i="11"/>
  <c r="T1261" i="11"/>
  <c r="T1262" i="11"/>
  <c r="T1263" i="11"/>
  <c r="T1264" i="11"/>
  <c r="T1265" i="11"/>
  <c r="T1266" i="11"/>
  <c r="T1267" i="11"/>
  <c r="T1268" i="11"/>
  <c r="T1269" i="11"/>
  <c r="T1270" i="11"/>
  <c r="T1271" i="11"/>
  <c r="T1272" i="11"/>
  <c r="T1251" i="11"/>
  <c r="T1273" i="11"/>
  <c r="T1274" i="11"/>
  <c r="T1275" i="11"/>
  <c r="T1276" i="11"/>
  <c r="T1277" i="11"/>
  <c r="T1278" i="11"/>
  <c r="T1280" i="11"/>
  <c r="T1281" i="11"/>
  <c r="T1282" i="11"/>
  <c r="T1283" i="11"/>
  <c r="T1284" i="11"/>
  <c r="T1285" i="11"/>
  <c r="T1286" i="11"/>
  <c r="T1287" i="11"/>
  <c r="T1288" i="11"/>
  <c r="T1289" i="11"/>
  <c r="T1290" i="11"/>
  <c r="T1291" i="11"/>
  <c r="T1292" i="11"/>
  <c r="T1293" i="11"/>
  <c r="T1294" i="11"/>
  <c r="T1295" i="11"/>
  <c r="T1296" i="11"/>
  <c r="T1297" i="11"/>
  <c r="T1298" i="11"/>
  <c r="T1299" i="11"/>
  <c r="T1300" i="11"/>
  <c r="T1301" i="11"/>
  <c r="T1302" i="11"/>
  <c r="T1303" i="11"/>
  <c r="T1304" i="11"/>
  <c r="T1305" i="11"/>
  <c r="T1306" i="11"/>
  <c r="T1307" i="11"/>
  <c r="T1308" i="11"/>
  <c r="T1309" i="11"/>
  <c r="T1279" i="11"/>
  <c r="T1310" i="11"/>
  <c r="T1311" i="11"/>
  <c r="T1312" i="11"/>
  <c r="T1313" i="11"/>
  <c r="T1314" i="11"/>
  <c r="T1315" i="11"/>
  <c r="T1316" i="11"/>
  <c r="T1317" i="11"/>
  <c r="T1318" i="11"/>
  <c r="T1319" i="11"/>
  <c r="T1320" i="11"/>
  <c r="T1321" i="11"/>
  <c r="T1322" i="11"/>
  <c r="T1323" i="11"/>
  <c r="T1324" i="11"/>
  <c r="T1325" i="11"/>
  <c r="T1326" i="11"/>
  <c r="T618" i="11"/>
  <c r="T1327" i="11"/>
  <c r="T1328" i="11"/>
  <c r="T1329" i="11"/>
  <c r="T1330" i="11"/>
  <c r="T532" i="11"/>
  <c r="T1331" i="11"/>
  <c r="T725" i="11"/>
  <c r="T754" i="11"/>
  <c r="T1332" i="11"/>
  <c r="T1333" i="11"/>
  <c r="T1334" i="11"/>
  <c r="T1335" i="11"/>
  <c r="T1336" i="11"/>
  <c r="T1337" i="11"/>
  <c r="T1338" i="11"/>
  <c r="T1339" i="11"/>
  <c r="T1340" i="11"/>
  <c r="T1341" i="11"/>
  <c r="T1172" i="11"/>
  <c r="T1342" i="11"/>
  <c r="T1343" i="11"/>
  <c r="T1344" i="11"/>
  <c r="T1345" i="11"/>
  <c r="T1346" i="11"/>
  <c r="T1347" i="11"/>
  <c r="T1348" i="11"/>
  <c r="T1349" i="11"/>
  <c r="T1350" i="11"/>
  <c r="T1351" i="11"/>
  <c r="T1352" i="11"/>
  <c r="T1353" i="11"/>
  <c r="T1354" i="11"/>
  <c r="T1355" i="11"/>
  <c r="T1356" i="11"/>
  <c r="T1357" i="11"/>
  <c r="T1358" i="11"/>
  <c r="T1359" i="11"/>
  <c r="T1360" i="11"/>
  <c r="T1361" i="11"/>
  <c r="T1362" i="11"/>
  <c r="T1363" i="11"/>
  <c r="T1364" i="11"/>
  <c r="T1365" i="11"/>
  <c r="T1366" i="11"/>
  <c r="T1367" i="11"/>
  <c r="T1368" i="11"/>
  <c r="T1369" i="11"/>
  <c r="T1370" i="11"/>
  <c r="T1371" i="11"/>
  <c r="T1372" i="11"/>
  <c r="T1373" i="11"/>
  <c r="T1374" i="11"/>
  <c r="T1375" i="11"/>
  <c r="T1376" i="11"/>
  <c r="T1377" i="11"/>
  <c r="T1378" i="11"/>
  <c r="T1379" i="11"/>
  <c r="T1380" i="11"/>
  <c r="T1381" i="11"/>
  <c r="T1382" i="11"/>
  <c r="T1383" i="11"/>
  <c r="T1384" i="11"/>
  <c r="T1385" i="11"/>
  <c r="T1386" i="11"/>
  <c r="T1387" i="11"/>
  <c r="T1388" i="11"/>
  <c r="T1389" i="11"/>
  <c r="T1390" i="11"/>
  <c r="T1391" i="11"/>
  <c r="T1392" i="11"/>
  <c r="T1393" i="11"/>
  <c r="T1394" i="11"/>
  <c r="T1395" i="11"/>
  <c r="T1396" i="11"/>
  <c r="T1397" i="11"/>
  <c r="T1398" i="11"/>
  <c r="T1399" i="11"/>
  <c r="T1400" i="11"/>
  <c r="T1401" i="11"/>
  <c r="T1402" i="11"/>
  <c r="T1403" i="11"/>
  <c r="T1404" i="11"/>
  <c r="T1405" i="11"/>
  <c r="T1406" i="11"/>
  <c r="T1407" i="11"/>
  <c r="T1408" i="11"/>
  <c r="T1409" i="11"/>
  <c r="T1410" i="11"/>
  <c r="T1411" i="11"/>
  <c r="T1412" i="11"/>
  <c r="T1413" i="11"/>
  <c r="T1414" i="11"/>
  <c r="T1415" i="11"/>
  <c r="T1416" i="11"/>
  <c r="T1419" i="11"/>
  <c r="T1420" i="11"/>
  <c r="T1421" i="11"/>
  <c r="T1422" i="11"/>
  <c r="T1423" i="11"/>
  <c r="T1425" i="11"/>
  <c r="T1426" i="11"/>
  <c r="T1427" i="11"/>
  <c r="T1428" i="11"/>
  <c r="T1429" i="11"/>
  <c r="T1430" i="11"/>
  <c r="T1431" i="11"/>
  <c r="T1432" i="11"/>
  <c r="T1433" i="11"/>
  <c r="T1434" i="11"/>
  <c r="T1435" i="11"/>
  <c r="T1436" i="11"/>
  <c r="T1437" i="11"/>
  <c r="T1438" i="11"/>
  <c r="T1439" i="11"/>
  <c r="T1440" i="11"/>
  <c r="T1441" i="11"/>
  <c r="T1442" i="11"/>
  <c r="T1443" i="11"/>
  <c r="T1444" i="11"/>
  <c r="T1417" i="11"/>
  <c r="T1445" i="11"/>
  <c r="T1446" i="11"/>
  <c r="T1447" i="11"/>
  <c r="T1448" i="11"/>
  <c r="T1449" i="11"/>
  <c r="T1450" i="11"/>
  <c r="T1424" i="11"/>
  <c r="T1451" i="11"/>
  <c r="T1452" i="11"/>
  <c r="T1453" i="11"/>
  <c r="T1454" i="11"/>
  <c r="T1455" i="11"/>
  <c r="T1457" i="11"/>
  <c r="T1458" i="11"/>
  <c r="T1459" i="11"/>
  <c r="T1460" i="11"/>
  <c r="T1461" i="11"/>
  <c r="T1462" i="11"/>
  <c r="T1463" i="11"/>
  <c r="T1464" i="11"/>
  <c r="T1465" i="11"/>
  <c r="T1466" i="11"/>
  <c r="T1467" i="11"/>
  <c r="T1468" i="11"/>
  <c r="T1469" i="11"/>
  <c r="T1470" i="11"/>
  <c r="T1471" i="11"/>
  <c r="T1472" i="11"/>
  <c r="T58" i="11"/>
  <c r="T1473" i="11"/>
  <c r="T1474" i="11"/>
  <c r="T1475" i="11"/>
  <c r="T1476" i="11"/>
  <c r="T1477" i="11"/>
  <c r="T1478" i="11"/>
  <c r="T1479" i="11"/>
  <c r="T1480" i="11"/>
  <c r="T1481" i="11"/>
  <c r="T1482" i="11"/>
  <c r="T1483" i="11"/>
  <c r="T1456" i="11"/>
  <c r="T1484" i="11"/>
  <c r="T1485" i="11"/>
  <c r="T1486" i="11"/>
  <c r="T1487" i="11"/>
  <c r="T1488" i="11"/>
  <c r="T1489" i="11"/>
  <c r="T573" i="11"/>
  <c r="T1490" i="11"/>
  <c r="T1491" i="11"/>
  <c r="T1492" i="11"/>
  <c r="T1493" i="11"/>
  <c r="T1494" i="11"/>
  <c r="T1495" i="11"/>
  <c r="T1496" i="11"/>
  <c r="T1497" i="11"/>
  <c r="T1498" i="11"/>
  <c r="T1499" i="11"/>
  <c r="T1500" i="11"/>
  <c r="T1501" i="11"/>
  <c r="T1502" i="11"/>
  <c r="T1000" i="11"/>
  <c r="T1029" i="11"/>
  <c r="T1503" i="11"/>
  <c r="T1504" i="11"/>
  <c r="T1505" i="11"/>
  <c r="T1506" i="11"/>
  <c r="T1507" i="11"/>
  <c r="T1508" i="11"/>
  <c r="T1509" i="11"/>
  <c r="T1510" i="11"/>
  <c r="T1511" i="11"/>
  <c r="T1512" i="11"/>
  <c r="T1513" i="11"/>
  <c r="T1514" i="11"/>
  <c r="T1516" i="11"/>
  <c r="T1517" i="11"/>
  <c r="T1518" i="11"/>
  <c r="T1519" i="11"/>
  <c r="T1520" i="11"/>
  <c r="T1522" i="11"/>
  <c r="T1523" i="11"/>
  <c r="T1524" i="11"/>
  <c r="T1525" i="11"/>
  <c r="T1526" i="11"/>
  <c r="T1527" i="11"/>
  <c r="T1528" i="11"/>
  <c r="T1529" i="11"/>
  <c r="T1530" i="11"/>
  <c r="T1531" i="11"/>
  <c r="T1532" i="11"/>
  <c r="T1533" i="11"/>
  <c r="T1535" i="11"/>
  <c r="T1536" i="11"/>
  <c r="T1537" i="11"/>
  <c r="T1538" i="11"/>
  <c r="T1539" i="11"/>
  <c r="T1540" i="11"/>
  <c r="T1515" i="11"/>
  <c r="T1541" i="11"/>
  <c r="T1542" i="11"/>
  <c r="T1543" i="11"/>
  <c r="T1544" i="11"/>
  <c r="T1545" i="11"/>
  <c r="T1546" i="11"/>
  <c r="T1547" i="11"/>
  <c r="T1548" i="11"/>
  <c r="T1549" i="11"/>
  <c r="T1550" i="11"/>
  <c r="T1521" i="11"/>
  <c r="T1551" i="11"/>
  <c r="T1552" i="11"/>
  <c r="T1553" i="11"/>
  <c r="T1554" i="11"/>
  <c r="T1555" i="11"/>
  <c r="T1556" i="11"/>
  <c r="T1557" i="11"/>
  <c r="T1558" i="11"/>
  <c r="T1559" i="11"/>
  <c r="T1560" i="11"/>
  <c r="T1561" i="11"/>
  <c r="T1562" i="11"/>
  <c r="T1563" i="11"/>
  <c r="T1564" i="11"/>
  <c r="T1566" i="11"/>
  <c r="T1567" i="11"/>
  <c r="T1568" i="11"/>
  <c r="T1569" i="11"/>
  <c r="T1534" i="11"/>
  <c r="T1570" i="11"/>
  <c r="T1571" i="11"/>
  <c r="T1572" i="11"/>
  <c r="T1573" i="11"/>
  <c r="T1574" i="11"/>
  <c r="T1575" i="11"/>
  <c r="T1576" i="11"/>
  <c r="T1577" i="11"/>
  <c r="T1578" i="11"/>
  <c r="T1579" i="11"/>
  <c r="T1580" i="11"/>
  <c r="T1581" i="11"/>
  <c r="T1582" i="11"/>
  <c r="T1583" i="11"/>
  <c r="T1584" i="11"/>
  <c r="T1586" i="11"/>
  <c r="T1587" i="11"/>
  <c r="T1588" i="11"/>
  <c r="T1589" i="11"/>
  <c r="T1590" i="11"/>
  <c r="T1591" i="11"/>
  <c r="T1592" i="11"/>
  <c r="T1593" i="11"/>
  <c r="T1594" i="11"/>
  <c r="T1595" i="11"/>
  <c r="T1565" i="11"/>
  <c r="T1596" i="11"/>
  <c r="T1597" i="11"/>
  <c r="T1598" i="11"/>
  <c r="T1599" i="11"/>
  <c r="T1600" i="11"/>
  <c r="T1601" i="11"/>
  <c r="T1602" i="11"/>
  <c r="T1603" i="11"/>
  <c r="T1604" i="11"/>
  <c r="T1605" i="11"/>
  <c r="T1606" i="11"/>
  <c r="T1607" i="11"/>
  <c r="T1608" i="11"/>
  <c r="T1609" i="11"/>
  <c r="T1610" i="11"/>
  <c r="T1611" i="11"/>
  <c r="T1612" i="11"/>
  <c r="T1613" i="11"/>
  <c r="T1614" i="11"/>
  <c r="T1615" i="11"/>
  <c r="T1616" i="11"/>
  <c r="T1617" i="11"/>
  <c r="T1618" i="11"/>
  <c r="T1585" i="11"/>
  <c r="T1619" i="11"/>
  <c r="T1620" i="11"/>
  <c r="T1621" i="11"/>
  <c r="T1622" i="11"/>
  <c r="T1623" i="11"/>
  <c r="T1624" i="11"/>
  <c r="T1625" i="11"/>
  <c r="T1626" i="11"/>
  <c r="T1627" i="11"/>
  <c r="T1628" i="11"/>
  <c r="T1629" i="11"/>
  <c r="T1630" i="11"/>
  <c r="T1631" i="11"/>
  <c r="T1632" i="11"/>
  <c r="T1633" i="11"/>
  <c r="T1634" i="11"/>
  <c r="T1635" i="11"/>
  <c r="T1636" i="11"/>
  <c r="T1637" i="11"/>
  <c r="T1638" i="11"/>
  <c r="T1639" i="11"/>
  <c r="T1640" i="11"/>
  <c r="T1641" i="11"/>
  <c r="T1642" i="11"/>
  <c r="T1643" i="11"/>
  <c r="T1644" i="11"/>
  <c r="T1645" i="11"/>
  <c r="T1646" i="11"/>
  <c r="T1647" i="11"/>
  <c r="T152" i="11"/>
  <c r="T1648" i="11"/>
  <c r="T67" i="11"/>
  <c r="T79" i="11"/>
  <c r="T364" i="11"/>
  <c r="T1649" i="11"/>
  <c r="T1650" i="11"/>
  <c r="T1651" i="11"/>
  <c r="T1652" i="11"/>
  <c r="T1654" i="11"/>
  <c r="T1655" i="11"/>
  <c r="T1656" i="11"/>
  <c r="T1657" i="11"/>
  <c r="T1658" i="11"/>
  <c r="T1659" i="11"/>
  <c r="T1660" i="11"/>
  <c r="T563" i="11"/>
  <c r="T1661" i="11"/>
  <c r="T1662" i="11"/>
  <c r="T1663" i="11"/>
  <c r="T1664" i="11"/>
  <c r="T1665" i="11"/>
  <c r="T1666" i="11"/>
  <c r="T1667" i="11"/>
  <c r="T1668" i="11"/>
  <c r="T1669" i="11"/>
  <c r="T1653" i="11"/>
  <c r="T1670" i="11"/>
  <c r="T1671" i="11"/>
  <c r="T1672" i="11"/>
  <c r="T1673" i="11"/>
  <c r="T1674" i="11"/>
  <c r="T1675" i="11"/>
  <c r="T1676" i="11"/>
  <c r="T1677" i="11"/>
  <c r="T1678" i="11"/>
  <c r="T1679" i="11"/>
  <c r="T1680" i="11"/>
  <c r="T1681" i="11"/>
  <c r="T1682" i="11"/>
  <c r="T1683" i="11"/>
  <c r="T1684" i="11"/>
  <c r="T1685" i="11"/>
  <c r="T1686" i="11"/>
  <c r="T1687" i="11"/>
  <c r="T1688" i="11"/>
  <c r="T1689" i="11"/>
  <c r="T1690" i="11"/>
  <c r="T1691" i="11"/>
  <c r="T1692" i="11"/>
  <c r="T1693" i="11"/>
  <c r="T1694" i="11"/>
  <c r="T1695" i="11"/>
  <c r="T1696" i="11"/>
  <c r="T1697" i="11"/>
  <c r="T1698" i="11"/>
  <c r="T1699" i="11"/>
  <c r="T1700" i="11"/>
  <c r="T1701" i="11"/>
  <c r="T1702" i="11"/>
  <c r="T1703" i="11"/>
  <c r="T1704" i="11"/>
  <c r="T1705" i="11"/>
  <c r="T1706" i="11"/>
  <c r="T1707" i="11"/>
  <c r="T1708" i="11"/>
  <c r="T1709" i="11"/>
  <c r="T1710" i="11"/>
  <c r="T1711" i="11"/>
  <c r="T1712" i="11"/>
  <c r="T1713" i="11"/>
  <c r="T1714" i="11"/>
  <c r="T1715" i="11"/>
  <c r="T1716" i="11"/>
  <c r="T1717" i="11"/>
  <c r="T1718" i="11"/>
  <c r="T1719" i="11"/>
  <c r="T1720" i="11"/>
  <c r="T1721" i="11"/>
  <c r="T1722" i="11"/>
  <c r="T1723" i="11"/>
  <c r="T1724" i="11"/>
  <c r="T1725" i="11"/>
  <c r="T1726" i="11"/>
  <c r="T1727" i="11"/>
  <c r="T1728" i="11"/>
  <c r="T1729" i="11"/>
  <c r="T1730" i="11"/>
  <c r="T1731" i="11"/>
  <c r="T1732" i="11"/>
  <c r="T1733" i="11"/>
  <c r="T1734" i="11"/>
  <c r="T1735" i="11"/>
  <c r="T1736" i="11"/>
  <c r="T1737" i="11"/>
  <c r="T1738" i="11"/>
  <c r="T1739" i="11"/>
  <c r="T1740" i="11"/>
  <c r="T1741" i="11"/>
  <c r="T1742" i="11"/>
  <c r="T1743" i="11"/>
  <c r="T1745" i="11"/>
  <c r="T1746" i="11"/>
  <c r="T1747" i="11"/>
  <c r="T1748" i="11"/>
  <c r="T1749" i="11"/>
  <c r="T1750" i="11"/>
  <c r="T1751" i="11"/>
  <c r="T1752" i="11"/>
  <c r="T1753" i="11"/>
  <c r="T1754" i="11"/>
  <c r="T1755" i="11"/>
  <c r="T1756" i="11"/>
  <c r="T1757" i="11"/>
  <c r="T1758" i="11"/>
  <c r="T1759" i="11"/>
  <c r="T1760" i="11"/>
  <c r="T1761" i="11"/>
  <c r="T1763" i="11"/>
  <c r="T1764" i="11"/>
  <c r="T1765" i="11"/>
  <c r="T1766" i="11"/>
  <c r="T1767" i="11"/>
  <c r="T1768" i="11"/>
  <c r="T1769" i="11"/>
  <c r="T1770" i="11"/>
  <c r="T1771" i="11"/>
  <c r="T1744" i="11"/>
  <c r="T1772" i="11"/>
  <c r="T1773" i="11"/>
  <c r="T1774" i="11"/>
  <c r="T1775" i="11"/>
  <c r="T1776" i="11"/>
  <c r="T1777" i="11"/>
  <c r="T1778" i="11"/>
  <c r="T1779" i="11"/>
  <c r="T1780" i="11"/>
  <c r="T1781" i="11"/>
  <c r="T1782" i="11"/>
  <c r="T1783" i="11"/>
  <c r="T1784" i="11"/>
  <c r="T1785" i="11"/>
  <c r="T1786" i="11"/>
  <c r="T1787" i="11"/>
  <c r="T1788" i="11"/>
  <c r="T1789" i="11"/>
  <c r="T1790" i="11"/>
  <c r="T1791" i="11"/>
  <c r="T1762" i="11"/>
  <c r="T1792" i="11"/>
  <c r="T1793" i="11"/>
  <c r="T1794" i="11"/>
  <c r="T1795" i="11"/>
  <c r="T1796" i="11"/>
  <c r="T1797" i="11"/>
  <c r="T1798" i="11"/>
  <c r="T1799" i="11"/>
  <c r="T1800" i="11"/>
  <c r="T1801" i="11"/>
  <c r="T1802" i="11"/>
  <c r="T1803" i="11"/>
  <c r="T1804" i="11"/>
  <c r="T1805" i="11"/>
  <c r="T1806" i="11"/>
  <c r="T1807" i="11"/>
  <c r="T1808" i="11"/>
  <c r="T1809" i="11"/>
  <c r="T1810" i="11"/>
  <c r="T1811" i="11"/>
  <c r="T1812" i="11"/>
  <c r="T1813" i="11"/>
  <c r="T1814" i="11"/>
  <c r="T1815" i="11"/>
  <c r="T1816" i="11"/>
  <c r="T1817" i="11"/>
  <c r="T1818" i="11"/>
  <c r="T1819" i="11"/>
  <c r="T211" i="11"/>
  <c r="T1820" i="11"/>
  <c r="T1823" i="11"/>
  <c r="T1824" i="11"/>
  <c r="T1825" i="11"/>
  <c r="T1826" i="11"/>
  <c r="T224" i="11"/>
  <c r="T1827" i="11"/>
  <c r="T1828" i="11"/>
  <c r="T1829" i="11"/>
  <c r="T1830" i="11"/>
  <c r="T1831" i="11"/>
  <c r="T397" i="11"/>
  <c r="T1832" i="11"/>
  <c r="T1833" i="11"/>
  <c r="T1834" i="11"/>
  <c r="T1835" i="11"/>
  <c r="T692" i="11"/>
  <c r="T1836" i="11"/>
  <c r="T1837" i="11"/>
  <c r="T1838" i="11"/>
  <c r="T1839" i="11"/>
  <c r="T1840" i="11"/>
  <c r="T1841" i="11"/>
  <c r="T1842" i="11"/>
  <c r="T1843" i="11"/>
  <c r="T1844" i="11"/>
  <c r="T1845" i="11"/>
  <c r="T1846" i="11"/>
  <c r="T1847" i="11"/>
  <c r="T1848" i="11"/>
  <c r="T1849" i="11"/>
  <c r="T1850" i="11"/>
  <c r="T1852" i="11"/>
  <c r="T1853" i="11"/>
  <c r="T1854" i="11"/>
  <c r="T1855" i="11"/>
  <c r="T1856" i="11"/>
  <c r="T1821" i="11"/>
  <c r="T1822" i="11"/>
  <c r="T1857" i="11"/>
  <c r="T1858" i="11"/>
  <c r="T1859" i="11"/>
  <c r="T1860" i="11"/>
  <c r="T1861" i="11"/>
  <c r="T1862" i="11"/>
  <c r="T1863" i="11"/>
  <c r="T1864" i="11"/>
  <c r="T1418" i="11"/>
  <c r="T1865" i="11"/>
  <c r="T1866" i="11"/>
  <c r="T1867" i="11"/>
  <c r="T1868" i="11"/>
  <c r="T1869" i="11"/>
  <c r="T1870" i="11"/>
  <c r="T1871" i="11"/>
  <c r="T1872" i="11"/>
  <c r="T1873" i="11"/>
  <c r="T1851" i="11"/>
  <c r="T1874" i="11"/>
  <c r="T1875" i="11"/>
  <c r="T1876" i="11"/>
  <c r="T1877" i="11"/>
  <c r="T1878" i="11"/>
  <c r="T1879" i="11"/>
  <c r="T1880" i="11"/>
  <c r="T1881" i="11"/>
  <c r="T1882" i="11"/>
  <c r="T1883" i="11"/>
  <c r="T1884" i="11"/>
  <c r="T1885" i="11"/>
  <c r="T1886" i="11"/>
  <c r="T1887" i="11"/>
  <c r="T1888" i="11"/>
  <c r="T1889" i="11"/>
  <c r="T1890" i="11"/>
  <c r="T1891" i="11"/>
  <c r="T1892" i="11"/>
  <c r="T1893" i="11"/>
  <c r="T1894" i="11"/>
  <c r="T1895" i="11"/>
  <c r="T1896" i="11"/>
  <c r="T1897" i="11"/>
  <c r="T1898" i="11"/>
  <c r="T1899" i="11"/>
  <c r="T1900" i="11"/>
  <c r="T1901" i="11"/>
  <c r="T1902" i="11"/>
  <c r="T1903" i="11"/>
  <c r="T1904" i="11"/>
  <c r="T1905" i="11"/>
  <c r="T1906" i="11"/>
  <c r="T1907" i="11"/>
  <c r="T1908" i="11"/>
  <c r="T1909" i="11"/>
  <c r="T1910" i="11"/>
  <c r="T1911" i="11"/>
  <c r="T1912" i="11"/>
  <c r="T1913" i="11"/>
  <c r="T1914" i="11"/>
  <c r="T1915" i="11"/>
  <c r="T1916" i="11"/>
  <c r="T1917" i="11"/>
  <c r="T1918" i="11"/>
  <c r="T1919" i="11"/>
  <c r="T1920" i="11"/>
  <c r="T1921" i="11"/>
  <c r="T1922" i="11"/>
  <c r="T1923" i="11"/>
  <c r="T1924" i="11"/>
  <c r="T1925" i="11"/>
  <c r="T1926" i="11"/>
  <c r="T1927" i="11"/>
  <c r="T1928" i="11"/>
  <c r="T1929" i="11"/>
  <c r="T1930" i="11"/>
  <c r="T1931" i="11"/>
  <c r="T1932" i="11"/>
  <c r="T1933" i="11"/>
  <c r="T1934" i="11"/>
  <c r="T1935" i="11"/>
  <c r="T1936" i="11"/>
  <c r="T1937" i="11"/>
  <c r="T1938" i="11"/>
  <c r="T1939" i="11"/>
  <c r="T1940" i="11"/>
  <c r="T1941" i="11"/>
  <c r="T1942" i="11"/>
  <c r="T1943" i="11"/>
  <c r="T1944" i="11"/>
  <c r="T1945" i="11"/>
  <c r="T1946" i="11"/>
  <c r="T1947" i="11"/>
  <c r="T1948" i="11"/>
  <c r="T1949" i="11"/>
  <c r="T1950" i="11"/>
  <c r="T1951" i="11"/>
  <c r="T1952" i="11"/>
  <c r="T1953" i="11"/>
  <c r="T1954" i="11"/>
  <c r="T1955" i="11"/>
  <c r="T1956" i="11"/>
  <c r="T1957" i="11"/>
  <c r="T1958" i="11"/>
  <c r="T1959" i="11"/>
  <c r="T1960" i="11"/>
  <c r="T1961" i="11"/>
  <c r="T1962" i="11"/>
  <c r="T1963" i="11"/>
  <c r="T1964" i="11"/>
  <c r="T1965" i="11"/>
  <c r="T1966" i="11"/>
  <c r="T1967" i="11"/>
  <c r="T1968" i="11"/>
  <c r="T1969" i="11"/>
  <c r="T1970" i="11"/>
  <c r="T1971" i="11"/>
  <c r="T1972" i="11"/>
  <c r="T1973" i="11"/>
  <c r="T1974" i="11"/>
  <c r="T1975" i="11"/>
  <c r="T1976" i="11"/>
  <c r="T1977" i="11"/>
  <c r="T1978" i="11"/>
  <c r="T1979" i="11"/>
  <c r="T1980" i="11"/>
  <c r="T1981" i="11"/>
  <c r="T1982" i="11"/>
  <c r="T1983" i="11"/>
  <c r="T1984" i="11"/>
  <c r="T1985" i="11"/>
  <c r="T1986" i="11"/>
  <c r="T1987" i="11"/>
  <c r="T1988" i="11"/>
  <c r="T1989" i="11"/>
  <c r="T1990" i="11"/>
  <c r="T1991" i="11"/>
  <c r="T1992" i="11"/>
  <c r="T1993" i="11"/>
  <c r="T1994" i="11"/>
  <c r="T1995" i="11"/>
  <c r="T1996" i="11"/>
  <c r="T1997" i="11"/>
  <c r="T1998" i="11"/>
  <c r="T1999" i="11"/>
  <c r="T2000" i="11"/>
  <c r="T2001" i="11"/>
  <c r="T2002" i="11"/>
  <c r="T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2" i="11"/>
  <c r="S53" i="11"/>
  <c r="S54" i="11"/>
  <c r="S32" i="11"/>
  <c r="S55" i="11"/>
  <c r="S56" i="11"/>
  <c r="S59" i="11"/>
  <c r="S60" i="11"/>
  <c r="S61" i="11"/>
  <c r="S62" i="11"/>
  <c r="S63" i="11"/>
  <c r="S64" i="11"/>
  <c r="S65" i="11"/>
  <c r="S66" i="11"/>
  <c r="S68" i="11"/>
  <c r="S69" i="11"/>
  <c r="S70" i="11"/>
  <c r="S71" i="11"/>
  <c r="S72" i="11"/>
  <c r="S73" i="11"/>
  <c r="S74" i="11"/>
  <c r="S75" i="11"/>
  <c r="S76" i="11"/>
  <c r="S77" i="11"/>
  <c r="S57" i="11"/>
  <c r="S78" i="11"/>
  <c r="S80" i="11"/>
  <c r="S81" i="11"/>
  <c r="S82" i="11"/>
  <c r="S83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32" i="11"/>
  <c r="S153" i="11"/>
  <c r="S154" i="11"/>
  <c r="S155" i="11"/>
  <c r="S156" i="11"/>
  <c r="S157" i="11"/>
  <c r="S158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2" i="11"/>
  <c r="S213" i="11"/>
  <c r="S214" i="11"/>
  <c r="S216" i="11"/>
  <c r="S217" i="11"/>
  <c r="S218" i="11"/>
  <c r="S219" i="11"/>
  <c r="S220" i="11"/>
  <c r="S221" i="11"/>
  <c r="S222" i="11"/>
  <c r="S223" i="11"/>
  <c r="S225" i="11"/>
  <c r="S226" i="11"/>
  <c r="S227" i="11"/>
  <c r="S228" i="11"/>
  <c r="S229" i="11"/>
  <c r="S230" i="11"/>
  <c r="S231" i="11"/>
  <c r="S232" i="11"/>
  <c r="S234" i="11"/>
  <c r="S235" i="11"/>
  <c r="S236" i="11"/>
  <c r="S237" i="11"/>
  <c r="S238" i="11"/>
  <c r="S239" i="11"/>
  <c r="S241" i="11"/>
  <c r="S242" i="11"/>
  <c r="S243" i="11"/>
  <c r="S244" i="11"/>
  <c r="S245" i="11"/>
  <c r="S246" i="11"/>
  <c r="S248" i="11"/>
  <c r="S249" i="11"/>
  <c r="S250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51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10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60" i="11"/>
  <c r="S461" i="11"/>
  <c r="S462" i="11"/>
  <c r="S463" i="11"/>
  <c r="S464" i="11"/>
  <c r="S465" i="11"/>
  <c r="S466" i="11"/>
  <c r="S467" i="11"/>
  <c r="S469" i="11"/>
  <c r="S470" i="11"/>
  <c r="S471" i="11"/>
  <c r="S472" i="11"/>
  <c r="S473" i="11"/>
  <c r="S474" i="11"/>
  <c r="S476" i="11"/>
  <c r="S477" i="11"/>
  <c r="S478" i="11"/>
  <c r="S479" i="11"/>
  <c r="S480" i="11"/>
  <c r="S481" i="11"/>
  <c r="S482" i="11"/>
  <c r="S483" i="11"/>
  <c r="S484" i="11"/>
  <c r="S485" i="11"/>
  <c r="S486" i="11"/>
  <c r="S51" i="11"/>
  <c r="S487" i="11"/>
  <c r="S159" i="11"/>
  <c r="S488" i="11"/>
  <c r="S344" i="11"/>
  <c r="S489" i="11"/>
  <c r="S490" i="11"/>
  <c r="S491" i="11"/>
  <c r="S475" i="11"/>
  <c r="S492" i="11"/>
  <c r="S493" i="11"/>
  <c r="S494" i="11"/>
  <c r="S495" i="11"/>
  <c r="S496" i="11"/>
  <c r="S497" i="11"/>
  <c r="S498" i="11"/>
  <c r="S500" i="11"/>
  <c r="S501" i="11"/>
  <c r="S502" i="11"/>
  <c r="S504" i="11"/>
  <c r="S505" i="11"/>
  <c r="S506" i="11"/>
  <c r="S507" i="11"/>
  <c r="S508" i="11"/>
  <c r="S510" i="11"/>
  <c r="S511" i="11"/>
  <c r="S512" i="11"/>
  <c r="S513" i="11"/>
  <c r="S514" i="11"/>
  <c r="S515" i="11"/>
  <c r="S516" i="11"/>
  <c r="S517" i="11"/>
  <c r="S518" i="11"/>
  <c r="S499" i="11"/>
  <c r="S519" i="11"/>
  <c r="S520" i="11"/>
  <c r="S521" i="11"/>
  <c r="S522" i="11"/>
  <c r="S523" i="11"/>
  <c r="S524" i="11"/>
  <c r="S525" i="11"/>
  <c r="S503" i="11"/>
  <c r="S527" i="11"/>
  <c r="S509" i="11"/>
  <c r="S528" i="11"/>
  <c r="S529" i="11"/>
  <c r="S530" i="11"/>
  <c r="S531" i="11"/>
  <c r="S533" i="11"/>
  <c r="S534" i="11"/>
  <c r="S535" i="11"/>
  <c r="S536" i="11"/>
  <c r="S537" i="11"/>
  <c r="S538" i="11"/>
  <c r="S539" i="11"/>
  <c r="S540" i="11"/>
  <c r="S542" i="11"/>
  <c r="S543" i="11"/>
  <c r="S544" i="11"/>
  <c r="S545" i="11"/>
  <c r="S546" i="11"/>
  <c r="S547" i="11"/>
  <c r="S548" i="11"/>
  <c r="S549" i="11"/>
  <c r="S550" i="11"/>
  <c r="S551" i="11"/>
  <c r="S552" i="11"/>
  <c r="S526" i="11"/>
  <c r="S553" i="11"/>
  <c r="S554" i="11"/>
  <c r="S555" i="11"/>
  <c r="S556" i="11"/>
  <c r="S557" i="11"/>
  <c r="S558" i="11"/>
  <c r="S559" i="11"/>
  <c r="S560" i="11"/>
  <c r="S561" i="11"/>
  <c r="S562" i="11"/>
  <c r="S564" i="11"/>
  <c r="S565" i="11"/>
  <c r="S566" i="11"/>
  <c r="S567" i="11"/>
  <c r="S568" i="11"/>
  <c r="S569" i="11"/>
  <c r="S570" i="11"/>
  <c r="S571" i="11"/>
  <c r="S572" i="11"/>
  <c r="S574" i="11"/>
  <c r="S575" i="11"/>
  <c r="S576" i="11"/>
  <c r="S577" i="11"/>
  <c r="S578" i="11"/>
  <c r="S579" i="11"/>
  <c r="S580" i="11"/>
  <c r="S581" i="11"/>
  <c r="S583" i="11"/>
  <c r="S584" i="11"/>
  <c r="S585" i="11"/>
  <c r="S586" i="11"/>
  <c r="S587" i="11"/>
  <c r="S588" i="11"/>
  <c r="S589" i="11"/>
  <c r="S590" i="11"/>
  <c r="S591" i="11"/>
  <c r="S592" i="11"/>
  <c r="S593" i="11"/>
  <c r="S594" i="11"/>
  <c r="S595" i="11"/>
  <c r="S596" i="11"/>
  <c r="S597" i="11"/>
  <c r="S598" i="11"/>
  <c r="S599" i="11"/>
  <c r="S600" i="11"/>
  <c r="S601" i="11"/>
  <c r="S602" i="11"/>
  <c r="S603" i="11"/>
  <c r="S604" i="11"/>
  <c r="S605" i="11"/>
  <c r="S606" i="11"/>
  <c r="S607" i="11"/>
  <c r="S608" i="11"/>
  <c r="S610" i="11"/>
  <c r="S611" i="11"/>
  <c r="S612" i="11"/>
  <c r="S613" i="11"/>
  <c r="S614" i="11"/>
  <c r="S615" i="11"/>
  <c r="S616" i="11"/>
  <c r="S617" i="11"/>
  <c r="S619" i="11"/>
  <c r="S620" i="11"/>
  <c r="S621" i="11"/>
  <c r="S622" i="11"/>
  <c r="S623" i="11"/>
  <c r="S624" i="11"/>
  <c r="S625" i="11"/>
  <c r="S626" i="11"/>
  <c r="S627" i="11"/>
  <c r="S628" i="11"/>
  <c r="S629" i="11"/>
  <c r="S609" i="11"/>
  <c r="S630" i="11"/>
  <c r="S631" i="11"/>
  <c r="S632" i="11"/>
  <c r="S633" i="11"/>
  <c r="S634" i="11"/>
  <c r="S635" i="11"/>
  <c r="S636" i="11"/>
  <c r="S84" i="11"/>
  <c r="S2" i="11"/>
  <c r="S637" i="11"/>
  <c r="S641" i="11"/>
  <c r="S642" i="11"/>
  <c r="S643" i="11"/>
  <c r="S644" i="11"/>
  <c r="S645" i="11"/>
  <c r="S233" i="11"/>
  <c r="S646" i="11"/>
  <c r="S647" i="11"/>
  <c r="S648" i="11"/>
  <c r="S650" i="11"/>
  <c r="S459" i="11"/>
  <c r="S319" i="11"/>
  <c r="S651" i="11"/>
  <c r="S652" i="11"/>
  <c r="S653" i="11"/>
  <c r="S654" i="11"/>
  <c r="S655" i="11"/>
  <c r="S656" i="11"/>
  <c r="S657" i="11"/>
  <c r="S658" i="11"/>
  <c r="S659" i="11"/>
  <c r="S660" i="11"/>
  <c r="S661" i="11"/>
  <c r="S662" i="11"/>
  <c r="S663" i="11"/>
  <c r="S664" i="11"/>
  <c r="S638" i="11"/>
  <c r="S665" i="11"/>
  <c r="S639" i="11"/>
  <c r="S666" i="11"/>
  <c r="S668" i="11"/>
  <c r="S669" i="11"/>
  <c r="S670" i="11"/>
  <c r="S671" i="11"/>
  <c r="S672" i="11"/>
  <c r="S673" i="11"/>
  <c r="S674" i="11"/>
  <c r="S675" i="11"/>
  <c r="S676" i="11"/>
  <c r="S677" i="11"/>
  <c r="S678" i="11"/>
  <c r="S679" i="11"/>
  <c r="S680" i="11"/>
  <c r="S681" i="11"/>
  <c r="S682" i="11"/>
  <c r="S683" i="11"/>
  <c r="S684" i="11"/>
  <c r="S685" i="11"/>
  <c r="S686" i="11"/>
  <c r="S687" i="11"/>
  <c r="S688" i="11"/>
  <c r="S689" i="11"/>
  <c r="S690" i="11"/>
  <c r="S691" i="11"/>
  <c r="S693" i="11"/>
  <c r="S694" i="11"/>
  <c r="S695" i="11"/>
  <c r="S696" i="11"/>
  <c r="S667" i="11"/>
  <c r="S697" i="11"/>
  <c r="S698" i="11"/>
  <c r="S699" i="11"/>
  <c r="S700" i="11"/>
  <c r="S701" i="11"/>
  <c r="S702" i="11"/>
  <c r="S703" i="11"/>
  <c r="S704" i="11"/>
  <c r="S706" i="11"/>
  <c r="S707" i="11"/>
  <c r="S708" i="11"/>
  <c r="S709" i="11"/>
  <c r="S710" i="11"/>
  <c r="S711" i="11"/>
  <c r="S712" i="11"/>
  <c r="S713" i="11"/>
  <c r="S714" i="11"/>
  <c r="S715" i="11"/>
  <c r="S716" i="11"/>
  <c r="S717" i="11"/>
  <c r="S718" i="11"/>
  <c r="S719" i="11"/>
  <c r="S720" i="11"/>
  <c r="S721" i="11"/>
  <c r="S722" i="11"/>
  <c r="S723" i="11"/>
  <c r="S724" i="11"/>
  <c r="S726" i="11"/>
  <c r="S727" i="11"/>
  <c r="S728" i="11"/>
  <c r="S705" i="11"/>
  <c r="S729" i="11"/>
  <c r="S730" i="11"/>
  <c r="S731" i="11"/>
  <c r="S732" i="11"/>
  <c r="S733" i="11"/>
  <c r="S734" i="11"/>
  <c r="S735" i="11"/>
  <c r="S736" i="11"/>
  <c r="S737" i="11"/>
  <c r="S738" i="11"/>
  <c r="S739" i="11"/>
  <c r="S740" i="11"/>
  <c r="S741" i="11"/>
  <c r="S742" i="11"/>
  <c r="S743" i="11"/>
  <c r="S744" i="11"/>
  <c r="S745" i="11"/>
  <c r="S746" i="11"/>
  <c r="S747" i="11"/>
  <c r="S748" i="11"/>
  <c r="S749" i="11"/>
  <c r="S750" i="11"/>
  <c r="S751" i="11"/>
  <c r="S752" i="11"/>
  <c r="S753" i="11"/>
  <c r="S755" i="11"/>
  <c r="S756" i="11"/>
  <c r="S757" i="11"/>
  <c r="S758" i="11"/>
  <c r="S759" i="11"/>
  <c r="S760" i="11"/>
  <c r="S761" i="11"/>
  <c r="S762" i="11"/>
  <c r="S763" i="11"/>
  <c r="S764" i="11"/>
  <c r="S765" i="11"/>
  <c r="S766" i="11"/>
  <c r="S767" i="11"/>
  <c r="S768" i="11"/>
  <c r="S769" i="11"/>
  <c r="S770" i="11"/>
  <c r="S771" i="11"/>
  <c r="S772" i="11"/>
  <c r="S773" i="11"/>
  <c r="S774" i="11"/>
  <c r="S775" i="11"/>
  <c r="S776" i="11"/>
  <c r="S777" i="11"/>
  <c r="S778" i="11"/>
  <c r="S779" i="11"/>
  <c r="S780" i="11"/>
  <c r="S781" i="11"/>
  <c r="S782" i="11"/>
  <c r="S783" i="11"/>
  <c r="S784" i="11"/>
  <c r="S785" i="11"/>
  <c r="S786" i="11"/>
  <c r="S787" i="11"/>
  <c r="S789" i="11"/>
  <c r="S790" i="11"/>
  <c r="S791" i="11"/>
  <c r="S792" i="11"/>
  <c r="S793" i="11"/>
  <c r="S794" i="11"/>
  <c r="S795" i="11"/>
  <c r="S796" i="11"/>
  <c r="S797" i="11"/>
  <c r="S798" i="11"/>
  <c r="S799" i="11"/>
  <c r="S800" i="11"/>
  <c r="S801" i="11"/>
  <c r="S802" i="11"/>
  <c r="S803" i="11"/>
  <c r="S804" i="11"/>
  <c r="S805" i="11"/>
  <c r="S806" i="11"/>
  <c r="S807" i="11"/>
  <c r="S173" i="11"/>
  <c r="S808" i="11"/>
  <c r="S809" i="11"/>
  <c r="S810" i="11"/>
  <c r="S811" i="11"/>
  <c r="S812" i="11"/>
  <c r="S814" i="11"/>
  <c r="S815" i="11"/>
  <c r="S816" i="11"/>
  <c r="S817" i="11"/>
  <c r="S818" i="11"/>
  <c r="S819" i="11"/>
  <c r="S820" i="11"/>
  <c r="S240" i="11"/>
  <c r="S821" i="11"/>
  <c r="S822" i="11"/>
  <c r="S823" i="11"/>
  <c r="S824" i="11"/>
  <c r="S825" i="11"/>
  <c r="S468" i="11"/>
  <c r="S826" i="11"/>
  <c r="S827" i="11"/>
  <c r="S828" i="11"/>
  <c r="S829" i="11"/>
  <c r="S830" i="11"/>
  <c r="S831" i="11"/>
  <c r="S832" i="11"/>
  <c r="S833" i="11"/>
  <c r="S834" i="11"/>
  <c r="S835" i="11"/>
  <c r="S640" i="11"/>
  <c r="S836" i="11"/>
  <c r="S837" i="11"/>
  <c r="S838" i="11"/>
  <c r="S839" i="11"/>
  <c r="S840" i="11"/>
  <c r="S841" i="11"/>
  <c r="S842" i="11"/>
  <c r="S813" i="11"/>
  <c r="S843" i="11"/>
  <c r="S844" i="11"/>
  <c r="S845" i="11"/>
  <c r="S846" i="11"/>
  <c r="S847" i="11"/>
  <c r="S848" i="11"/>
  <c r="S849" i="11"/>
  <c r="S850" i="11"/>
  <c r="S851" i="11"/>
  <c r="S852" i="11"/>
  <c r="S853" i="11"/>
  <c r="S854" i="11"/>
  <c r="S856" i="11"/>
  <c r="S857" i="11"/>
  <c r="S858" i="11"/>
  <c r="S859" i="11"/>
  <c r="S860" i="11"/>
  <c r="S861" i="11"/>
  <c r="S862" i="11"/>
  <c r="S863" i="11"/>
  <c r="S864" i="11"/>
  <c r="S865" i="11"/>
  <c r="S866" i="11"/>
  <c r="S867" i="11"/>
  <c r="S868" i="11"/>
  <c r="S869" i="11"/>
  <c r="S870" i="11"/>
  <c r="S871" i="11"/>
  <c r="S872" i="11"/>
  <c r="S873" i="11"/>
  <c r="S874" i="11"/>
  <c r="S875" i="11"/>
  <c r="S876" i="11"/>
  <c r="S877" i="11"/>
  <c r="S878" i="11"/>
  <c r="S879" i="11"/>
  <c r="S880" i="11"/>
  <c r="S881" i="11"/>
  <c r="S882" i="11"/>
  <c r="S883" i="11"/>
  <c r="S884" i="11"/>
  <c r="S885" i="11"/>
  <c r="S886" i="11"/>
  <c r="S887" i="11"/>
  <c r="S855" i="11"/>
  <c r="S888" i="11"/>
  <c r="S889" i="11"/>
  <c r="S890" i="11"/>
  <c r="S891" i="11"/>
  <c r="S892" i="11"/>
  <c r="S893" i="11"/>
  <c r="S894" i="11"/>
  <c r="S895" i="11"/>
  <c r="S896" i="11"/>
  <c r="S897" i="11"/>
  <c r="S898" i="11"/>
  <c r="S899" i="11"/>
  <c r="S900" i="11"/>
  <c r="S901" i="11"/>
  <c r="S902" i="11"/>
  <c r="S903" i="11"/>
  <c r="S904" i="11"/>
  <c r="S905" i="11"/>
  <c r="S906" i="11"/>
  <c r="S907" i="11"/>
  <c r="S908" i="11"/>
  <c r="S909" i="11"/>
  <c r="S910" i="11"/>
  <c r="S911" i="11"/>
  <c r="S912" i="11"/>
  <c r="S913" i="11"/>
  <c r="S914" i="11"/>
  <c r="S915" i="11"/>
  <c r="S916" i="11"/>
  <c r="S917" i="11"/>
  <c r="S918" i="11"/>
  <c r="S919" i="11"/>
  <c r="S920" i="11"/>
  <c r="S921" i="11"/>
  <c r="S922" i="11"/>
  <c r="S923" i="11"/>
  <c r="S924" i="11"/>
  <c r="S925" i="11"/>
  <c r="S926" i="11"/>
  <c r="S927" i="11"/>
  <c r="S928" i="11"/>
  <c r="S929" i="11"/>
  <c r="S931" i="11"/>
  <c r="S932" i="11"/>
  <c r="S933" i="11"/>
  <c r="S934" i="11"/>
  <c r="S935" i="11"/>
  <c r="S936" i="11"/>
  <c r="S937" i="11"/>
  <c r="S938" i="11"/>
  <c r="S939" i="11"/>
  <c r="S940" i="11"/>
  <c r="S941" i="11"/>
  <c r="S942" i="11"/>
  <c r="S943" i="11"/>
  <c r="S944" i="11"/>
  <c r="S945" i="11"/>
  <c r="S946" i="11"/>
  <c r="S947" i="11"/>
  <c r="S948" i="11"/>
  <c r="S949" i="11"/>
  <c r="S950" i="11"/>
  <c r="S951" i="11"/>
  <c r="S952" i="11"/>
  <c r="S953" i="11"/>
  <c r="S954" i="11"/>
  <c r="S955" i="11"/>
  <c r="S956" i="11"/>
  <c r="S957" i="11"/>
  <c r="S958" i="11"/>
  <c r="S959" i="11"/>
  <c r="S960" i="11"/>
  <c r="S961" i="11"/>
  <c r="S962" i="11"/>
  <c r="S963" i="11"/>
  <c r="S964" i="11"/>
  <c r="S965" i="11"/>
  <c r="S966" i="11"/>
  <c r="S967" i="11"/>
  <c r="S968" i="11"/>
  <c r="S969" i="11"/>
  <c r="S970" i="11"/>
  <c r="S971" i="11"/>
  <c r="S972" i="11"/>
  <c r="S973" i="11"/>
  <c r="S974" i="11"/>
  <c r="S975" i="11"/>
  <c r="S976" i="11"/>
  <c r="S977" i="11"/>
  <c r="S978" i="11"/>
  <c r="S979" i="11"/>
  <c r="S980" i="11"/>
  <c r="S981" i="11"/>
  <c r="S982" i="11"/>
  <c r="S983" i="11"/>
  <c r="S984" i="11"/>
  <c r="S985" i="11"/>
  <c r="S986" i="11"/>
  <c r="S987" i="11"/>
  <c r="S988" i="11"/>
  <c r="S989" i="11"/>
  <c r="S990" i="11"/>
  <c r="S320" i="11"/>
  <c r="S991" i="11"/>
  <c r="S992" i="11"/>
  <c r="S993" i="11"/>
  <c r="S994" i="11"/>
  <c r="S995" i="11"/>
  <c r="S996" i="11"/>
  <c r="S997" i="11"/>
  <c r="S998" i="11"/>
  <c r="S999" i="11"/>
  <c r="S1001" i="11"/>
  <c r="S649" i="11"/>
  <c r="S1002" i="11"/>
  <c r="S1003" i="11"/>
  <c r="S1004" i="11"/>
  <c r="S1005" i="11"/>
  <c r="S1006" i="11"/>
  <c r="S541" i="11"/>
  <c r="S1007" i="11"/>
  <c r="S1008" i="11"/>
  <c r="S1009" i="11"/>
  <c r="S1010" i="11"/>
  <c r="S1011" i="11"/>
  <c r="S1012" i="11"/>
  <c r="S1013" i="11"/>
  <c r="S1014" i="11"/>
  <c r="S930" i="11"/>
  <c r="S1015" i="11"/>
  <c r="S1016" i="11"/>
  <c r="S1017" i="11"/>
  <c r="S1018" i="11"/>
  <c r="S1019" i="11"/>
  <c r="S1020" i="11"/>
  <c r="S1021" i="11"/>
  <c r="S1022" i="11"/>
  <c r="S1023" i="11"/>
  <c r="S1025" i="11"/>
  <c r="S1026" i="11"/>
  <c r="S1027" i="11"/>
  <c r="S1028" i="11"/>
  <c r="S1030" i="11"/>
  <c r="S1031" i="11"/>
  <c r="S1032" i="11"/>
  <c r="S1033" i="11"/>
  <c r="S1034" i="11"/>
  <c r="S1035" i="11"/>
  <c r="S1036" i="11"/>
  <c r="S1037" i="11"/>
  <c r="S1038" i="11"/>
  <c r="S1039" i="11"/>
  <c r="S1040" i="11"/>
  <c r="S1041" i="11"/>
  <c r="S1042" i="11"/>
  <c r="S1043" i="11"/>
  <c r="S1045" i="11"/>
  <c r="S1024" i="11"/>
  <c r="S1046" i="11"/>
  <c r="S1047" i="11"/>
  <c r="S1048" i="11"/>
  <c r="S1049" i="11"/>
  <c r="S1050" i="11"/>
  <c r="S1051" i="11"/>
  <c r="S1052" i="11"/>
  <c r="S1053" i="11"/>
  <c r="S1054" i="11"/>
  <c r="S1055" i="11"/>
  <c r="S1056" i="11"/>
  <c r="S1057" i="11"/>
  <c r="S1058" i="11"/>
  <c r="S1059" i="11"/>
  <c r="S1060" i="11"/>
  <c r="S1061" i="11"/>
  <c r="S1062" i="11"/>
  <c r="S1063" i="11"/>
  <c r="S1064" i="11"/>
  <c r="S1065" i="11"/>
  <c r="S1066" i="11"/>
  <c r="S1067" i="11"/>
  <c r="S1068" i="11"/>
  <c r="S1069" i="11"/>
  <c r="S1070" i="11"/>
  <c r="S1071" i="11"/>
  <c r="S1072" i="11"/>
  <c r="S1073" i="11"/>
  <c r="S1074" i="11"/>
  <c r="S1075" i="11"/>
  <c r="S1076" i="11"/>
  <c r="S1077" i="11"/>
  <c r="S1078" i="11"/>
  <c r="S1080" i="11"/>
  <c r="S1081" i="11"/>
  <c r="S1082" i="11"/>
  <c r="S1083" i="11"/>
  <c r="S1084" i="11"/>
  <c r="S1085" i="11"/>
  <c r="S1086" i="11"/>
  <c r="S1087" i="11"/>
  <c r="S1088" i="11"/>
  <c r="S1089" i="11"/>
  <c r="S1090" i="11"/>
  <c r="S1091" i="11"/>
  <c r="S1079" i="11"/>
  <c r="S1092" i="11"/>
  <c r="S1093" i="11"/>
  <c r="S1094" i="11"/>
  <c r="S1095" i="11"/>
  <c r="S1096" i="11"/>
  <c r="S1097" i="11"/>
  <c r="S1098" i="11"/>
  <c r="S1099" i="11"/>
  <c r="S1100" i="11"/>
  <c r="S1101" i="11"/>
  <c r="S1102" i="11"/>
  <c r="S1103" i="11"/>
  <c r="S1104" i="11"/>
  <c r="S1105" i="11"/>
  <c r="S1106" i="11"/>
  <c r="S1107" i="11"/>
  <c r="S1108" i="11"/>
  <c r="S1109" i="11"/>
  <c r="S1110" i="11"/>
  <c r="S1111" i="11"/>
  <c r="S1112" i="11"/>
  <c r="S1113" i="11"/>
  <c r="S1114" i="11"/>
  <c r="S1115" i="11"/>
  <c r="S1116" i="11"/>
  <c r="S1117" i="11"/>
  <c r="S1118" i="11"/>
  <c r="S1119" i="11"/>
  <c r="S1120" i="11"/>
  <c r="S1123" i="11"/>
  <c r="S1124" i="11"/>
  <c r="S1125" i="11"/>
  <c r="S1126" i="11"/>
  <c r="S1127" i="11"/>
  <c r="S1128" i="11"/>
  <c r="S1129" i="11"/>
  <c r="S1130" i="11"/>
  <c r="S1131" i="11"/>
  <c r="S1132" i="11"/>
  <c r="S1133" i="11"/>
  <c r="S1134" i="11"/>
  <c r="S1135" i="11"/>
  <c r="S1136" i="11"/>
  <c r="S1137" i="11"/>
  <c r="S1138" i="11"/>
  <c r="S1139" i="11"/>
  <c r="S1140" i="11"/>
  <c r="S1121" i="11"/>
  <c r="S1141" i="11"/>
  <c r="S1142" i="11"/>
  <c r="S1143" i="11"/>
  <c r="S1144" i="11"/>
  <c r="S1146" i="11"/>
  <c r="S1147" i="11"/>
  <c r="S1148" i="11"/>
  <c r="S1149" i="11"/>
  <c r="S1150" i="11"/>
  <c r="S1151" i="11"/>
  <c r="S1152" i="11"/>
  <c r="S1153" i="11"/>
  <c r="S1154" i="11"/>
  <c r="S1155" i="11"/>
  <c r="S247" i="11"/>
  <c r="S1156" i="11"/>
  <c r="S215" i="11"/>
  <c r="S1157" i="11"/>
  <c r="S1158" i="11"/>
  <c r="S1159" i="11"/>
  <c r="S1160" i="11"/>
  <c r="S1161" i="11"/>
  <c r="S1162" i="11"/>
  <c r="S1163" i="11"/>
  <c r="S1145" i="11"/>
  <c r="S1164" i="11"/>
  <c r="S582" i="11"/>
  <c r="S1165" i="11"/>
  <c r="S1166" i="11"/>
  <c r="S1167" i="11"/>
  <c r="S788" i="11"/>
  <c r="S1168" i="11"/>
  <c r="S1169" i="11"/>
  <c r="S1170" i="11"/>
  <c r="S1171" i="11"/>
  <c r="S1122" i="11"/>
  <c r="S1173" i="11"/>
  <c r="S1174" i="11"/>
  <c r="S1175" i="11"/>
  <c r="S1044" i="11"/>
  <c r="S1176" i="11"/>
  <c r="S1177" i="11"/>
  <c r="S1178" i="11"/>
  <c r="S1179" i="11"/>
  <c r="S1180" i="11"/>
  <c r="S1181" i="11"/>
  <c r="S1182" i="11"/>
  <c r="S1183" i="11"/>
  <c r="S1184" i="11"/>
  <c r="S1185" i="11"/>
  <c r="S1186" i="11"/>
  <c r="S1187" i="11"/>
  <c r="S1188" i="11"/>
  <c r="S1189" i="11"/>
  <c r="S1190" i="11"/>
  <c r="S1191" i="11"/>
  <c r="S1192" i="11"/>
  <c r="S1193" i="11"/>
  <c r="S1194" i="11"/>
  <c r="S1195" i="11"/>
  <c r="S1196" i="11"/>
  <c r="S1197" i="11"/>
  <c r="S1198" i="11"/>
  <c r="S1199" i="11"/>
  <c r="S1200" i="11"/>
  <c r="S1201" i="11"/>
  <c r="S1202" i="11"/>
  <c r="S1203" i="11"/>
  <c r="S1204" i="11"/>
  <c r="S1205" i="11"/>
  <c r="S1206" i="11"/>
  <c r="S1207" i="11"/>
  <c r="S1208" i="11"/>
  <c r="S1209" i="11"/>
  <c r="S1210" i="11"/>
  <c r="S1211" i="11"/>
  <c r="S1212" i="11"/>
  <c r="S1213" i="11"/>
  <c r="S1214" i="11"/>
  <c r="S1215" i="11"/>
  <c r="S1216" i="11"/>
  <c r="S1217" i="11"/>
  <c r="S1218" i="11"/>
  <c r="S1219" i="11"/>
  <c r="S1220" i="11"/>
  <c r="S1221" i="11"/>
  <c r="S1222" i="11"/>
  <c r="S1223" i="11"/>
  <c r="S1224" i="11"/>
  <c r="S1225" i="11"/>
  <c r="S1226" i="11"/>
  <c r="S1227" i="11"/>
  <c r="S1228" i="11"/>
  <c r="S1229" i="11"/>
  <c r="S1230" i="11"/>
  <c r="S1231" i="11"/>
  <c r="S1232" i="11"/>
  <c r="S1233" i="11"/>
  <c r="S1234" i="11"/>
  <c r="S1235" i="11"/>
  <c r="S1236" i="11"/>
  <c r="S1237" i="11"/>
  <c r="S1238" i="11"/>
  <c r="S1239" i="11"/>
  <c r="S1240" i="11"/>
  <c r="S1241" i="11"/>
  <c r="S1242" i="11"/>
  <c r="S1243" i="11"/>
  <c r="S1244" i="11"/>
  <c r="S1245" i="11"/>
  <c r="S1246" i="11"/>
  <c r="S1247" i="11"/>
  <c r="S1248" i="11"/>
  <c r="S1249" i="11"/>
  <c r="S1250" i="11"/>
  <c r="S1252" i="11"/>
  <c r="S1253" i="11"/>
  <c r="S1254" i="11"/>
  <c r="S1255" i="11"/>
  <c r="S1256" i="11"/>
  <c r="S1257" i="11"/>
  <c r="S1258" i="11"/>
  <c r="S1259" i="11"/>
  <c r="S1260" i="11"/>
  <c r="S1261" i="11"/>
  <c r="S1262" i="11"/>
  <c r="S1263" i="11"/>
  <c r="S1264" i="11"/>
  <c r="S1265" i="11"/>
  <c r="S1266" i="11"/>
  <c r="S1267" i="11"/>
  <c r="S1268" i="11"/>
  <c r="S1269" i="11"/>
  <c r="S1270" i="11"/>
  <c r="S1271" i="11"/>
  <c r="S1272" i="11"/>
  <c r="S1251" i="11"/>
  <c r="S1273" i="11"/>
  <c r="S1274" i="11"/>
  <c r="S1275" i="11"/>
  <c r="S1276" i="11"/>
  <c r="S1277" i="11"/>
  <c r="S1278" i="11"/>
  <c r="S1280" i="11"/>
  <c r="S1281" i="11"/>
  <c r="S1282" i="11"/>
  <c r="S1283" i="11"/>
  <c r="S1284" i="11"/>
  <c r="S1285" i="11"/>
  <c r="S1286" i="11"/>
  <c r="S1287" i="11"/>
  <c r="S1288" i="11"/>
  <c r="S1289" i="11"/>
  <c r="S1290" i="11"/>
  <c r="S1291" i="11"/>
  <c r="S1292" i="11"/>
  <c r="S1293" i="11"/>
  <c r="S1294" i="11"/>
  <c r="S1295" i="11"/>
  <c r="S1296" i="11"/>
  <c r="S1297" i="11"/>
  <c r="S1298" i="11"/>
  <c r="S1299" i="11"/>
  <c r="S1300" i="11"/>
  <c r="S1301" i="11"/>
  <c r="S1302" i="11"/>
  <c r="S1303" i="11"/>
  <c r="S1304" i="11"/>
  <c r="S1305" i="11"/>
  <c r="S1306" i="11"/>
  <c r="S1307" i="11"/>
  <c r="S1308" i="11"/>
  <c r="S1309" i="11"/>
  <c r="S1279" i="11"/>
  <c r="S1310" i="11"/>
  <c r="S1311" i="11"/>
  <c r="S1312" i="11"/>
  <c r="S1313" i="11"/>
  <c r="S1314" i="11"/>
  <c r="S1315" i="11"/>
  <c r="S1316" i="11"/>
  <c r="S1317" i="11"/>
  <c r="S1318" i="11"/>
  <c r="S1319" i="11"/>
  <c r="S1320" i="11"/>
  <c r="S1321" i="11"/>
  <c r="S1322" i="11"/>
  <c r="S1323" i="11"/>
  <c r="S1324" i="11"/>
  <c r="S1325" i="11"/>
  <c r="S1326" i="11"/>
  <c r="S618" i="11"/>
  <c r="S1327" i="11"/>
  <c r="S1328" i="11"/>
  <c r="S1329" i="11"/>
  <c r="S1330" i="11"/>
  <c r="S532" i="11"/>
  <c r="S1331" i="11"/>
  <c r="S725" i="11"/>
  <c r="S754" i="11"/>
  <c r="S1332" i="11"/>
  <c r="S1333" i="11"/>
  <c r="S1334" i="11"/>
  <c r="S1335" i="11"/>
  <c r="S1336" i="11"/>
  <c r="S1337" i="11"/>
  <c r="S1338" i="11"/>
  <c r="S1339" i="11"/>
  <c r="S1340" i="11"/>
  <c r="S1341" i="11"/>
  <c r="S1172" i="11"/>
  <c r="S1342" i="11"/>
  <c r="S1343" i="11"/>
  <c r="S1344" i="11"/>
  <c r="S1345" i="11"/>
  <c r="S1346" i="11"/>
  <c r="S1347" i="11"/>
  <c r="S1348" i="11"/>
  <c r="S1349" i="11"/>
  <c r="S1350" i="11"/>
  <c r="S1351" i="11"/>
  <c r="S1352" i="11"/>
  <c r="S1353" i="11"/>
  <c r="S1354" i="11"/>
  <c r="S1355" i="11"/>
  <c r="S1356" i="11"/>
  <c r="S1357" i="11"/>
  <c r="S1358" i="11"/>
  <c r="S1359" i="11"/>
  <c r="S1360" i="11"/>
  <c r="S1361" i="11"/>
  <c r="S1362" i="11"/>
  <c r="S1363" i="11"/>
  <c r="S1364" i="11"/>
  <c r="S1365" i="11"/>
  <c r="S1366" i="11"/>
  <c r="S1367" i="11"/>
  <c r="S1368" i="11"/>
  <c r="S1369" i="11"/>
  <c r="S1370" i="11"/>
  <c r="S1371" i="11"/>
  <c r="S1372" i="11"/>
  <c r="S1373" i="11"/>
  <c r="S1374" i="11"/>
  <c r="S1375" i="11"/>
  <c r="S1376" i="11"/>
  <c r="S1377" i="11"/>
  <c r="S1378" i="11"/>
  <c r="S1379" i="11"/>
  <c r="S1380" i="11"/>
  <c r="S1381" i="11"/>
  <c r="S1382" i="11"/>
  <c r="S1383" i="11"/>
  <c r="S1384" i="11"/>
  <c r="S1385" i="11"/>
  <c r="S1386" i="11"/>
  <c r="S1387" i="11"/>
  <c r="S1388" i="11"/>
  <c r="S1389" i="11"/>
  <c r="S1390" i="11"/>
  <c r="S1391" i="11"/>
  <c r="S1392" i="11"/>
  <c r="S1393" i="11"/>
  <c r="S1394" i="11"/>
  <c r="S1395" i="11"/>
  <c r="S1396" i="11"/>
  <c r="S1397" i="11"/>
  <c r="S1398" i="11"/>
  <c r="S1399" i="11"/>
  <c r="S1400" i="11"/>
  <c r="S1401" i="11"/>
  <c r="S1402" i="11"/>
  <c r="S1403" i="11"/>
  <c r="S1404" i="11"/>
  <c r="S1405" i="11"/>
  <c r="S1406" i="11"/>
  <c r="S1407" i="11"/>
  <c r="S1408" i="11"/>
  <c r="S1409" i="11"/>
  <c r="S1410" i="11"/>
  <c r="S1411" i="11"/>
  <c r="S1412" i="11"/>
  <c r="S1413" i="11"/>
  <c r="S1414" i="11"/>
  <c r="S1415" i="11"/>
  <c r="S1416" i="11"/>
  <c r="S1419" i="11"/>
  <c r="S1420" i="11"/>
  <c r="S1421" i="11"/>
  <c r="S1422" i="11"/>
  <c r="S1423" i="11"/>
  <c r="S1425" i="11"/>
  <c r="S1426" i="11"/>
  <c r="S1427" i="11"/>
  <c r="S1428" i="11"/>
  <c r="S1429" i="11"/>
  <c r="S1430" i="11"/>
  <c r="S1431" i="11"/>
  <c r="S1432" i="11"/>
  <c r="S1433" i="11"/>
  <c r="S1434" i="11"/>
  <c r="S1435" i="11"/>
  <c r="S1436" i="11"/>
  <c r="S1437" i="11"/>
  <c r="S1438" i="11"/>
  <c r="S1439" i="11"/>
  <c r="S1440" i="11"/>
  <c r="S1441" i="11"/>
  <c r="S1442" i="11"/>
  <c r="S1443" i="11"/>
  <c r="S1444" i="11"/>
  <c r="S1417" i="11"/>
  <c r="S1445" i="11"/>
  <c r="S1446" i="11"/>
  <c r="S1447" i="11"/>
  <c r="S1448" i="11"/>
  <c r="S1449" i="11"/>
  <c r="S1450" i="11"/>
  <c r="S1424" i="11"/>
  <c r="S1451" i="11"/>
  <c r="S1452" i="11"/>
  <c r="S1453" i="11"/>
  <c r="S1454" i="11"/>
  <c r="S1455" i="11"/>
  <c r="S1457" i="11"/>
  <c r="S1458" i="11"/>
  <c r="S1459" i="11"/>
  <c r="S1460" i="11"/>
  <c r="S1461" i="11"/>
  <c r="S1462" i="11"/>
  <c r="S1463" i="11"/>
  <c r="S1464" i="11"/>
  <c r="S1465" i="11"/>
  <c r="S1466" i="11"/>
  <c r="S1467" i="11"/>
  <c r="S1468" i="11"/>
  <c r="S1469" i="11"/>
  <c r="S1470" i="11"/>
  <c r="S1471" i="11"/>
  <c r="S1472" i="11"/>
  <c r="S58" i="11"/>
  <c r="S1473" i="11"/>
  <c r="S1474" i="11"/>
  <c r="S1475" i="11"/>
  <c r="S1476" i="11"/>
  <c r="S1477" i="11"/>
  <c r="S1478" i="11"/>
  <c r="S1479" i="11"/>
  <c r="S1480" i="11"/>
  <c r="S1481" i="11"/>
  <c r="S1482" i="11"/>
  <c r="S1483" i="11"/>
  <c r="S1456" i="11"/>
  <c r="S1484" i="11"/>
  <c r="S1485" i="11"/>
  <c r="S1486" i="11"/>
  <c r="S1487" i="11"/>
  <c r="S1488" i="11"/>
  <c r="S1489" i="11"/>
  <c r="S573" i="11"/>
  <c r="S1490" i="11"/>
  <c r="S1491" i="11"/>
  <c r="S1492" i="11"/>
  <c r="S1493" i="11"/>
  <c r="S1494" i="11"/>
  <c r="S1495" i="11"/>
  <c r="S1496" i="11"/>
  <c r="S1497" i="11"/>
  <c r="S1498" i="11"/>
  <c r="S1499" i="11"/>
  <c r="S1500" i="11"/>
  <c r="S1501" i="11"/>
  <c r="S1502" i="11"/>
  <c r="S1000" i="11"/>
  <c r="S1029" i="11"/>
  <c r="S1503" i="11"/>
  <c r="S1504" i="11"/>
  <c r="S1505" i="11"/>
  <c r="S1506" i="11"/>
  <c r="S1507" i="11"/>
  <c r="S1508" i="11"/>
  <c r="S1509" i="11"/>
  <c r="S1510" i="11"/>
  <c r="S1511" i="11"/>
  <c r="S1512" i="11"/>
  <c r="S1513" i="11"/>
  <c r="S1514" i="11"/>
  <c r="S1516" i="11"/>
  <c r="S1517" i="11"/>
  <c r="S1518" i="11"/>
  <c r="S1519" i="11"/>
  <c r="S1520" i="11"/>
  <c r="S1522" i="11"/>
  <c r="S1523" i="11"/>
  <c r="S1524" i="11"/>
  <c r="S1525" i="11"/>
  <c r="S1526" i="11"/>
  <c r="S1527" i="11"/>
  <c r="S1528" i="11"/>
  <c r="S1529" i="11"/>
  <c r="S1530" i="11"/>
  <c r="S1531" i="11"/>
  <c r="S1532" i="11"/>
  <c r="S1533" i="11"/>
  <c r="S1535" i="11"/>
  <c r="S1536" i="11"/>
  <c r="S1537" i="11"/>
  <c r="S1538" i="11"/>
  <c r="S1539" i="11"/>
  <c r="S1540" i="11"/>
  <c r="S1515" i="11"/>
  <c r="S1541" i="11"/>
  <c r="S1542" i="11"/>
  <c r="S1543" i="11"/>
  <c r="S1544" i="11"/>
  <c r="S1545" i="11"/>
  <c r="S1546" i="11"/>
  <c r="S1547" i="11"/>
  <c r="S1548" i="11"/>
  <c r="S1549" i="11"/>
  <c r="S1550" i="11"/>
  <c r="S1521" i="11"/>
  <c r="S1551" i="11"/>
  <c r="S1552" i="11"/>
  <c r="S1553" i="11"/>
  <c r="S1554" i="11"/>
  <c r="S1555" i="11"/>
  <c r="S1556" i="11"/>
  <c r="S1557" i="11"/>
  <c r="S1558" i="11"/>
  <c r="S1559" i="11"/>
  <c r="S1560" i="11"/>
  <c r="S1561" i="11"/>
  <c r="S1562" i="11"/>
  <c r="S1563" i="11"/>
  <c r="S1564" i="11"/>
  <c r="S1566" i="11"/>
  <c r="S1567" i="11"/>
  <c r="S1568" i="11"/>
  <c r="S1569" i="11"/>
  <c r="S1534" i="11"/>
  <c r="S1570" i="11"/>
  <c r="S1571" i="11"/>
  <c r="S1572" i="11"/>
  <c r="S1573" i="11"/>
  <c r="S1574" i="11"/>
  <c r="S1575" i="11"/>
  <c r="S1576" i="11"/>
  <c r="S1577" i="11"/>
  <c r="S1578" i="11"/>
  <c r="S1579" i="11"/>
  <c r="S1580" i="11"/>
  <c r="S1581" i="11"/>
  <c r="S1582" i="11"/>
  <c r="S1583" i="11"/>
  <c r="S1584" i="11"/>
  <c r="S1586" i="11"/>
  <c r="S1587" i="11"/>
  <c r="S1588" i="11"/>
  <c r="S1589" i="11"/>
  <c r="S1590" i="11"/>
  <c r="S1591" i="11"/>
  <c r="S1592" i="11"/>
  <c r="S1593" i="11"/>
  <c r="S1594" i="11"/>
  <c r="S1595" i="11"/>
  <c r="S1565" i="11"/>
  <c r="S1596" i="11"/>
  <c r="S1597" i="11"/>
  <c r="S1598" i="11"/>
  <c r="S1599" i="11"/>
  <c r="S1600" i="11"/>
  <c r="S1601" i="11"/>
  <c r="S1602" i="11"/>
  <c r="S1603" i="11"/>
  <c r="S1604" i="11"/>
  <c r="S1605" i="11"/>
  <c r="S1606" i="11"/>
  <c r="S1607" i="11"/>
  <c r="S1608" i="11"/>
  <c r="S1609" i="11"/>
  <c r="S1610" i="11"/>
  <c r="S1611" i="11"/>
  <c r="S1612" i="11"/>
  <c r="S1613" i="11"/>
  <c r="S1614" i="11"/>
  <c r="S1615" i="11"/>
  <c r="S1616" i="11"/>
  <c r="S1617" i="11"/>
  <c r="S1618" i="11"/>
  <c r="S1585" i="11"/>
  <c r="S1619" i="11"/>
  <c r="S1620" i="11"/>
  <c r="S1621" i="11"/>
  <c r="S1622" i="11"/>
  <c r="S1623" i="11"/>
  <c r="S1624" i="11"/>
  <c r="S1625" i="11"/>
  <c r="S1626" i="11"/>
  <c r="S1627" i="11"/>
  <c r="S1628" i="11"/>
  <c r="S1629" i="11"/>
  <c r="S1630" i="11"/>
  <c r="S1631" i="11"/>
  <c r="S1632" i="11"/>
  <c r="S1633" i="11"/>
  <c r="S1634" i="11"/>
  <c r="S1635" i="11"/>
  <c r="S1636" i="11"/>
  <c r="S1637" i="11"/>
  <c r="S1638" i="11"/>
  <c r="S1639" i="11"/>
  <c r="S1640" i="11"/>
  <c r="S1641" i="11"/>
  <c r="S1642" i="11"/>
  <c r="S1643" i="11"/>
  <c r="S1644" i="11"/>
  <c r="S1645" i="11"/>
  <c r="S1646" i="11"/>
  <c r="S1647" i="11"/>
  <c r="S152" i="11"/>
  <c r="S1648" i="11"/>
  <c r="S67" i="11"/>
  <c r="S79" i="11"/>
  <c r="S364" i="11"/>
  <c r="S1649" i="11"/>
  <c r="S1650" i="11"/>
  <c r="S1651" i="11"/>
  <c r="S1652" i="11"/>
  <c r="S1654" i="11"/>
  <c r="S1655" i="11"/>
  <c r="S1656" i="11"/>
  <c r="S1657" i="11"/>
  <c r="S1658" i="11"/>
  <c r="S1659" i="11"/>
  <c r="S1660" i="11"/>
  <c r="S563" i="11"/>
  <c r="S1661" i="11"/>
  <c r="S1662" i="11"/>
  <c r="S1663" i="11"/>
  <c r="S1664" i="11"/>
  <c r="S1665" i="11"/>
  <c r="S1666" i="11"/>
  <c r="S1667" i="11"/>
  <c r="S1668" i="11"/>
  <c r="S1669" i="11"/>
  <c r="S1653" i="11"/>
  <c r="S1670" i="11"/>
  <c r="S1671" i="11"/>
  <c r="S1672" i="11"/>
  <c r="S1673" i="11"/>
  <c r="S1674" i="11"/>
  <c r="S1675" i="11"/>
  <c r="S1676" i="11"/>
  <c r="S1677" i="11"/>
  <c r="S1678" i="11"/>
  <c r="S1679" i="11"/>
  <c r="S1680" i="11"/>
  <c r="S1681" i="11"/>
  <c r="S1682" i="11"/>
  <c r="S1683" i="11"/>
  <c r="S1684" i="11"/>
  <c r="S1685" i="11"/>
  <c r="S1686" i="11"/>
  <c r="S1687" i="11"/>
  <c r="S1688" i="11"/>
  <c r="S1689" i="11"/>
  <c r="S1690" i="11"/>
  <c r="S1691" i="11"/>
  <c r="S1692" i="11"/>
  <c r="S1693" i="11"/>
  <c r="S1694" i="11"/>
  <c r="S1695" i="11"/>
  <c r="S1696" i="11"/>
  <c r="S1697" i="11"/>
  <c r="S1698" i="11"/>
  <c r="S1699" i="11"/>
  <c r="S1700" i="11"/>
  <c r="S1701" i="11"/>
  <c r="S1702" i="11"/>
  <c r="S1703" i="11"/>
  <c r="S1704" i="11"/>
  <c r="S1705" i="11"/>
  <c r="S1706" i="11"/>
  <c r="S1707" i="11"/>
  <c r="S1708" i="11"/>
  <c r="S1709" i="11"/>
  <c r="S1710" i="11"/>
  <c r="S1711" i="11"/>
  <c r="S1712" i="11"/>
  <c r="S1713" i="11"/>
  <c r="S1714" i="11"/>
  <c r="S1715" i="11"/>
  <c r="S1716" i="11"/>
  <c r="S1717" i="11"/>
  <c r="S1718" i="11"/>
  <c r="S1719" i="11"/>
  <c r="S1720" i="11"/>
  <c r="S1721" i="11"/>
  <c r="S1722" i="11"/>
  <c r="S1723" i="11"/>
  <c r="S1724" i="11"/>
  <c r="S1725" i="11"/>
  <c r="S1726" i="11"/>
  <c r="S1727" i="11"/>
  <c r="S1728" i="11"/>
  <c r="S1729" i="11"/>
  <c r="S1730" i="11"/>
  <c r="S1731" i="11"/>
  <c r="S1732" i="11"/>
  <c r="S1733" i="11"/>
  <c r="S1734" i="11"/>
  <c r="S1735" i="11"/>
  <c r="S1736" i="11"/>
  <c r="S1737" i="11"/>
  <c r="S1738" i="11"/>
  <c r="S1739" i="11"/>
  <c r="S1740" i="11"/>
  <c r="S1741" i="11"/>
  <c r="S1742" i="11"/>
  <c r="S1743" i="11"/>
  <c r="S1745" i="11"/>
  <c r="S1746" i="11"/>
  <c r="S1747" i="11"/>
  <c r="S1748" i="11"/>
  <c r="S1749" i="11"/>
  <c r="S1750" i="11"/>
  <c r="S1751" i="11"/>
  <c r="S1752" i="11"/>
  <c r="S1753" i="11"/>
  <c r="S1754" i="11"/>
  <c r="S1755" i="11"/>
  <c r="S1756" i="11"/>
  <c r="S1757" i="11"/>
  <c r="S1758" i="11"/>
  <c r="S1759" i="11"/>
  <c r="S1760" i="11"/>
  <c r="S1761" i="11"/>
  <c r="S1763" i="11"/>
  <c r="S1764" i="11"/>
  <c r="S1765" i="11"/>
  <c r="S1766" i="11"/>
  <c r="S1767" i="11"/>
  <c r="S1768" i="11"/>
  <c r="S1769" i="11"/>
  <c r="S1770" i="11"/>
  <c r="S1771" i="11"/>
  <c r="S1744" i="11"/>
  <c r="S1772" i="11"/>
  <c r="S1773" i="11"/>
  <c r="S1774" i="11"/>
  <c r="S1775" i="11"/>
  <c r="S1776" i="11"/>
  <c r="S1777" i="11"/>
  <c r="S1778" i="11"/>
  <c r="S1779" i="11"/>
  <c r="S1780" i="11"/>
  <c r="S1781" i="11"/>
  <c r="S1782" i="11"/>
  <c r="S1783" i="11"/>
  <c r="S1784" i="11"/>
  <c r="S1785" i="11"/>
  <c r="S1786" i="11"/>
  <c r="S1787" i="11"/>
  <c r="S1788" i="11"/>
  <c r="S1789" i="11"/>
  <c r="S1790" i="11"/>
  <c r="S1791" i="11"/>
  <c r="S1762" i="11"/>
  <c r="S1792" i="11"/>
  <c r="S1793" i="11"/>
  <c r="S1794" i="11"/>
  <c r="S1795" i="11"/>
  <c r="S1796" i="11"/>
  <c r="S1797" i="11"/>
  <c r="S1798" i="11"/>
  <c r="S1799" i="11"/>
  <c r="S1800" i="11"/>
  <c r="S1801" i="11"/>
  <c r="S1802" i="11"/>
  <c r="S1803" i="11"/>
  <c r="S1804" i="11"/>
  <c r="S1805" i="11"/>
  <c r="S1806" i="11"/>
  <c r="S1807" i="11"/>
  <c r="S1808" i="11"/>
  <c r="S1809" i="11"/>
  <c r="S1810" i="11"/>
  <c r="S1811" i="11"/>
  <c r="S1812" i="11"/>
  <c r="S1813" i="11"/>
  <c r="S1814" i="11"/>
  <c r="S1815" i="11"/>
  <c r="S1816" i="11"/>
  <c r="S1817" i="11"/>
  <c r="S1818" i="11"/>
  <c r="S1819" i="11"/>
  <c r="S211" i="11"/>
  <c r="S1820" i="11"/>
  <c r="S1823" i="11"/>
  <c r="S1824" i="11"/>
  <c r="S1825" i="11"/>
  <c r="S1826" i="11"/>
  <c r="S224" i="11"/>
  <c r="S1827" i="11"/>
  <c r="S1828" i="11"/>
  <c r="S1829" i="11"/>
  <c r="S1830" i="11"/>
  <c r="S1831" i="11"/>
  <c r="S397" i="11"/>
  <c r="S1832" i="11"/>
  <c r="S1833" i="11"/>
  <c r="S1834" i="11"/>
  <c r="S1835" i="11"/>
  <c r="S692" i="11"/>
  <c r="S1836" i="11"/>
  <c r="S1837" i="11"/>
  <c r="S1838" i="11"/>
  <c r="S1839" i="11"/>
  <c r="S1840" i="11"/>
  <c r="S1841" i="11"/>
  <c r="S1842" i="11"/>
  <c r="S1843" i="11"/>
  <c r="S1844" i="11"/>
  <c r="S1845" i="11"/>
  <c r="S1846" i="11"/>
  <c r="S1847" i="11"/>
  <c r="S1848" i="11"/>
  <c r="S1849" i="11"/>
  <c r="S1850" i="11"/>
  <c r="S1852" i="11"/>
  <c r="S1853" i="11"/>
  <c r="S1854" i="11"/>
  <c r="S1855" i="11"/>
  <c r="S1856" i="11"/>
  <c r="S1821" i="11"/>
  <c r="S1822" i="11"/>
  <c r="S1857" i="11"/>
  <c r="S1858" i="11"/>
  <c r="S1859" i="11"/>
  <c r="S1860" i="11"/>
  <c r="S1861" i="11"/>
  <c r="S1862" i="11"/>
  <c r="S1863" i="11"/>
  <c r="S1864" i="11"/>
  <c r="S1418" i="11"/>
  <c r="S1865" i="11"/>
  <c r="S1866" i="11"/>
  <c r="S1867" i="11"/>
  <c r="S1868" i="11"/>
  <c r="S1869" i="11"/>
  <c r="S1870" i="11"/>
  <c r="S1871" i="11"/>
  <c r="S1872" i="11"/>
  <c r="S1873" i="11"/>
  <c r="S1851" i="11"/>
  <c r="S1874" i="11"/>
  <c r="S1875" i="11"/>
  <c r="S1876" i="11"/>
  <c r="S1877" i="11"/>
  <c r="S1878" i="11"/>
  <c r="S1879" i="11"/>
  <c r="S1880" i="11"/>
  <c r="S1881" i="11"/>
  <c r="S1882" i="11"/>
  <c r="S1883" i="11"/>
  <c r="S1884" i="11"/>
  <c r="S1885" i="11"/>
  <c r="S1886" i="11"/>
  <c r="S1887" i="11"/>
  <c r="S1888" i="11"/>
  <c r="S1889" i="11"/>
  <c r="S1890" i="11"/>
  <c r="S1891" i="11"/>
  <c r="S1892" i="11"/>
  <c r="S1893" i="11"/>
  <c r="S1894" i="11"/>
  <c r="S1895" i="11"/>
  <c r="S1896" i="11"/>
  <c r="S1897" i="11"/>
  <c r="S1898" i="11"/>
  <c r="S1899" i="11"/>
  <c r="S1900" i="11"/>
  <c r="S1901" i="11"/>
  <c r="S1902" i="11"/>
  <c r="S1903" i="11"/>
  <c r="S1904" i="11"/>
  <c r="S1905" i="11"/>
  <c r="S1906" i="11"/>
  <c r="S1907" i="11"/>
  <c r="S1908" i="11"/>
  <c r="S1909" i="11"/>
  <c r="S1910" i="11"/>
  <c r="S1911" i="11"/>
  <c r="S1912" i="11"/>
  <c r="S1913" i="11"/>
  <c r="S1914" i="11"/>
  <c r="S1915" i="11"/>
  <c r="S1916" i="11"/>
  <c r="S1917" i="11"/>
  <c r="S1918" i="11"/>
  <c r="S1919" i="11"/>
  <c r="S1920" i="11"/>
  <c r="S1921" i="11"/>
  <c r="S1922" i="11"/>
  <c r="S1923" i="11"/>
  <c r="S1924" i="11"/>
  <c r="S1925" i="11"/>
  <c r="S1926" i="11"/>
  <c r="S1927" i="11"/>
  <c r="S1928" i="11"/>
  <c r="S1929" i="11"/>
  <c r="S1930" i="11"/>
  <c r="S1931" i="11"/>
  <c r="S1932" i="11"/>
  <c r="S1933" i="11"/>
  <c r="S1934" i="11"/>
  <c r="S1935" i="11"/>
  <c r="S1936" i="11"/>
  <c r="S1937" i="11"/>
  <c r="S1938" i="11"/>
  <c r="S1939" i="11"/>
  <c r="S1940" i="11"/>
  <c r="S1941" i="11"/>
  <c r="S1942" i="11"/>
  <c r="S1943" i="11"/>
  <c r="S1944" i="11"/>
  <c r="S1945" i="11"/>
  <c r="S1946" i="11"/>
  <c r="S1947" i="11"/>
  <c r="S1948" i="11"/>
  <c r="S1949" i="11"/>
  <c r="S1950" i="11"/>
  <c r="S1951" i="11"/>
  <c r="S1952" i="11"/>
  <c r="S1953" i="11"/>
  <c r="S1954" i="11"/>
  <c r="S1955" i="11"/>
  <c r="S1956" i="11"/>
  <c r="S1957" i="11"/>
  <c r="S1958" i="11"/>
  <c r="S1959" i="11"/>
  <c r="S1960" i="11"/>
  <c r="S1961" i="11"/>
  <c r="S1962" i="11"/>
  <c r="S1963" i="11"/>
  <c r="S1964" i="11"/>
  <c r="S1965" i="11"/>
  <c r="S1966" i="11"/>
  <c r="S1967" i="11"/>
  <c r="S1968" i="11"/>
  <c r="S1969" i="11"/>
  <c r="S1970" i="11"/>
  <c r="S1971" i="11"/>
  <c r="S1972" i="11"/>
  <c r="S1973" i="11"/>
  <c r="S1974" i="11"/>
  <c r="S1975" i="11"/>
  <c r="S1976" i="11"/>
  <c r="S1977" i="11"/>
  <c r="S1978" i="11"/>
  <c r="S1979" i="11"/>
  <c r="S1980" i="11"/>
  <c r="S1981" i="11"/>
  <c r="S1982" i="11"/>
  <c r="S1983" i="11"/>
  <c r="S1984" i="11"/>
  <c r="S1985" i="11"/>
  <c r="S1986" i="11"/>
  <c r="S1987" i="11"/>
  <c r="S1988" i="11"/>
  <c r="S1989" i="11"/>
  <c r="S1990" i="11"/>
  <c r="S1991" i="11"/>
  <c r="S1992" i="11"/>
  <c r="S1993" i="11"/>
  <c r="S1994" i="11"/>
  <c r="S1995" i="11"/>
  <c r="S1996" i="11"/>
  <c r="S1997" i="11"/>
  <c r="S1998" i="11"/>
  <c r="S1999" i="11"/>
  <c r="S2000" i="11"/>
  <c r="S2001" i="11"/>
  <c r="S2002" i="11"/>
  <c r="S3" i="11"/>
  <c r="R2002" i="11"/>
  <c r="Q2002" i="11"/>
  <c r="P2002" i="11"/>
  <c r="O2002" i="11"/>
  <c r="R2001" i="11"/>
  <c r="Q2001" i="11"/>
  <c r="P2001" i="11"/>
  <c r="O2001" i="11"/>
  <c r="R1996" i="11"/>
  <c r="Q1996" i="11"/>
  <c r="P1996" i="11"/>
  <c r="O1996" i="11"/>
  <c r="R1995" i="11"/>
  <c r="Q1995" i="11"/>
  <c r="P1995" i="11"/>
  <c r="O1995" i="11"/>
  <c r="R1994" i="11"/>
  <c r="Q1994" i="11"/>
  <c r="P1994" i="11"/>
  <c r="O1994" i="11"/>
  <c r="R1993" i="11"/>
  <c r="Q1993" i="11"/>
  <c r="P1993" i="11"/>
  <c r="O1993" i="11"/>
  <c r="R1989" i="11"/>
  <c r="Q1989" i="11"/>
  <c r="P1989" i="11"/>
  <c r="O1989" i="11"/>
  <c r="R1983" i="11"/>
  <c r="Q1983" i="11"/>
  <c r="P1983" i="11"/>
  <c r="O1983" i="11"/>
  <c r="R1982" i="11"/>
  <c r="Q1982" i="11"/>
  <c r="P1982" i="11"/>
  <c r="O1982" i="11"/>
  <c r="R1978" i="11"/>
  <c r="Q1978" i="11"/>
  <c r="P1978" i="11"/>
  <c r="O1978" i="11"/>
  <c r="R1977" i="11"/>
  <c r="Q1977" i="11"/>
  <c r="P1977" i="11"/>
  <c r="O1977" i="11"/>
  <c r="R1964" i="11"/>
  <c r="Q1964" i="11"/>
  <c r="P1964" i="11"/>
  <c r="O1964" i="11"/>
  <c r="R1960" i="11"/>
  <c r="Q1960" i="11"/>
  <c r="P1960" i="11"/>
  <c r="O1960" i="11"/>
  <c r="R1954" i="11"/>
  <c r="Q1954" i="11"/>
  <c r="P1954" i="11"/>
  <c r="O1954" i="11"/>
  <c r="R1939" i="11"/>
  <c r="Q1939" i="11"/>
  <c r="P1939" i="11"/>
  <c r="O1939" i="11"/>
  <c r="R1928" i="11"/>
  <c r="Q1928" i="11"/>
  <c r="P1928" i="11"/>
  <c r="O1928" i="11"/>
  <c r="R1921" i="11"/>
  <c r="Q1921" i="11"/>
  <c r="P1921" i="11"/>
  <c r="O1921" i="11"/>
  <c r="R1920" i="11"/>
  <c r="Q1920" i="11"/>
  <c r="P1920" i="11"/>
  <c r="O1920" i="11"/>
  <c r="R1915" i="11"/>
  <c r="Q1915" i="11"/>
  <c r="P1915" i="11"/>
  <c r="O1915" i="11"/>
  <c r="R1914" i="11"/>
  <c r="Q1914" i="11"/>
  <c r="P1914" i="11"/>
  <c r="O1914" i="11"/>
  <c r="R1913" i="11"/>
  <c r="Q1913" i="11"/>
  <c r="P1913" i="11"/>
  <c r="O1913" i="11"/>
  <c r="R1904" i="11"/>
  <c r="Q1904" i="11"/>
  <c r="P1904" i="11"/>
  <c r="O1904" i="11"/>
  <c r="R1894" i="11"/>
  <c r="Q1894" i="11"/>
  <c r="P1894" i="11"/>
  <c r="O1894" i="11"/>
  <c r="R1888" i="11"/>
  <c r="Q1888" i="11"/>
  <c r="P1888" i="11"/>
  <c r="O1888" i="11"/>
  <c r="R1851" i="11"/>
  <c r="Q1851" i="11"/>
  <c r="P1851" i="11"/>
  <c r="O1851" i="11"/>
  <c r="R1866" i="11"/>
  <c r="Q1866" i="11"/>
  <c r="P1866" i="11"/>
  <c r="O1866" i="11"/>
  <c r="R1862" i="11"/>
  <c r="Q1862" i="11"/>
  <c r="P1862" i="11"/>
  <c r="O1862" i="11"/>
  <c r="R1858" i="11"/>
  <c r="Q1858" i="11"/>
  <c r="P1858" i="11"/>
  <c r="O1858" i="11"/>
  <c r="R1857" i="11"/>
  <c r="Q1857" i="11"/>
  <c r="P1857" i="11"/>
  <c r="O1857" i="11"/>
  <c r="R1850" i="11"/>
  <c r="Q1850" i="11"/>
  <c r="P1850" i="11"/>
  <c r="O1850" i="11"/>
  <c r="R1849" i="11"/>
  <c r="Q1849" i="11"/>
  <c r="P1849" i="11"/>
  <c r="O1849" i="11"/>
  <c r="R1848" i="11"/>
  <c r="Q1848" i="11"/>
  <c r="P1848" i="11"/>
  <c r="O1848" i="11"/>
  <c r="R1847" i="11"/>
  <c r="Q1847" i="11"/>
  <c r="P1847" i="11"/>
  <c r="O1847" i="11"/>
  <c r="R1846" i="11"/>
  <c r="Q1846" i="11"/>
  <c r="P1846" i="11"/>
  <c r="O1846" i="11"/>
  <c r="R1841" i="11"/>
  <c r="Q1841" i="11"/>
  <c r="P1841" i="11"/>
  <c r="O1841" i="11"/>
  <c r="R1840" i="11"/>
  <c r="Q1840" i="11"/>
  <c r="P1840" i="11"/>
  <c r="O1840" i="11"/>
  <c r="R1835" i="11"/>
  <c r="Q1835" i="11"/>
  <c r="P1835" i="11"/>
  <c r="O1835" i="11"/>
  <c r="R1834" i="11"/>
  <c r="Q1834" i="11"/>
  <c r="P1834" i="11"/>
  <c r="O1834" i="11"/>
  <c r="R1833" i="11"/>
  <c r="Q1833" i="11"/>
  <c r="P1833" i="11"/>
  <c r="O1833" i="11"/>
  <c r="R1830" i="11"/>
  <c r="Q1830" i="11"/>
  <c r="P1830" i="11"/>
  <c r="O1830" i="11"/>
  <c r="R1829" i="11"/>
  <c r="Q1829" i="11"/>
  <c r="P1829" i="11"/>
  <c r="O1829" i="11"/>
  <c r="R1814" i="11"/>
  <c r="Q1814" i="11"/>
  <c r="P1814" i="11"/>
  <c r="O1814" i="11"/>
  <c r="R1807" i="11"/>
  <c r="Q1807" i="11"/>
  <c r="P1807" i="11"/>
  <c r="O1807" i="11"/>
  <c r="R1806" i="11"/>
  <c r="Q1806" i="11"/>
  <c r="P1806" i="11"/>
  <c r="O1806" i="11"/>
  <c r="R1799" i="11"/>
  <c r="Q1799" i="11"/>
  <c r="P1799" i="11"/>
  <c r="O1799" i="11"/>
  <c r="R1762" i="11"/>
  <c r="Q1762" i="11"/>
  <c r="P1762" i="11"/>
  <c r="O1762" i="11"/>
  <c r="R1791" i="11"/>
  <c r="Q1791" i="11"/>
  <c r="P1791" i="11"/>
  <c r="O1791" i="11"/>
  <c r="R1790" i="11"/>
  <c r="Q1790" i="11"/>
  <c r="P1790" i="11"/>
  <c r="O1790" i="11"/>
  <c r="R1779" i="11"/>
  <c r="Q1779" i="11"/>
  <c r="P1779" i="11"/>
  <c r="O1779" i="11"/>
  <c r="R1774" i="11"/>
  <c r="Q1774" i="11"/>
  <c r="P1774" i="11"/>
  <c r="O1774" i="11"/>
  <c r="R1770" i="11"/>
  <c r="Q1770" i="11"/>
  <c r="P1770" i="11"/>
  <c r="O1770" i="11"/>
  <c r="R1769" i="11"/>
  <c r="Q1769" i="11"/>
  <c r="P1769" i="11"/>
  <c r="O1769" i="11"/>
  <c r="R1768" i="11"/>
  <c r="Q1768" i="11"/>
  <c r="P1768" i="11"/>
  <c r="O1768" i="11"/>
  <c r="R1757" i="11"/>
  <c r="Q1757" i="11"/>
  <c r="P1757" i="11"/>
  <c r="O1757" i="11"/>
  <c r="R1756" i="11"/>
  <c r="Q1756" i="11"/>
  <c r="P1756" i="11"/>
  <c r="O1756" i="11"/>
  <c r="R1755" i="11"/>
  <c r="Q1755" i="11"/>
  <c r="P1755" i="11"/>
  <c r="O1755" i="11"/>
  <c r="R1748" i="11"/>
  <c r="Q1748" i="11"/>
  <c r="P1748" i="11"/>
  <c r="O1748" i="11"/>
  <c r="R1741" i="11"/>
  <c r="Q1741" i="11"/>
  <c r="P1741" i="11"/>
  <c r="O1741" i="11"/>
  <c r="R1740" i="11"/>
  <c r="Q1740" i="11"/>
  <c r="P1740" i="11"/>
  <c r="O1740" i="11"/>
  <c r="R1736" i="11"/>
  <c r="Q1736" i="11"/>
  <c r="P1736" i="11"/>
  <c r="O1736" i="11"/>
  <c r="R1735" i="11"/>
  <c r="Q1735" i="11"/>
  <c r="P1735" i="11"/>
  <c r="O1735" i="11"/>
  <c r="R1720" i="11"/>
  <c r="Q1720" i="11"/>
  <c r="P1720" i="11"/>
  <c r="O1720" i="11"/>
  <c r="R1719" i="11"/>
  <c r="Q1719" i="11"/>
  <c r="P1719" i="11"/>
  <c r="O1719" i="11"/>
  <c r="R1717" i="11"/>
  <c r="Q1717" i="11"/>
  <c r="P1717" i="11"/>
  <c r="O1717" i="11"/>
  <c r="R1716" i="11"/>
  <c r="Q1716" i="11"/>
  <c r="P1716" i="11"/>
  <c r="O1716" i="11"/>
  <c r="R1710" i="11"/>
  <c r="Q1710" i="11"/>
  <c r="P1710" i="11"/>
  <c r="O1710" i="11"/>
  <c r="R1703" i="11"/>
  <c r="Q1703" i="11"/>
  <c r="P1703" i="11"/>
  <c r="O1703" i="11"/>
  <c r="R1702" i="11"/>
  <c r="Q1702" i="11"/>
  <c r="P1702" i="11"/>
  <c r="O1702" i="11"/>
  <c r="R1697" i="11"/>
  <c r="Q1697" i="11"/>
  <c r="P1697" i="11"/>
  <c r="O1697" i="11"/>
  <c r="R1688" i="11"/>
  <c r="Q1688" i="11"/>
  <c r="P1688" i="11"/>
  <c r="O1688" i="11"/>
  <c r="R1681" i="11"/>
  <c r="Q1681" i="11"/>
  <c r="P1681" i="11"/>
  <c r="O1681" i="11"/>
  <c r="R1677" i="11"/>
  <c r="Q1677" i="11"/>
  <c r="P1677" i="11"/>
  <c r="O1677" i="11"/>
  <c r="R1676" i="11"/>
  <c r="Q1676" i="11"/>
  <c r="P1676" i="11"/>
  <c r="O1676" i="11"/>
  <c r="R1668" i="11"/>
  <c r="Q1668" i="11"/>
  <c r="P1668" i="11"/>
  <c r="O1668" i="11"/>
  <c r="R1663" i="11"/>
  <c r="Q1663" i="11"/>
  <c r="P1663" i="11"/>
  <c r="O1663" i="11"/>
  <c r="R1657" i="11"/>
  <c r="Q1657" i="11"/>
  <c r="P1657" i="11"/>
  <c r="O1657" i="11"/>
  <c r="R1652" i="11"/>
  <c r="Q1652" i="11"/>
  <c r="P1652" i="11"/>
  <c r="O1652" i="11"/>
  <c r="R1651" i="11"/>
  <c r="Q1651" i="11"/>
  <c r="P1651" i="11"/>
  <c r="O1651" i="11"/>
  <c r="R79" i="11"/>
  <c r="Q79" i="11"/>
  <c r="P79" i="11"/>
  <c r="O79" i="11"/>
  <c r="R1646" i="11"/>
  <c r="Q1646" i="11"/>
  <c r="P1646" i="11"/>
  <c r="O1646" i="11"/>
  <c r="R1638" i="11"/>
  <c r="Q1638" i="11"/>
  <c r="P1638" i="11"/>
  <c r="O1638" i="11"/>
  <c r="R1635" i="11"/>
  <c r="Q1635" i="11"/>
  <c r="P1635" i="11"/>
  <c r="O1635" i="11"/>
  <c r="R1629" i="11"/>
  <c r="Q1629" i="11"/>
  <c r="P1629" i="11"/>
  <c r="O1629" i="11"/>
  <c r="R1628" i="11"/>
  <c r="Q1628" i="11"/>
  <c r="P1628" i="11"/>
  <c r="O1628" i="11"/>
  <c r="R1627" i="11"/>
  <c r="Q1627" i="11"/>
  <c r="P1627" i="11"/>
  <c r="O1627" i="11"/>
  <c r="R1624" i="11"/>
  <c r="Q1624" i="11"/>
  <c r="P1624" i="11"/>
  <c r="O1624" i="11"/>
  <c r="R1619" i="11"/>
  <c r="Q1619" i="11"/>
  <c r="P1619" i="11"/>
  <c r="O1619" i="11"/>
  <c r="R1615" i="11"/>
  <c r="Q1615" i="11"/>
  <c r="P1615" i="11"/>
  <c r="O1615" i="11"/>
  <c r="R1610" i="11"/>
  <c r="Q1610" i="11"/>
  <c r="P1610" i="11"/>
  <c r="O1610" i="11"/>
  <c r="R1609" i="11"/>
  <c r="Q1609" i="11"/>
  <c r="P1609" i="11"/>
  <c r="O1609" i="11"/>
  <c r="R1608" i="11"/>
  <c r="Q1608" i="11"/>
  <c r="P1608" i="11"/>
  <c r="O1608" i="11"/>
  <c r="R1602" i="11"/>
  <c r="Q1602" i="11"/>
  <c r="P1602" i="11"/>
  <c r="O1602" i="11"/>
  <c r="R1601" i="11"/>
  <c r="Q1601" i="11"/>
  <c r="P1601" i="11"/>
  <c r="O1601" i="11"/>
  <c r="R1595" i="11"/>
  <c r="Q1595" i="11"/>
  <c r="P1595" i="11"/>
  <c r="O1595" i="11"/>
  <c r="R1594" i="11"/>
  <c r="Q1594" i="11"/>
  <c r="P1594" i="11"/>
  <c r="O1594" i="11"/>
  <c r="R1593" i="11"/>
  <c r="Q1593" i="11"/>
  <c r="P1593" i="11"/>
  <c r="O1593" i="11"/>
  <c r="R1592" i="11"/>
  <c r="Q1592" i="11"/>
  <c r="P1592" i="11"/>
  <c r="O1592" i="11"/>
  <c r="R1584" i="11"/>
  <c r="Q1584" i="11"/>
  <c r="P1584" i="11"/>
  <c r="O1584" i="11"/>
  <c r="R1580" i="11"/>
  <c r="Q1580" i="11"/>
  <c r="P1580" i="11"/>
  <c r="O1580" i="11"/>
  <c r="R1579" i="11"/>
  <c r="Q1579" i="11"/>
  <c r="P1579" i="11"/>
  <c r="O1579" i="11"/>
  <c r="R1578" i="11"/>
  <c r="Q1578" i="11"/>
  <c r="P1578" i="11"/>
  <c r="O1578" i="11"/>
  <c r="R1577" i="11"/>
  <c r="Q1577" i="11"/>
  <c r="P1577" i="11"/>
  <c r="O1577" i="11"/>
  <c r="R1570" i="11"/>
  <c r="Q1570" i="11"/>
  <c r="P1570" i="11"/>
  <c r="O1570" i="11"/>
  <c r="R1534" i="11"/>
  <c r="Q1534" i="11"/>
  <c r="P1534" i="11"/>
  <c r="O1534" i="11"/>
  <c r="R1564" i="11"/>
  <c r="Q1564" i="11"/>
  <c r="P1564" i="11"/>
  <c r="O1564" i="11"/>
  <c r="R1558" i="11"/>
  <c r="Q1558" i="11"/>
  <c r="P1558" i="11"/>
  <c r="O1558" i="11"/>
  <c r="R1557" i="11"/>
  <c r="Q1557" i="11"/>
  <c r="P1557" i="11"/>
  <c r="O1557" i="11"/>
  <c r="R1556" i="11"/>
  <c r="Q1556" i="11"/>
  <c r="P1556" i="11"/>
  <c r="O1556" i="11"/>
  <c r="R1555" i="11"/>
  <c r="Q1555" i="11"/>
  <c r="P1555" i="11"/>
  <c r="O1555" i="11"/>
  <c r="R1547" i="11"/>
  <c r="Q1547" i="11"/>
  <c r="P1547" i="11"/>
  <c r="O1547" i="11"/>
  <c r="R1546" i="11"/>
  <c r="Q1546" i="11"/>
  <c r="P1546" i="11"/>
  <c r="O1546" i="11"/>
  <c r="R1545" i="11"/>
  <c r="Q1545" i="11"/>
  <c r="P1545" i="11"/>
  <c r="O1545" i="11"/>
  <c r="R1540" i="11"/>
  <c r="Q1540" i="11"/>
  <c r="P1540" i="11"/>
  <c r="O1540" i="11"/>
  <c r="R1539" i="11"/>
  <c r="Q1539" i="11"/>
  <c r="P1539" i="11"/>
  <c r="O1539" i="11"/>
  <c r="R1538" i="11"/>
  <c r="Q1538" i="11"/>
  <c r="P1538" i="11"/>
  <c r="O1538" i="11"/>
  <c r="R1528" i="11"/>
  <c r="Q1528" i="11"/>
  <c r="P1528" i="11"/>
  <c r="O1528" i="11"/>
  <c r="R1527" i="11"/>
  <c r="Q1527" i="11"/>
  <c r="P1527" i="11"/>
  <c r="O1527" i="11"/>
  <c r="R1526" i="11"/>
  <c r="Q1526" i="11"/>
  <c r="P1526" i="11"/>
  <c r="O1526" i="11"/>
  <c r="R1520" i="11"/>
  <c r="Q1520" i="11"/>
  <c r="P1520" i="11"/>
  <c r="O1520" i="11"/>
  <c r="R1519" i="11"/>
  <c r="Q1519" i="11"/>
  <c r="P1519" i="11"/>
  <c r="O1519" i="11"/>
  <c r="R1514" i="11"/>
  <c r="Q1514" i="11"/>
  <c r="P1514" i="11"/>
  <c r="O1514" i="11"/>
  <c r="R1513" i="11"/>
  <c r="Q1513" i="11"/>
  <c r="P1513" i="11"/>
  <c r="O1513" i="11"/>
  <c r="R1512" i="11"/>
  <c r="Q1512" i="11"/>
  <c r="P1512" i="11"/>
  <c r="O1512" i="11"/>
  <c r="R1511" i="11"/>
  <c r="Q1511" i="11"/>
  <c r="P1511" i="11"/>
  <c r="O1511" i="11"/>
  <c r="R1505" i="11"/>
  <c r="Q1505" i="11"/>
  <c r="P1505" i="11"/>
  <c r="O1505" i="11"/>
  <c r="R1029" i="11"/>
  <c r="Q1029" i="11"/>
  <c r="P1029" i="11"/>
  <c r="O1029" i="11"/>
  <c r="R1000" i="11"/>
  <c r="Q1000" i="11"/>
  <c r="P1000" i="11"/>
  <c r="O1000" i="11"/>
  <c r="R1493" i="11"/>
  <c r="Q1493" i="11"/>
  <c r="P1493" i="11"/>
  <c r="O1493" i="11"/>
  <c r="R1492" i="11"/>
  <c r="Q1492" i="11"/>
  <c r="P1492" i="11"/>
  <c r="O1492" i="11"/>
  <c r="R1486" i="11"/>
  <c r="Q1486" i="11"/>
  <c r="P1486" i="11"/>
  <c r="O1486" i="11"/>
  <c r="R1479" i="11"/>
  <c r="Q1479" i="11"/>
  <c r="P1479" i="11"/>
  <c r="O1479" i="11"/>
  <c r="R1478" i="11"/>
  <c r="Q1478" i="11"/>
  <c r="P1478" i="11"/>
  <c r="O1478" i="11"/>
  <c r="R1474" i="11"/>
  <c r="Q1474" i="11"/>
  <c r="P1474" i="11"/>
  <c r="O1474" i="11"/>
  <c r="R1473" i="11"/>
  <c r="Q1473" i="11"/>
  <c r="P1473" i="11"/>
  <c r="O1473" i="11"/>
  <c r="R58" i="11"/>
  <c r="Q58" i="11"/>
  <c r="P58" i="11"/>
  <c r="O58" i="11"/>
  <c r="R1465" i="11"/>
  <c r="Q1465" i="11"/>
  <c r="P1465" i="11"/>
  <c r="O1465" i="11"/>
  <c r="R1464" i="11"/>
  <c r="Q1464" i="11"/>
  <c r="P1464" i="11"/>
  <c r="O1464" i="11"/>
  <c r="R1462" i="11"/>
  <c r="Q1462" i="11"/>
  <c r="P1462" i="11"/>
  <c r="O1462" i="11"/>
  <c r="R1461" i="11"/>
  <c r="Q1461" i="11"/>
  <c r="P1461" i="11"/>
  <c r="O1461" i="11"/>
  <c r="R1455" i="11"/>
  <c r="Q1455" i="11"/>
  <c r="P1455" i="11"/>
  <c r="O1455" i="11"/>
  <c r="R1424" i="11"/>
  <c r="Q1424" i="11"/>
  <c r="P1424" i="11"/>
  <c r="O1424" i="11"/>
  <c r="R1450" i="11"/>
  <c r="Q1450" i="11"/>
  <c r="P1450" i="11"/>
  <c r="O1450" i="11"/>
  <c r="R1446" i="11"/>
  <c r="Q1446" i="11"/>
  <c r="P1446" i="11"/>
  <c r="O1446" i="11"/>
  <c r="R1440" i="11"/>
  <c r="Q1440" i="11"/>
  <c r="P1440" i="11"/>
  <c r="O1440" i="11"/>
  <c r="R1430" i="11"/>
  <c r="Q1430" i="11"/>
  <c r="P1430" i="11"/>
  <c r="O1430" i="11"/>
  <c r="R1416" i="11"/>
  <c r="Q1416" i="11"/>
  <c r="P1416" i="11"/>
  <c r="O1416" i="11"/>
  <c r="R1415" i="11"/>
  <c r="Q1415" i="11"/>
  <c r="P1415" i="11"/>
  <c r="O1415" i="11"/>
  <c r="R1414" i="11"/>
  <c r="Q1414" i="11"/>
  <c r="P1414" i="11"/>
  <c r="O1414" i="11"/>
  <c r="R1411" i="11"/>
  <c r="Q1411" i="11"/>
  <c r="P1411" i="11"/>
  <c r="O1411" i="11"/>
  <c r="R1410" i="11"/>
  <c r="Q1410" i="11"/>
  <c r="P1410" i="11"/>
  <c r="O1410" i="11"/>
  <c r="R1405" i="11"/>
  <c r="Q1405" i="11"/>
  <c r="P1405" i="11"/>
  <c r="O1405" i="11"/>
  <c r="R1399" i="11"/>
  <c r="Q1399" i="11"/>
  <c r="P1399" i="11"/>
  <c r="O1399" i="11"/>
  <c r="R1398" i="11"/>
  <c r="Q1398" i="11"/>
  <c r="P1398" i="11"/>
  <c r="O1398" i="11"/>
  <c r="R1393" i="11"/>
  <c r="Q1393" i="11"/>
  <c r="P1393" i="11"/>
  <c r="O1393" i="11"/>
  <c r="R1392" i="11"/>
  <c r="Q1392" i="11"/>
  <c r="P1392" i="11"/>
  <c r="O1392" i="11"/>
  <c r="R1387" i="11"/>
  <c r="Q1387" i="11"/>
  <c r="P1387" i="11"/>
  <c r="O1387" i="11"/>
  <c r="R1386" i="11"/>
  <c r="Q1386" i="11"/>
  <c r="P1386" i="11"/>
  <c r="O1386" i="11"/>
  <c r="R1383" i="11"/>
  <c r="Q1383" i="11"/>
  <c r="P1383" i="11"/>
  <c r="O1383" i="11"/>
  <c r="R1379" i="11"/>
  <c r="Q1379" i="11"/>
  <c r="P1379" i="11"/>
  <c r="O1379" i="11"/>
  <c r="R1372" i="11"/>
  <c r="Q1372" i="11"/>
  <c r="P1372" i="11"/>
  <c r="O1372" i="11"/>
  <c r="R1371" i="11"/>
  <c r="Q1371" i="11"/>
  <c r="P1371" i="11"/>
  <c r="O1371" i="11"/>
  <c r="R1370" i="11"/>
  <c r="Q1370" i="11"/>
  <c r="P1370" i="11"/>
  <c r="O1370" i="11"/>
  <c r="R1369" i="11"/>
  <c r="Q1369" i="11"/>
  <c r="P1369" i="11"/>
  <c r="O1369" i="11"/>
  <c r="R1368" i="11"/>
  <c r="Q1368" i="11"/>
  <c r="P1368" i="11"/>
  <c r="O1368" i="11"/>
  <c r="R1361" i="11"/>
  <c r="Q1361" i="11"/>
  <c r="P1361" i="11"/>
  <c r="O1361" i="11"/>
  <c r="R1360" i="11"/>
  <c r="Q1360" i="11"/>
  <c r="P1360" i="11"/>
  <c r="O1360" i="11"/>
  <c r="R1355" i="11"/>
  <c r="Q1355" i="11"/>
  <c r="P1355" i="11"/>
  <c r="O1355" i="11"/>
  <c r="R1354" i="11"/>
  <c r="Q1354" i="11"/>
  <c r="P1354" i="11"/>
  <c r="O1354" i="11"/>
  <c r="R1353" i="11"/>
  <c r="Q1353" i="11"/>
  <c r="P1353" i="11"/>
  <c r="O1353" i="11"/>
  <c r="R1352" i="11"/>
  <c r="Q1352" i="11"/>
  <c r="P1352" i="11"/>
  <c r="O1352" i="11"/>
  <c r="R1351" i="11"/>
  <c r="Q1351" i="11"/>
  <c r="P1351" i="11"/>
  <c r="O1351" i="11"/>
  <c r="R1350" i="11"/>
  <c r="Q1350" i="11"/>
  <c r="P1350" i="11"/>
  <c r="O1350" i="11"/>
  <c r="R1344" i="11"/>
  <c r="Q1344" i="11"/>
  <c r="P1344" i="11"/>
  <c r="O1344" i="11"/>
  <c r="R1343" i="11"/>
  <c r="Q1343" i="11"/>
  <c r="P1343" i="11"/>
  <c r="O1343" i="11"/>
  <c r="R1337" i="11"/>
  <c r="Q1337" i="11"/>
  <c r="P1337" i="11"/>
  <c r="O1337" i="11"/>
  <c r="R532" i="11"/>
  <c r="Q532" i="11"/>
  <c r="P532" i="11"/>
  <c r="O532" i="11"/>
  <c r="R1330" i="11"/>
  <c r="Q1330" i="11"/>
  <c r="P1330" i="11"/>
  <c r="O1330" i="11"/>
  <c r="R1329" i="11"/>
  <c r="Q1329" i="11"/>
  <c r="P1329" i="11"/>
  <c r="O1329" i="11"/>
  <c r="R1325" i="11"/>
  <c r="Q1325" i="11"/>
  <c r="P1325" i="11"/>
  <c r="O1325" i="11"/>
  <c r="R1324" i="11"/>
  <c r="Q1324" i="11"/>
  <c r="P1324" i="11"/>
  <c r="O1324" i="11"/>
  <c r="R1320" i="11"/>
  <c r="Q1320" i="11"/>
  <c r="P1320" i="11"/>
  <c r="O1320" i="11"/>
  <c r="R1319" i="11"/>
  <c r="Q1319" i="11"/>
  <c r="P1319" i="11"/>
  <c r="O1319" i="11"/>
  <c r="R1315" i="11"/>
  <c r="Q1315" i="11"/>
  <c r="P1315" i="11"/>
  <c r="O1315" i="11"/>
  <c r="R1314" i="11"/>
  <c r="Q1314" i="11"/>
  <c r="P1314" i="11"/>
  <c r="O1314" i="11"/>
  <c r="R1309" i="11"/>
  <c r="Q1309" i="11"/>
  <c r="P1309" i="11"/>
  <c r="O1309" i="11"/>
  <c r="R1308" i="11"/>
  <c r="Q1308" i="11"/>
  <c r="P1308" i="11"/>
  <c r="O1308" i="11"/>
  <c r="R1307" i="11"/>
  <c r="Q1307" i="11"/>
  <c r="P1307" i="11"/>
  <c r="O1307" i="11"/>
  <c r="R1291" i="11"/>
  <c r="Q1291" i="11"/>
  <c r="P1291" i="11"/>
  <c r="O1291" i="11"/>
  <c r="R1290" i="11"/>
  <c r="Q1290" i="11"/>
  <c r="P1290" i="11"/>
  <c r="O1290" i="11"/>
  <c r="R1281" i="11"/>
  <c r="Q1281" i="11"/>
  <c r="P1281" i="11"/>
  <c r="O1281" i="11"/>
  <c r="R1278" i="11"/>
  <c r="Q1278" i="11"/>
  <c r="P1278" i="11"/>
  <c r="O1278" i="11"/>
  <c r="R1264" i="11"/>
  <c r="Q1264" i="11"/>
  <c r="P1264" i="11"/>
  <c r="O1264" i="11"/>
  <c r="R1257" i="11"/>
  <c r="Q1257" i="11"/>
  <c r="P1257" i="11"/>
  <c r="O1257" i="11"/>
  <c r="R1256" i="11"/>
  <c r="Q1256" i="11"/>
  <c r="P1256" i="11"/>
  <c r="O1256" i="11"/>
  <c r="R1240" i="11"/>
  <c r="Q1240" i="11"/>
  <c r="P1240" i="11"/>
  <c r="O1240" i="11"/>
  <c r="R1232" i="11"/>
  <c r="Q1232" i="11"/>
  <c r="P1232" i="11"/>
  <c r="O1232" i="11"/>
  <c r="R1220" i="11"/>
  <c r="Q1220" i="11"/>
  <c r="P1220" i="11"/>
  <c r="O1220" i="11"/>
  <c r="R1217" i="11"/>
  <c r="Q1217" i="11"/>
  <c r="P1217" i="11"/>
  <c r="O1217" i="11"/>
  <c r="R1216" i="11"/>
  <c r="Q1216" i="11"/>
  <c r="P1216" i="11"/>
  <c r="O1216" i="11"/>
  <c r="R1215" i="11"/>
  <c r="Q1215" i="11"/>
  <c r="P1215" i="11"/>
  <c r="O1215" i="11"/>
  <c r="R1202" i="11"/>
  <c r="Q1202" i="11"/>
  <c r="P1202" i="11"/>
  <c r="O1202" i="11"/>
  <c r="R1201" i="11"/>
  <c r="Q1201" i="11"/>
  <c r="P1201" i="11"/>
  <c r="O1201" i="11"/>
  <c r="R1194" i="11"/>
  <c r="Q1194" i="11"/>
  <c r="P1194" i="11"/>
  <c r="O1194" i="11"/>
  <c r="R1193" i="11"/>
  <c r="Q1193" i="11"/>
  <c r="P1193" i="11"/>
  <c r="O1193" i="11"/>
  <c r="R1185" i="11"/>
  <c r="Q1185" i="11"/>
  <c r="P1185" i="11"/>
  <c r="O1185" i="11"/>
  <c r="R1184" i="11"/>
  <c r="Q1184" i="11"/>
  <c r="P1184" i="11"/>
  <c r="O1184" i="11"/>
  <c r="R1183" i="11"/>
  <c r="Q1183" i="11"/>
  <c r="P1183" i="11"/>
  <c r="O1183" i="11"/>
  <c r="R1181" i="11"/>
  <c r="Q1181" i="11"/>
  <c r="P1181" i="11"/>
  <c r="O1181" i="11"/>
  <c r="R1044" i="11"/>
  <c r="Q1044" i="11"/>
  <c r="P1044" i="11"/>
  <c r="O1044" i="11"/>
  <c r="R1165" i="11"/>
  <c r="Q1165" i="11"/>
  <c r="P1165" i="11"/>
  <c r="O1165" i="11"/>
  <c r="R582" i="11"/>
  <c r="Q582" i="11"/>
  <c r="P582" i="11"/>
  <c r="O582" i="11"/>
  <c r="R1162" i="11"/>
  <c r="Q1162" i="11"/>
  <c r="P1162" i="11"/>
  <c r="O1162" i="11"/>
  <c r="R1157" i="11"/>
  <c r="Q1157" i="11"/>
  <c r="P1157" i="11"/>
  <c r="O1157" i="11"/>
  <c r="R1152" i="11"/>
  <c r="Q1152" i="11"/>
  <c r="P1152" i="11"/>
  <c r="O1152" i="11"/>
  <c r="R1144" i="11"/>
  <c r="Q1144" i="11"/>
  <c r="P1144" i="11"/>
  <c r="O1144" i="11"/>
  <c r="R1138" i="11"/>
  <c r="Q1138" i="11"/>
  <c r="P1138" i="11"/>
  <c r="O1138" i="11"/>
  <c r="R1137" i="11"/>
  <c r="Q1137" i="11"/>
  <c r="P1137" i="11"/>
  <c r="O1137" i="11"/>
  <c r="R1130" i="11"/>
  <c r="Q1130" i="11"/>
  <c r="P1130" i="11"/>
  <c r="O1130" i="11"/>
  <c r="R1129" i="11"/>
  <c r="Q1129" i="11"/>
  <c r="P1129" i="11"/>
  <c r="O1129" i="11"/>
  <c r="R1120" i="11"/>
  <c r="Q1120" i="11"/>
  <c r="P1120" i="11"/>
  <c r="O1120" i="11"/>
  <c r="R1116" i="11"/>
  <c r="Q1116" i="11"/>
  <c r="P1116" i="11"/>
  <c r="O1116" i="11"/>
  <c r="R1111" i="11"/>
  <c r="Q1111" i="11"/>
  <c r="P1111" i="11"/>
  <c r="O1111" i="11"/>
  <c r="R1103" i="11"/>
  <c r="Q1103" i="11"/>
  <c r="P1103" i="11"/>
  <c r="O1103" i="11"/>
  <c r="R1102" i="11"/>
  <c r="Q1102" i="11"/>
  <c r="P1102" i="11"/>
  <c r="O1102" i="11"/>
  <c r="R1101" i="11"/>
  <c r="Q1101" i="11"/>
  <c r="P1101" i="11"/>
  <c r="O1101" i="11"/>
  <c r="R1096" i="11"/>
  <c r="Q1096" i="11"/>
  <c r="P1096" i="11"/>
  <c r="O1096" i="11"/>
  <c r="R1095" i="11"/>
  <c r="Q1095" i="11"/>
  <c r="P1095" i="11"/>
  <c r="O1095" i="11"/>
  <c r="R1087" i="11"/>
  <c r="Q1087" i="11"/>
  <c r="P1087" i="11"/>
  <c r="O1087" i="11"/>
  <c r="R1082" i="11"/>
  <c r="Q1082" i="11"/>
  <c r="P1082" i="11"/>
  <c r="O1082" i="11"/>
  <c r="R1078" i="11"/>
  <c r="Q1078" i="11"/>
  <c r="P1078" i="11"/>
  <c r="O1078" i="11"/>
  <c r="R1077" i="11"/>
  <c r="Q1077" i="11"/>
  <c r="P1077" i="11"/>
  <c r="O1077" i="11"/>
  <c r="R1076" i="11"/>
  <c r="Q1076" i="11"/>
  <c r="P1076" i="11"/>
  <c r="O1076" i="11"/>
  <c r="R1069" i="11"/>
  <c r="Q1069" i="11"/>
  <c r="P1069" i="11"/>
  <c r="O1069" i="11"/>
  <c r="R1068" i="11"/>
  <c r="Q1068" i="11"/>
  <c r="P1068" i="11"/>
  <c r="O1068" i="11"/>
  <c r="R1067" i="11"/>
  <c r="Q1067" i="11"/>
  <c r="P1067" i="11"/>
  <c r="O1067" i="11"/>
  <c r="R1066" i="11"/>
  <c r="Q1066" i="11"/>
  <c r="P1066" i="11"/>
  <c r="O1066" i="11"/>
  <c r="R1065" i="11"/>
  <c r="Q1065" i="11"/>
  <c r="P1065" i="11"/>
  <c r="O1065" i="11"/>
  <c r="R1061" i="11"/>
  <c r="Q1061" i="11"/>
  <c r="P1061" i="11"/>
  <c r="O1061" i="11"/>
  <c r="R1060" i="11"/>
  <c r="Q1060" i="11"/>
  <c r="P1060" i="11"/>
  <c r="O1060" i="11"/>
  <c r="R1055" i="11"/>
  <c r="Q1055" i="11"/>
  <c r="P1055" i="11"/>
  <c r="O1055" i="11"/>
  <c r="R1051" i="11"/>
  <c r="Q1051" i="11"/>
  <c r="P1051" i="11"/>
  <c r="O1051" i="11"/>
  <c r="R1050" i="11"/>
  <c r="Q1050" i="11"/>
  <c r="P1050" i="11"/>
  <c r="O1050" i="11"/>
  <c r="R1043" i="11"/>
  <c r="Q1043" i="11"/>
  <c r="P1043" i="11"/>
  <c r="O1043" i="11"/>
  <c r="R1042" i="11"/>
  <c r="Q1042" i="11"/>
  <c r="P1042" i="11"/>
  <c r="O1042" i="11"/>
  <c r="R1041" i="11"/>
  <c r="Q1041" i="11"/>
  <c r="P1041" i="11"/>
  <c r="O1041" i="11"/>
  <c r="R1038" i="11"/>
  <c r="Q1038" i="11"/>
  <c r="P1038" i="11"/>
  <c r="O1038" i="11"/>
  <c r="R1037" i="11"/>
  <c r="Q1037" i="11"/>
  <c r="P1037" i="11"/>
  <c r="O1037" i="11"/>
  <c r="R1028" i="11"/>
  <c r="Q1028" i="11"/>
  <c r="P1028" i="11"/>
  <c r="O1028" i="11"/>
  <c r="R1023" i="11"/>
  <c r="Q1023" i="11"/>
  <c r="P1023" i="11"/>
  <c r="O1023" i="11"/>
  <c r="R1022" i="11"/>
  <c r="Q1022" i="11"/>
  <c r="P1022" i="11"/>
  <c r="O1022" i="11"/>
  <c r="R1021" i="11"/>
  <c r="Q1021" i="11"/>
  <c r="P1021" i="11"/>
  <c r="O1021" i="11"/>
  <c r="R1008" i="11"/>
  <c r="Q1008" i="11"/>
  <c r="P1008" i="11"/>
  <c r="O1008" i="11"/>
  <c r="R1007" i="11"/>
  <c r="Q1007" i="11"/>
  <c r="P1007" i="11"/>
  <c r="O1007" i="11"/>
  <c r="R999" i="11"/>
  <c r="Q999" i="11"/>
  <c r="P999" i="11"/>
  <c r="O999" i="11"/>
  <c r="R998" i="11"/>
  <c r="Q998" i="11"/>
  <c r="P998" i="11"/>
  <c r="O998" i="11"/>
  <c r="R990" i="11"/>
  <c r="Q990" i="11"/>
  <c r="P990" i="11"/>
  <c r="O990" i="11"/>
  <c r="R984" i="11"/>
  <c r="Q984" i="11"/>
  <c r="P984" i="11"/>
  <c r="O984" i="11"/>
  <c r="R983" i="11"/>
  <c r="Q983" i="11"/>
  <c r="P983" i="11"/>
  <c r="O983" i="11"/>
  <c r="R977" i="11"/>
  <c r="Q977" i="11"/>
  <c r="P977" i="11"/>
  <c r="O977" i="11"/>
  <c r="R976" i="11"/>
  <c r="Q976" i="11"/>
  <c r="P976" i="11"/>
  <c r="O976" i="11"/>
  <c r="R973" i="11"/>
  <c r="Q973" i="11"/>
  <c r="P973" i="11"/>
  <c r="O973" i="11"/>
  <c r="R968" i="11"/>
  <c r="Q968" i="11"/>
  <c r="P968" i="11"/>
  <c r="O968" i="11"/>
  <c r="R967" i="11"/>
  <c r="Q967" i="11"/>
  <c r="P967" i="11"/>
  <c r="O967" i="11"/>
  <c r="R966" i="11"/>
  <c r="Q966" i="11"/>
  <c r="P966" i="11"/>
  <c r="O966" i="11"/>
  <c r="R965" i="11"/>
  <c r="Q965" i="11"/>
  <c r="P965" i="11"/>
  <c r="O965" i="11"/>
  <c r="R964" i="11"/>
  <c r="Q964" i="11"/>
  <c r="P964" i="11"/>
  <c r="O964" i="11"/>
  <c r="R959" i="11"/>
  <c r="Q959" i="11"/>
  <c r="P959" i="11"/>
  <c r="O959" i="11"/>
  <c r="R953" i="11"/>
  <c r="Q953" i="11"/>
  <c r="P953" i="11"/>
  <c r="O953" i="11"/>
  <c r="R948" i="11"/>
  <c r="Q948" i="11"/>
  <c r="P948" i="11"/>
  <c r="O948" i="11"/>
  <c r="R936" i="11"/>
  <c r="Q936" i="11"/>
  <c r="P936" i="11"/>
  <c r="O936" i="11"/>
  <c r="R929" i="11"/>
  <c r="Q929" i="11"/>
  <c r="P929" i="11"/>
  <c r="O929" i="11"/>
  <c r="R925" i="11"/>
  <c r="Q925" i="11"/>
  <c r="P925" i="11"/>
  <c r="O925" i="11"/>
  <c r="R924" i="11"/>
  <c r="Q924" i="11"/>
  <c r="P924" i="11"/>
  <c r="O924" i="11"/>
  <c r="R923" i="11"/>
  <c r="Q923" i="11"/>
  <c r="P923" i="11"/>
  <c r="O923" i="11"/>
  <c r="R912" i="11"/>
  <c r="Q912" i="11"/>
  <c r="P912" i="11"/>
  <c r="O912" i="11"/>
  <c r="R911" i="11"/>
  <c r="Q911" i="11"/>
  <c r="P911" i="11"/>
  <c r="O911" i="11"/>
  <c r="R909" i="11"/>
  <c r="Q909" i="11"/>
  <c r="P909" i="11"/>
  <c r="O909" i="11"/>
  <c r="R908" i="11"/>
  <c r="Q908" i="11"/>
  <c r="P908" i="11"/>
  <c r="O908" i="11"/>
  <c r="R907" i="11"/>
  <c r="Q907" i="11"/>
  <c r="P907" i="11"/>
  <c r="O907" i="11"/>
  <c r="R900" i="11"/>
  <c r="Q900" i="11"/>
  <c r="P900" i="11"/>
  <c r="O900" i="11"/>
  <c r="R899" i="11"/>
  <c r="Q899" i="11"/>
  <c r="P899" i="11"/>
  <c r="O899" i="11"/>
  <c r="R894" i="11"/>
  <c r="Q894" i="11"/>
  <c r="P894" i="11"/>
  <c r="O894" i="11"/>
  <c r="R893" i="11"/>
  <c r="Q893" i="11"/>
  <c r="P893" i="11"/>
  <c r="O893" i="11"/>
  <c r="R891" i="11"/>
  <c r="Q891" i="11"/>
  <c r="P891" i="11"/>
  <c r="O891" i="11"/>
  <c r="R882" i="11"/>
  <c r="Q882" i="11"/>
  <c r="P882" i="11"/>
  <c r="O882" i="11"/>
  <c r="R879" i="11"/>
  <c r="Q879" i="11"/>
  <c r="P879" i="11"/>
  <c r="O879" i="11"/>
  <c r="R878" i="11"/>
  <c r="Q878" i="11"/>
  <c r="P878" i="11"/>
  <c r="O878" i="11"/>
  <c r="R872" i="11"/>
  <c r="Q872" i="11"/>
  <c r="P872" i="11"/>
  <c r="O872" i="11"/>
  <c r="R863" i="11"/>
  <c r="Q863" i="11"/>
  <c r="P863" i="11"/>
  <c r="O863" i="11"/>
  <c r="R862" i="11"/>
  <c r="Q862" i="11"/>
  <c r="P862" i="11"/>
  <c r="O862" i="11"/>
  <c r="R851" i="11"/>
  <c r="Q851" i="11"/>
  <c r="P851" i="11"/>
  <c r="O851" i="11"/>
  <c r="R850" i="11"/>
  <c r="Q850" i="11"/>
  <c r="P850" i="11"/>
  <c r="O850" i="11"/>
  <c r="R849" i="11"/>
  <c r="Q849" i="11"/>
  <c r="P849" i="11"/>
  <c r="O849" i="11"/>
  <c r="R843" i="11"/>
  <c r="Q843" i="11"/>
  <c r="P843" i="11"/>
  <c r="O843" i="11"/>
  <c r="R813" i="11"/>
  <c r="Q813" i="11"/>
  <c r="P813" i="11"/>
  <c r="O813" i="11"/>
  <c r="R839" i="11"/>
  <c r="Q839" i="11"/>
  <c r="P839" i="11"/>
  <c r="O839" i="11"/>
  <c r="R834" i="11"/>
  <c r="Q834" i="11"/>
  <c r="P834" i="11"/>
  <c r="O834" i="11"/>
  <c r="R833" i="11"/>
  <c r="Q833" i="11"/>
  <c r="P833" i="11"/>
  <c r="O833" i="11"/>
  <c r="R240" i="11"/>
  <c r="Q240" i="11"/>
  <c r="P240" i="11"/>
  <c r="O240" i="11"/>
  <c r="R820" i="11"/>
  <c r="Q820" i="11"/>
  <c r="P820" i="11"/>
  <c r="O820" i="11"/>
  <c r="R819" i="11"/>
  <c r="Q819" i="11"/>
  <c r="P819" i="11"/>
  <c r="O819" i="11"/>
  <c r="R812" i="11"/>
  <c r="Q812" i="11"/>
  <c r="P812" i="11"/>
  <c r="O812" i="11"/>
  <c r="R811" i="11"/>
  <c r="Q811" i="11"/>
  <c r="P811" i="11"/>
  <c r="O811" i="11"/>
  <c r="R801" i="11"/>
  <c r="Q801" i="11"/>
  <c r="P801" i="11"/>
  <c r="O801" i="11"/>
  <c r="R800" i="11"/>
  <c r="Q800" i="11"/>
  <c r="P800" i="11"/>
  <c r="O800" i="11"/>
  <c r="R795" i="11"/>
  <c r="Q795" i="11"/>
  <c r="P795" i="11"/>
  <c r="O795" i="11"/>
  <c r="R794" i="11"/>
  <c r="Q794" i="11"/>
  <c r="P794" i="11"/>
  <c r="O794" i="11"/>
  <c r="R793" i="11"/>
  <c r="Q793" i="11"/>
  <c r="P793" i="11"/>
  <c r="O793" i="11"/>
  <c r="R787" i="11"/>
  <c r="Q787" i="11"/>
  <c r="P787" i="11"/>
  <c r="O787" i="11"/>
  <c r="R782" i="11"/>
  <c r="Q782" i="11"/>
  <c r="P782" i="11"/>
  <c r="O782" i="11"/>
  <c r="R781" i="11"/>
  <c r="Q781" i="11"/>
  <c r="P781" i="11"/>
  <c r="O781" i="11"/>
  <c r="R780" i="11"/>
  <c r="Q780" i="11"/>
  <c r="P780" i="11"/>
  <c r="O780" i="11"/>
  <c r="R764" i="11"/>
  <c r="Q764" i="11"/>
  <c r="P764" i="11"/>
  <c r="O764" i="11"/>
  <c r="R763" i="11"/>
  <c r="Q763" i="11"/>
  <c r="P763" i="11"/>
  <c r="O763" i="11"/>
  <c r="R762" i="11"/>
  <c r="Q762" i="11"/>
  <c r="P762" i="11"/>
  <c r="O762" i="11"/>
  <c r="R759" i="11"/>
  <c r="Q759" i="11"/>
  <c r="P759" i="11"/>
  <c r="O759" i="11"/>
  <c r="R758" i="11"/>
  <c r="Q758" i="11"/>
  <c r="P758" i="11"/>
  <c r="O758" i="11"/>
  <c r="R745" i="11"/>
  <c r="Q745" i="11"/>
  <c r="P745" i="11"/>
  <c r="O745" i="11"/>
  <c r="R744" i="11"/>
  <c r="Q744" i="11"/>
  <c r="P744" i="11"/>
  <c r="O744" i="11"/>
  <c r="R743" i="11"/>
  <c r="Q743" i="11"/>
  <c r="P743" i="11"/>
  <c r="O743" i="11"/>
  <c r="R737" i="11"/>
  <c r="Q737" i="11"/>
  <c r="P737" i="11"/>
  <c r="O737" i="11"/>
  <c r="R736" i="11"/>
  <c r="Q736" i="11"/>
  <c r="P736" i="11"/>
  <c r="O736" i="11"/>
  <c r="R735" i="11"/>
  <c r="Q735" i="11"/>
  <c r="P735" i="11"/>
  <c r="O735" i="11"/>
  <c r="R734" i="11"/>
  <c r="Q734" i="11"/>
  <c r="P734" i="11"/>
  <c r="O734" i="11"/>
  <c r="R729" i="11"/>
  <c r="Q729" i="11"/>
  <c r="P729" i="11"/>
  <c r="O729" i="11"/>
  <c r="R705" i="11"/>
  <c r="Q705" i="11"/>
  <c r="P705" i="11"/>
  <c r="O705" i="11"/>
  <c r="R728" i="11"/>
  <c r="Q728" i="11"/>
  <c r="P728" i="11"/>
  <c r="O728" i="11"/>
  <c r="R724" i="11"/>
  <c r="Q724" i="11"/>
  <c r="P724" i="11"/>
  <c r="O724" i="11"/>
  <c r="R723" i="11"/>
  <c r="Q723" i="11"/>
  <c r="P723" i="11"/>
  <c r="O723" i="11"/>
  <c r="R722" i="11"/>
  <c r="Q722" i="11"/>
  <c r="P722" i="11"/>
  <c r="O722" i="11"/>
  <c r="R721" i="11"/>
  <c r="Q721" i="11"/>
  <c r="P721" i="11"/>
  <c r="O721" i="11"/>
  <c r="R716" i="11"/>
  <c r="Q716" i="11"/>
  <c r="P716" i="11"/>
  <c r="O716" i="11"/>
  <c r="R715" i="11"/>
  <c r="Q715" i="11"/>
  <c r="P715" i="11"/>
  <c r="O715" i="11"/>
  <c r="R714" i="11"/>
  <c r="Q714" i="11"/>
  <c r="P714" i="11"/>
  <c r="O714" i="11"/>
  <c r="R708" i="11"/>
  <c r="Q708" i="11"/>
  <c r="P708" i="11"/>
  <c r="O708" i="11"/>
  <c r="R704" i="11"/>
  <c r="Q704" i="11"/>
  <c r="P704" i="11"/>
  <c r="O704" i="11"/>
  <c r="R703" i="11"/>
  <c r="Q703" i="11"/>
  <c r="P703" i="11"/>
  <c r="O703" i="11"/>
  <c r="R699" i="11"/>
  <c r="Q699" i="11"/>
  <c r="P699" i="11"/>
  <c r="O699" i="11"/>
  <c r="R698" i="11"/>
  <c r="Q698" i="11"/>
  <c r="P698" i="11"/>
  <c r="O698" i="11"/>
  <c r="R697" i="11"/>
  <c r="Q697" i="11"/>
  <c r="P697" i="11"/>
  <c r="O697" i="11"/>
  <c r="R691" i="11"/>
  <c r="Q691" i="11"/>
  <c r="P691" i="11"/>
  <c r="O691" i="11"/>
  <c r="R688" i="11"/>
  <c r="Q688" i="11"/>
  <c r="P688" i="11"/>
  <c r="O688" i="11"/>
  <c r="R687" i="11"/>
  <c r="Q687" i="11"/>
  <c r="P687" i="11"/>
  <c r="O687" i="11"/>
  <c r="R679" i="11"/>
  <c r="Q679" i="11"/>
  <c r="P679" i="11"/>
  <c r="O679" i="11"/>
  <c r="R666" i="11"/>
  <c r="Q666" i="11"/>
  <c r="P666" i="11"/>
  <c r="O666" i="11"/>
  <c r="R639" i="11"/>
  <c r="Q639" i="11"/>
  <c r="P639" i="11"/>
  <c r="O639" i="11"/>
  <c r="R665" i="11"/>
  <c r="Q665" i="11"/>
  <c r="P665" i="11"/>
  <c r="O665" i="11"/>
  <c r="R638" i="11"/>
  <c r="Q638" i="11"/>
  <c r="P638" i="11"/>
  <c r="O638" i="11"/>
  <c r="R661" i="11"/>
  <c r="Q661" i="11"/>
  <c r="P661" i="11"/>
  <c r="O661" i="11"/>
  <c r="R660" i="11"/>
  <c r="Q660" i="11"/>
  <c r="P660" i="11"/>
  <c r="O660" i="11"/>
  <c r="R658" i="11"/>
  <c r="Q658" i="11"/>
  <c r="P658" i="11"/>
  <c r="O658" i="11"/>
  <c r="R657" i="11"/>
  <c r="Q657" i="11"/>
  <c r="P657" i="11"/>
  <c r="O657" i="11"/>
  <c r="R653" i="11"/>
  <c r="Q653" i="11"/>
  <c r="P653" i="11"/>
  <c r="O653" i="11"/>
  <c r="R648" i="11"/>
  <c r="Q648" i="11"/>
  <c r="P648" i="11"/>
  <c r="O648" i="11"/>
  <c r="R647" i="11"/>
  <c r="Q647" i="11"/>
  <c r="P647" i="11"/>
  <c r="O647" i="11"/>
  <c r="R635" i="11"/>
  <c r="Q635" i="11"/>
  <c r="P635" i="11"/>
  <c r="O635" i="11"/>
  <c r="R634" i="11"/>
  <c r="Q634" i="11"/>
  <c r="P634" i="11"/>
  <c r="O634" i="11"/>
  <c r="R633" i="11"/>
  <c r="Q633" i="11"/>
  <c r="P633" i="11"/>
  <c r="O633" i="11"/>
  <c r="R632" i="11"/>
  <c r="Q632" i="11"/>
  <c r="P632" i="11"/>
  <c r="O632" i="11"/>
  <c r="R628" i="11"/>
  <c r="Q628" i="11"/>
  <c r="P628" i="11"/>
  <c r="O628" i="11"/>
  <c r="R627" i="11"/>
  <c r="Q627" i="11"/>
  <c r="P627" i="11"/>
  <c r="O627" i="11"/>
  <c r="R625" i="11"/>
  <c r="Q625" i="11"/>
  <c r="P625" i="11"/>
  <c r="O625" i="11"/>
  <c r="R624" i="11"/>
  <c r="Q624" i="11"/>
  <c r="P624" i="11"/>
  <c r="O624" i="11"/>
  <c r="R608" i="11"/>
  <c r="Q608" i="11"/>
  <c r="P608" i="11"/>
  <c r="O608" i="11"/>
  <c r="R602" i="11"/>
  <c r="Q602" i="11"/>
  <c r="P602" i="11"/>
  <c r="O602" i="11"/>
  <c r="R588" i="11"/>
  <c r="Q588" i="11"/>
  <c r="P588" i="11"/>
  <c r="O588" i="11"/>
  <c r="R587" i="11"/>
  <c r="Q587" i="11"/>
  <c r="P587" i="11"/>
  <c r="O587" i="11"/>
  <c r="R576" i="11"/>
  <c r="Q576" i="11"/>
  <c r="P576" i="11"/>
  <c r="O576" i="11"/>
  <c r="R572" i="11"/>
  <c r="Q572" i="11"/>
  <c r="P572" i="11"/>
  <c r="O572" i="11"/>
  <c r="R562" i="11"/>
  <c r="Q562" i="11"/>
  <c r="P562" i="11"/>
  <c r="O562" i="11"/>
  <c r="R557" i="11"/>
  <c r="Q557" i="11"/>
  <c r="P557" i="11"/>
  <c r="O557" i="11"/>
  <c r="R556" i="11"/>
  <c r="Q556" i="11"/>
  <c r="P556" i="11"/>
  <c r="O556" i="11"/>
  <c r="R552" i="11"/>
  <c r="Q552" i="11"/>
  <c r="P552" i="11"/>
  <c r="O552" i="11"/>
  <c r="R547" i="11"/>
  <c r="Q547" i="11"/>
  <c r="P547" i="11"/>
  <c r="O547" i="11"/>
  <c r="R546" i="11"/>
  <c r="Q546" i="11"/>
  <c r="P546" i="11"/>
  <c r="O546" i="11"/>
  <c r="R531" i="11"/>
  <c r="Q531" i="11"/>
  <c r="P531" i="11"/>
  <c r="O531" i="11"/>
  <c r="R530" i="11"/>
  <c r="Q530" i="11"/>
  <c r="P530" i="11"/>
  <c r="O530" i="11"/>
  <c r="R529" i="11"/>
  <c r="Q529" i="11"/>
  <c r="P529" i="11"/>
  <c r="O529" i="11"/>
  <c r="R524" i="11"/>
  <c r="Q524" i="11"/>
  <c r="P524" i="11"/>
  <c r="O524" i="11"/>
  <c r="R523" i="11"/>
  <c r="Q523" i="11"/>
  <c r="P523" i="11"/>
  <c r="O523" i="11"/>
  <c r="R522" i="11"/>
  <c r="Q522" i="11"/>
  <c r="P522" i="11"/>
  <c r="O522" i="11"/>
  <c r="R521" i="11"/>
  <c r="Q521" i="11"/>
  <c r="P521" i="11"/>
  <c r="O521" i="11"/>
  <c r="R518" i="11"/>
  <c r="Q518" i="11"/>
  <c r="P518" i="11"/>
  <c r="O518" i="11"/>
  <c r="R514" i="11"/>
  <c r="Q514" i="11"/>
  <c r="P514" i="11"/>
  <c r="O514" i="11"/>
  <c r="R513" i="11"/>
  <c r="Q513" i="11"/>
  <c r="P513" i="11"/>
  <c r="O513" i="11"/>
  <c r="R508" i="11"/>
  <c r="Q508" i="11"/>
  <c r="P508" i="11"/>
  <c r="O508" i="11"/>
  <c r="R507" i="11"/>
  <c r="Q507" i="11"/>
  <c r="P507" i="11"/>
  <c r="O507" i="11"/>
  <c r="R506" i="11"/>
  <c r="Q506" i="11"/>
  <c r="P506" i="11"/>
  <c r="O506" i="11"/>
  <c r="R502" i="11"/>
  <c r="Q502" i="11"/>
  <c r="P502" i="11"/>
  <c r="O502" i="11"/>
  <c r="R501" i="11"/>
  <c r="Q501" i="11"/>
  <c r="P501" i="11"/>
  <c r="O501" i="11"/>
  <c r="R498" i="11"/>
  <c r="Q498" i="11"/>
  <c r="P498" i="11"/>
  <c r="O498" i="11"/>
  <c r="R497" i="11"/>
  <c r="Q497" i="11"/>
  <c r="P497" i="11"/>
  <c r="O497" i="11"/>
  <c r="R496" i="11"/>
  <c r="Q496" i="11"/>
  <c r="P496" i="11"/>
  <c r="O496" i="11"/>
  <c r="R492" i="11"/>
  <c r="Q492" i="11"/>
  <c r="P492" i="11"/>
  <c r="O492" i="11"/>
  <c r="R488" i="11"/>
  <c r="Q488" i="11"/>
  <c r="P488" i="11"/>
  <c r="O488" i="11"/>
  <c r="R159" i="11"/>
  <c r="Q159" i="11"/>
  <c r="P159" i="11"/>
  <c r="O159" i="11"/>
  <c r="R485" i="11"/>
  <c r="Q485" i="11"/>
  <c r="P485" i="11"/>
  <c r="O485" i="11"/>
  <c r="R478" i="11"/>
  <c r="Q478" i="11"/>
  <c r="P478" i="11"/>
  <c r="O478" i="11"/>
  <c r="R467" i="11"/>
  <c r="Q467" i="11"/>
  <c r="P467" i="11"/>
  <c r="O467" i="11"/>
  <c r="R466" i="11"/>
  <c r="Q466" i="11"/>
  <c r="P466" i="11"/>
  <c r="O466" i="11"/>
  <c r="R464" i="11"/>
  <c r="Q464" i="11"/>
  <c r="P464" i="11"/>
  <c r="O464" i="11"/>
  <c r="R463" i="11"/>
  <c r="Q463" i="11"/>
  <c r="P463" i="11"/>
  <c r="O463" i="11"/>
  <c r="R458" i="11"/>
  <c r="Q458" i="11"/>
  <c r="P458" i="11"/>
  <c r="O458" i="11"/>
  <c r="R457" i="11"/>
  <c r="Q457" i="11"/>
  <c r="P457" i="11"/>
  <c r="O457" i="11"/>
  <c r="R456" i="11"/>
  <c r="Q456" i="11"/>
  <c r="P456" i="11"/>
  <c r="O456" i="11"/>
  <c r="R451" i="11"/>
  <c r="Q451" i="11"/>
  <c r="P451" i="11"/>
  <c r="O451" i="11"/>
  <c r="R446" i="11"/>
  <c r="Q446" i="11"/>
  <c r="P446" i="11"/>
  <c r="O446" i="11"/>
  <c r="R445" i="11"/>
  <c r="Q445" i="11"/>
  <c r="P445" i="11"/>
  <c r="O445" i="11"/>
  <c r="R438" i="11"/>
  <c r="Q438" i="11"/>
  <c r="P438" i="11"/>
  <c r="O438" i="11"/>
  <c r="R432" i="11"/>
  <c r="Q432" i="11"/>
  <c r="P432" i="11"/>
  <c r="O432" i="11"/>
  <c r="R424" i="11"/>
  <c r="Q424" i="11"/>
  <c r="P424" i="11"/>
  <c r="O424" i="11"/>
  <c r="R420" i="11"/>
  <c r="Q420" i="11"/>
  <c r="P420" i="11"/>
  <c r="O420" i="11"/>
  <c r="R419" i="11"/>
  <c r="Q419" i="11"/>
  <c r="P419" i="11"/>
  <c r="O419" i="11"/>
  <c r="R413" i="11"/>
  <c r="Q413" i="11"/>
  <c r="P413" i="11"/>
  <c r="O413" i="11"/>
  <c r="R412" i="11"/>
  <c r="Q412" i="11"/>
  <c r="P412" i="11"/>
  <c r="O412" i="11"/>
  <c r="R409" i="11"/>
  <c r="Q409" i="11"/>
  <c r="P409" i="11"/>
  <c r="O409" i="11"/>
  <c r="R408" i="11"/>
  <c r="Q408" i="11"/>
  <c r="P408" i="11"/>
  <c r="O408" i="11"/>
  <c r="R400" i="11"/>
  <c r="Q400" i="11"/>
  <c r="P400" i="11"/>
  <c r="O400" i="11"/>
  <c r="R399" i="11"/>
  <c r="Q399" i="11"/>
  <c r="P399" i="11"/>
  <c r="O399" i="11"/>
  <c r="R396" i="11"/>
  <c r="Q396" i="11"/>
  <c r="P396" i="11"/>
  <c r="O396" i="11"/>
  <c r="R395" i="11"/>
  <c r="Q395" i="11"/>
  <c r="P395" i="11"/>
  <c r="O395" i="11"/>
  <c r="R394" i="11"/>
  <c r="Q394" i="11"/>
  <c r="P394" i="11"/>
  <c r="O394" i="11"/>
  <c r="R389" i="11"/>
  <c r="Q389" i="11"/>
  <c r="P389" i="11"/>
  <c r="O389" i="11"/>
  <c r="R388" i="11"/>
  <c r="Q388" i="11"/>
  <c r="P388" i="11"/>
  <c r="O388" i="11"/>
  <c r="R387" i="11"/>
  <c r="Q387" i="11"/>
  <c r="P387" i="11"/>
  <c r="O387" i="11"/>
  <c r="R381" i="11"/>
  <c r="Q381" i="11"/>
  <c r="P381" i="11"/>
  <c r="O381" i="11"/>
  <c r="R380" i="11"/>
  <c r="Q380" i="11"/>
  <c r="P380" i="11"/>
  <c r="O380" i="11"/>
  <c r="R371" i="11"/>
  <c r="Q371" i="11"/>
  <c r="P371" i="11"/>
  <c r="O371" i="11"/>
  <c r="R370" i="11"/>
  <c r="Q370" i="11"/>
  <c r="P370" i="11"/>
  <c r="O370" i="11"/>
  <c r="R369" i="11"/>
  <c r="Q369" i="11"/>
  <c r="P369" i="11"/>
  <c r="O369" i="11"/>
  <c r="R368" i="11"/>
  <c r="Q368" i="11"/>
  <c r="P368" i="11"/>
  <c r="O368" i="11"/>
  <c r="R363" i="11"/>
  <c r="Q363" i="11"/>
  <c r="P363" i="11"/>
  <c r="O363" i="11"/>
  <c r="R355" i="11"/>
  <c r="Q355" i="11"/>
  <c r="P355" i="11"/>
  <c r="O355" i="11"/>
  <c r="R354" i="11"/>
  <c r="Q354" i="11"/>
  <c r="P354" i="11"/>
  <c r="O354" i="11"/>
  <c r="R349" i="11"/>
  <c r="Q349" i="11"/>
  <c r="P349" i="11"/>
  <c r="O349" i="11"/>
  <c r="R343" i="11"/>
  <c r="Q343" i="11"/>
  <c r="P343" i="11"/>
  <c r="O343" i="11"/>
  <c r="R341" i="11"/>
  <c r="Q341" i="11"/>
  <c r="P341" i="11"/>
  <c r="O341" i="11"/>
  <c r="R336" i="11"/>
  <c r="Q336" i="11"/>
  <c r="P336" i="11"/>
  <c r="O336" i="11"/>
  <c r="R335" i="11"/>
  <c r="Q335" i="11"/>
  <c r="P335" i="11"/>
  <c r="O335" i="11"/>
  <c r="R333" i="11"/>
  <c r="Q333" i="11"/>
  <c r="P333" i="11"/>
  <c r="O333" i="11"/>
  <c r="R325" i="11"/>
  <c r="Q325" i="11"/>
  <c r="P325" i="11"/>
  <c r="O325" i="11"/>
  <c r="R318" i="11"/>
  <c r="Q318" i="11"/>
  <c r="P318" i="11"/>
  <c r="O318" i="11"/>
  <c r="R317" i="11"/>
  <c r="Q317" i="11"/>
  <c r="P317" i="11"/>
  <c r="O317" i="11"/>
  <c r="R310" i="11"/>
  <c r="Q310" i="11"/>
  <c r="P310" i="11"/>
  <c r="O310" i="11"/>
  <c r="R303" i="11"/>
  <c r="Q303" i="11"/>
  <c r="P303" i="11"/>
  <c r="O303" i="11"/>
  <c r="R293" i="11"/>
  <c r="Q293" i="11"/>
  <c r="P293" i="11"/>
  <c r="O293" i="11"/>
  <c r="R289" i="11"/>
  <c r="Q289" i="11"/>
  <c r="P289" i="11"/>
  <c r="O289" i="11"/>
  <c r="R288" i="11"/>
  <c r="Q288" i="11"/>
  <c r="P288" i="11"/>
  <c r="O288" i="11"/>
  <c r="R287" i="11"/>
  <c r="Q287" i="11"/>
  <c r="P287" i="11"/>
  <c r="O287" i="11"/>
  <c r="R279" i="11"/>
  <c r="Q279" i="11"/>
  <c r="P279" i="11"/>
  <c r="O279" i="11"/>
  <c r="R278" i="11"/>
  <c r="Q278" i="11"/>
  <c r="P278" i="11"/>
  <c r="O278" i="11"/>
  <c r="R274" i="11"/>
  <c r="Q274" i="11"/>
  <c r="P274" i="11"/>
  <c r="O274" i="11"/>
  <c r="R269" i="11"/>
  <c r="Q269" i="11"/>
  <c r="P269" i="11"/>
  <c r="O269" i="11"/>
  <c r="R268" i="11"/>
  <c r="Q268" i="11"/>
  <c r="P268" i="11"/>
  <c r="O268" i="11"/>
  <c r="R267" i="11"/>
  <c r="Q267" i="11"/>
  <c r="P267" i="11"/>
  <c r="O267" i="11"/>
  <c r="R266" i="11"/>
  <c r="Q266" i="11"/>
  <c r="P266" i="11"/>
  <c r="O266" i="11"/>
  <c r="R255" i="11"/>
  <c r="Q255" i="11"/>
  <c r="P255" i="11"/>
  <c r="O255" i="11"/>
  <c r="R250" i="11"/>
  <c r="Q250" i="11"/>
  <c r="P250" i="11"/>
  <c r="O250" i="11"/>
  <c r="R249" i="11"/>
  <c r="Q249" i="11"/>
  <c r="P249" i="11"/>
  <c r="O249" i="11"/>
  <c r="R246" i="11"/>
  <c r="Q246" i="11"/>
  <c r="P246" i="11"/>
  <c r="O246" i="11"/>
  <c r="R245" i="11"/>
  <c r="Q245" i="11"/>
  <c r="P245" i="11"/>
  <c r="O245" i="11"/>
  <c r="R239" i="11"/>
  <c r="Q239" i="11"/>
  <c r="P239" i="11"/>
  <c r="O239" i="11"/>
  <c r="R238" i="11"/>
  <c r="Q238" i="11"/>
  <c r="P238" i="11"/>
  <c r="O238" i="11"/>
  <c r="R237" i="11"/>
  <c r="Q237" i="11"/>
  <c r="P237" i="11"/>
  <c r="O237" i="11"/>
  <c r="R232" i="11"/>
  <c r="Q232" i="11"/>
  <c r="P232" i="11"/>
  <c r="O232" i="11"/>
  <c r="R231" i="11"/>
  <c r="Q231" i="11"/>
  <c r="P231" i="11"/>
  <c r="O231" i="11"/>
  <c r="R223" i="11"/>
  <c r="Q223" i="11"/>
  <c r="P223" i="11"/>
  <c r="O223" i="11"/>
  <c r="R222" i="11"/>
  <c r="Q222" i="11"/>
  <c r="P222" i="11"/>
  <c r="O222" i="11"/>
  <c r="R217" i="11"/>
  <c r="Q217" i="11"/>
  <c r="P217" i="11"/>
  <c r="O217" i="11"/>
  <c r="R214" i="11"/>
  <c r="Q214" i="11"/>
  <c r="P214" i="11"/>
  <c r="O214" i="11"/>
  <c r="R210" i="11"/>
  <c r="Q210" i="11"/>
  <c r="P210" i="11"/>
  <c r="O210" i="11"/>
  <c r="R209" i="11"/>
  <c r="Q209" i="11"/>
  <c r="P209" i="11"/>
  <c r="O209" i="11"/>
  <c r="R208" i="11"/>
  <c r="Q208" i="11"/>
  <c r="P208" i="11"/>
  <c r="O208" i="11"/>
  <c r="R207" i="11"/>
  <c r="Q207" i="11"/>
  <c r="P207" i="11"/>
  <c r="O207" i="11"/>
  <c r="R201" i="11"/>
  <c r="Q201" i="11"/>
  <c r="P201" i="11"/>
  <c r="O201" i="11"/>
  <c r="R195" i="11"/>
  <c r="Q195" i="11"/>
  <c r="P195" i="11"/>
  <c r="O195" i="11"/>
  <c r="R194" i="11"/>
  <c r="Q194" i="11"/>
  <c r="P194" i="11"/>
  <c r="O194" i="11"/>
  <c r="R185" i="11"/>
  <c r="Q185" i="11"/>
  <c r="P185" i="11"/>
  <c r="O185" i="11"/>
  <c r="R184" i="11"/>
  <c r="Q184" i="11"/>
  <c r="P184" i="11"/>
  <c r="O184" i="11"/>
  <c r="R183" i="11"/>
  <c r="Q183" i="11"/>
  <c r="P183" i="11"/>
  <c r="O183" i="11"/>
  <c r="R172" i="11"/>
  <c r="Q172" i="11"/>
  <c r="P172" i="11"/>
  <c r="O172" i="11"/>
  <c r="R171" i="11"/>
  <c r="Q171" i="11"/>
  <c r="P171" i="11"/>
  <c r="O171" i="11"/>
  <c r="R166" i="11"/>
  <c r="Q166" i="11"/>
  <c r="P166" i="11"/>
  <c r="O166" i="11"/>
  <c r="R162" i="11"/>
  <c r="Q162" i="11"/>
  <c r="P162" i="11"/>
  <c r="O162" i="11"/>
  <c r="R149" i="11"/>
  <c r="Q149" i="11"/>
  <c r="P149" i="11"/>
  <c r="O149" i="11"/>
  <c r="R148" i="11"/>
  <c r="Q148" i="11"/>
  <c r="P148" i="11"/>
  <c r="O148" i="11"/>
  <c r="R143" i="11"/>
  <c r="Q143" i="11"/>
  <c r="P143" i="11"/>
  <c r="O143" i="11"/>
  <c r="R137" i="11"/>
  <c r="Q137" i="11"/>
  <c r="P137" i="11"/>
  <c r="O137" i="11"/>
  <c r="R136" i="11"/>
  <c r="Q136" i="11"/>
  <c r="P136" i="11"/>
  <c r="O136" i="11"/>
  <c r="R135" i="11"/>
  <c r="Q135" i="11"/>
  <c r="P135" i="11"/>
  <c r="O135" i="11"/>
  <c r="R131" i="11"/>
  <c r="Q131" i="11"/>
  <c r="P131" i="11"/>
  <c r="O131" i="11"/>
  <c r="R123" i="11"/>
  <c r="Q123" i="11"/>
  <c r="P123" i="11"/>
  <c r="O123" i="11"/>
  <c r="R118" i="11"/>
  <c r="Q118" i="11"/>
  <c r="P118" i="11"/>
  <c r="O118" i="11"/>
  <c r="R117" i="11"/>
  <c r="Q117" i="11"/>
  <c r="P117" i="11"/>
  <c r="O117" i="11"/>
  <c r="R116" i="11"/>
  <c r="Q116" i="11"/>
  <c r="P116" i="11"/>
  <c r="O116" i="11"/>
  <c r="R112" i="11"/>
  <c r="Q112" i="11"/>
  <c r="P112" i="11"/>
  <c r="O112" i="11"/>
  <c r="R107" i="11"/>
  <c r="Q107" i="11"/>
  <c r="P107" i="11"/>
  <c r="O107" i="11"/>
  <c r="R106" i="11"/>
  <c r="Q106" i="11"/>
  <c r="P106" i="11"/>
  <c r="O106" i="11"/>
  <c r="R105" i="11"/>
  <c r="Q105" i="11"/>
  <c r="P105" i="11"/>
  <c r="O105" i="11"/>
  <c r="R100" i="11"/>
  <c r="Q100" i="11"/>
  <c r="P100" i="11"/>
  <c r="O100" i="11"/>
  <c r="R92" i="11"/>
  <c r="Q92" i="11"/>
  <c r="P92" i="11"/>
  <c r="O92" i="11"/>
  <c r="R88" i="11"/>
  <c r="Q88" i="11"/>
  <c r="P88" i="11"/>
  <c r="O88" i="11"/>
  <c r="R83" i="11"/>
  <c r="Q83" i="11"/>
  <c r="P83" i="11"/>
  <c r="O83" i="11"/>
  <c r="R78" i="11"/>
  <c r="Q78" i="11"/>
  <c r="P78" i="11"/>
  <c r="O78" i="11"/>
  <c r="R69" i="11"/>
  <c r="Q69" i="11"/>
  <c r="P69" i="11"/>
  <c r="O69" i="11"/>
  <c r="R66" i="11"/>
  <c r="Q66" i="11"/>
  <c r="P66" i="11"/>
  <c r="O66" i="11"/>
  <c r="R65" i="11"/>
  <c r="Q65" i="11"/>
  <c r="P65" i="11"/>
  <c r="O65" i="11"/>
  <c r="R45" i="11"/>
  <c r="Q45" i="11"/>
  <c r="P45" i="11"/>
  <c r="O45" i="11"/>
  <c r="R44" i="11"/>
  <c r="Q44" i="11"/>
  <c r="P44" i="11"/>
  <c r="O44" i="11"/>
  <c r="R31" i="11"/>
  <c r="Q31" i="11"/>
  <c r="P31" i="11"/>
  <c r="O31" i="11"/>
  <c r="R30" i="11"/>
  <c r="Q30" i="11"/>
  <c r="P30" i="11"/>
  <c r="O30" i="11"/>
  <c r="R29" i="11"/>
  <c r="Q29" i="11"/>
  <c r="P29" i="11"/>
  <c r="O29" i="11"/>
  <c r="R26" i="11"/>
  <c r="Q26" i="11"/>
  <c r="P26" i="11"/>
  <c r="O26" i="11"/>
  <c r="R21" i="11"/>
  <c r="Q21" i="11"/>
  <c r="P21" i="11"/>
  <c r="O21" i="11"/>
  <c r="R14" i="11"/>
  <c r="Q14" i="11"/>
  <c r="P14" i="11"/>
  <c r="O14" i="11"/>
  <c r="R11" i="11"/>
  <c r="Q11" i="11"/>
  <c r="P11" i="11"/>
  <c r="O11" i="11"/>
  <c r="R8" i="11"/>
  <c r="Q8" i="11"/>
  <c r="P8" i="11"/>
  <c r="O8" i="11"/>
  <c r="R2000" i="11"/>
  <c r="Q2000" i="11"/>
  <c r="P2000" i="11"/>
  <c r="O2000" i="11"/>
  <c r="R1999" i="11"/>
  <c r="Q1999" i="11"/>
  <c r="P1999" i="11"/>
  <c r="O1999" i="11"/>
  <c r="R1992" i="11"/>
  <c r="Q1992" i="11"/>
  <c r="P1992" i="11"/>
  <c r="O1992" i="11"/>
  <c r="R1987" i="11"/>
  <c r="Q1987" i="11"/>
  <c r="P1987" i="11"/>
  <c r="O1987" i="11"/>
  <c r="R1986" i="11"/>
  <c r="Q1986" i="11"/>
  <c r="P1986" i="11"/>
  <c r="O1986" i="11"/>
  <c r="R1970" i="11"/>
  <c r="Q1970" i="11"/>
  <c r="P1970" i="11"/>
  <c r="O1970" i="11"/>
  <c r="R1969" i="11"/>
  <c r="Q1969" i="11"/>
  <c r="P1969" i="11"/>
  <c r="O1969" i="11"/>
  <c r="R1968" i="11"/>
  <c r="Q1968" i="11"/>
  <c r="P1968" i="11"/>
  <c r="O1968" i="11"/>
  <c r="R1967" i="11"/>
  <c r="Q1967" i="11"/>
  <c r="P1967" i="11"/>
  <c r="O1967" i="11"/>
  <c r="R1963" i="11"/>
  <c r="Q1963" i="11"/>
  <c r="P1963" i="11"/>
  <c r="O1963" i="11"/>
  <c r="R1959" i="11"/>
  <c r="Q1959" i="11"/>
  <c r="P1959" i="11"/>
  <c r="O1959" i="11"/>
  <c r="R1958" i="11"/>
  <c r="Q1958" i="11"/>
  <c r="P1958" i="11"/>
  <c r="O1958" i="11"/>
  <c r="R1953" i="11"/>
  <c r="Q1953" i="11"/>
  <c r="P1953" i="11"/>
  <c r="O1953" i="11"/>
  <c r="R1952" i="11"/>
  <c r="Q1952" i="11"/>
  <c r="P1952" i="11"/>
  <c r="O1952" i="11"/>
  <c r="R1951" i="11"/>
  <c r="Q1951" i="11"/>
  <c r="P1951" i="11"/>
  <c r="O1951" i="11"/>
  <c r="R1950" i="11"/>
  <c r="Q1950" i="11"/>
  <c r="P1950" i="11"/>
  <c r="O1950" i="11"/>
  <c r="R1949" i="11"/>
  <c r="Q1949" i="11"/>
  <c r="P1949" i="11"/>
  <c r="O1949" i="11"/>
  <c r="R1948" i="11"/>
  <c r="Q1948" i="11"/>
  <c r="P1948" i="11"/>
  <c r="O1948" i="11"/>
  <c r="R1944" i="11"/>
  <c r="Q1944" i="11"/>
  <c r="P1944" i="11"/>
  <c r="O1944" i="11"/>
  <c r="R1935" i="11"/>
  <c r="Q1935" i="11"/>
  <c r="P1935" i="11"/>
  <c r="O1935" i="11"/>
  <c r="R1919" i="11"/>
  <c r="Q1919" i="11"/>
  <c r="P1919" i="11"/>
  <c r="O1919" i="11"/>
  <c r="R1912" i="11"/>
  <c r="Q1912" i="11"/>
  <c r="P1912" i="11"/>
  <c r="O1912" i="11"/>
  <c r="R1911" i="11"/>
  <c r="Q1911" i="11"/>
  <c r="P1911" i="11"/>
  <c r="O1911" i="11"/>
  <c r="R1910" i="11"/>
  <c r="Q1910" i="11"/>
  <c r="P1910" i="11"/>
  <c r="O1910" i="11"/>
  <c r="R1909" i="11"/>
  <c r="Q1909" i="11"/>
  <c r="P1909" i="11"/>
  <c r="O1909" i="11"/>
  <c r="R1908" i="11"/>
  <c r="Q1908" i="11"/>
  <c r="P1908" i="11"/>
  <c r="O1908" i="11"/>
  <c r="R1900" i="11"/>
  <c r="Q1900" i="11"/>
  <c r="P1900" i="11"/>
  <c r="O1900" i="11"/>
  <c r="R1893" i="11"/>
  <c r="Q1893" i="11"/>
  <c r="P1893" i="11"/>
  <c r="O1893" i="11"/>
  <c r="R1887" i="11"/>
  <c r="Q1887" i="11"/>
  <c r="P1887" i="11"/>
  <c r="O1887" i="11"/>
  <c r="R1884" i="11"/>
  <c r="Q1884" i="11"/>
  <c r="P1884" i="11"/>
  <c r="O1884" i="11"/>
  <c r="R1883" i="11"/>
  <c r="Q1883" i="11"/>
  <c r="P1883" i="11"/>
  <c r="O1883" i="11"/>
  <c r="R1881" i="11"/>
  <c r="Q1881" i="11"/>
  <c r="P1881" i="11"/>
  <c r="O1881" i="11"/>
  <c r="R1880" i="11"/>
  <c r="Q1880" i="11"/>
  <c r="P1880" i="11"/>
  <c r="O1880" i="11"/>
  <c r="R1879" i="11"/>
  <c r="Q1879" i="11"/>
  <c r="P1879" i="11"/>
  <c r="O1879" i="11"/>
  <c r="R1878" i="11"/>
  <c r="Q1878" i="11"/>
  <c r="P1878" i="11"/>
  <c r="O1878" i="11"/>
  <c r="R1877" i="11"/>
  <c r="Q1877" i="11"/>
  <c r="P1877" i="11"/>
  <c r="O1877" i="11"/>
  <c r="R1876" i="11"/>
  <c r="Q1876" i="11"/>
  <c r="P1876" i="11"/>
  <c r="O1876" i="11"/>
  <c r="R1873" i="11"/>
  <c r="Q1873" i="11"/>
  <c r="P1873" i="11"/>
  <c r="O1873" i="11"/>
  <c r="R1872" i="11"/>
  <c r="Q1872" i="11"/>
  <c r="P1872" i="11"/>
  <c r="O1872" i="11"/>
  <c r="R1871" i="11"/>
  <c r="Q1871" i="11"/>
  <c r="P1871" i="11"/>
  <c r="O1871" i="11"/>
  <c r="R1865" i="11"/>
  <c r="Q1865" i="11"/>
  <c r="P1865" i="11"/>
  <c r="O1865" i="11"/>
  <c r="R1418" i="11"/>
  <c r="Q1418" i="11"/>
  <c r="P1418" i="11"/>
  <c r="O1418" i="11"/>
  <c r="R1860" i="11"/>
  <c r="Q1860" i="11"/>
  <c r="P1860" i="11"/>
  <c r="O1860" i="11"/>
  <c r="R1822" i="11"/>
  <c r="Q1822" i="11"/>
  <c r="P1822" i="11"/>
  <c r="O1822" i="11"/>
  <c r="R1821" i="11"/>
  <c r="Q1821" i="11"/>
  <c r="P1821" i="11"/>
  <c r="O1821" i="11"/>
  <c r="R1856" i="11"/>
  <c r="Q1856" i="11"/>
  <c r="P1856" i="11"/>
  <c r="O1856" i="11"/>
  <c r="R1845" i="11"/>
  <c r="Q1845" i="11"/>
  <c r="P1845" i="11"/>
  <c r="O1845" i="11"/>
  <c r="R1844" i="11"/>
  <c r="Q1844" i="11"/>
  <c r="P1844" i="11"/>
  <c r="O1844" i="11"/>
  <c r="R1843" i="11"/>
  <c r="Q1843" i="11"/>
  <c r="P1843" i="11"/>
  <c r="O1843" i="11"/>
  <c r="R1839" i="11"/>
  <c r="Q1839" i="11"/>
  <c r="P1839" i="11"/>
  <c r="O1839" i="11"/>
  <c r="R1838" i="11"/>
  <c r="Q1838" i="11"/>
  <c r="P1838" i="11"/>
  <c r="O1838" i="11"/>
  <c r="R1828" i="11"/>
  <c r="Q1828" i="11"/>
  <c r="P1828" i="11"/>
  <c r="O1828" i="11"/>
  <c r="R1827" i="11"/>
  <c r="Q1827" i="11"/>
  <c r="P1827" i="11"/>
  <c r="O1827" i="11"/>
  <c r="R1820" i="11"/>
  <c r="Q1820" i="11"/>
  <c r="P1820" i="11"/>
  <c r="O1820" i="11"/>
  <c r="R1813" i="11"/>
  <c r="Q1813" i="11"/>
  <c r="P1813" i="11"/>
  <c r="O1813" i="11"/>
  <c r="R1812" i="11"/>
  <c r="Q1812" i="11"/>
  <c r="P1812" i="11"/>
  <c r="O1812" i="11"/>
  <c r="R1811" i="11"/>
  <c r="Q1811" i="11"/>
  <c r="P1811" i="11"/>
  <c r="O1811" i="11"/>
  <c r="R1805" i="11"/>
  <c r="Q1805" i="11"/>
  <c r="P1805" i="11"/>
  <c r="O1805" i="11"/>
  <c r="R1804" i="11"/>
  <c r="Q1804" i="11"/>
  <c r="P1804" i="11"/>
  <c r="O1804" i="11"/>
  <c r="R1803" i="11"/>
  <c r="Q1803" i="11"/>
  <c r="P1803" i="11"/>
  <c r="O1803" i="11"/>
  <c r="R1798" i="11"/>
  <c r="Q1798" i="11"/>
  <c r="P1798" i="11"/>
  <c r="O1798" i="11"/>
  <c r="R1797" i="11"/>
  <c r="Q1797" i="11"/>
  <c r="P1797" i="11"/>
  <c r="O1797" i="11"/>
  <c r="R1789" i="11"/>
  <c r="Q1789" i="11"/>
  <c r="P1789" i="11"/>
  <c r="O1789" i="11"/>
  <c r="R1788" i="11"/>
  <c r="Q1788" i="11"/>
  <c r="P1788" i="11"/>
  <c r="O1788" i="11"/>
  <c r="R1787" i="11"/>
  <c r="Q1787" i="11"/>
  <c r="P1787" i="11"/>
  <c r="O1787" i="11"/>
  <c r="R1784" i="11"/>
  <c r="Q1784" i="11"/>
  <c r="P1784" i="11"/>
  <c r="O1784" i="11"/>
  <c r="R1767" i="11"/>
  <c r="Q1767" i="11"/>
  <c r="P1767" i="11"/>
  <c r="O1767" i="11"/>
  <c r="R1766" i="11"/>
  <c r="Q1766" i="11"/>
  <c r="P1766" i="11"/>
  <c r="O1766" i="11"/>
  <c r="R1761" i="11"/>
  <c r="Q1761" i="11"/>
  <c r="P1761" i="11"/>
  <c r="O1761" i="11"/>
  <c r="R1754" i="11"/>
  <c r="Q1754" i="11"/>
  <c r="P1754" i="11"/>
  <c r="O1754" i="11"/>
  <c r="R1753" i="11"/>
  <c r="Q1753" i="11"/>
  <c r="P1753" i="11"/>
  <c r="O1753" i="11"/>
  <c r="R1747" i="11"/>
  <c r="Q1747" i="11"/>
  <c r="P1747" i="11"/>
  <c r="O1747" i="11"/>
  <c r="R1746" i="11"/>
  <c r="Q1746" i="11"/>
  <c r="P1746" i="11"/>
  <c r="O1746" i="11"/>
  <c r="R1739" i="11"/>
  <c r="Q1739" i="11"/>
  <c r="P1739" i="11"/>
  <c r="O1739" i="11"/>
  <c r="R1734" i="11"/>
  <c r="Q1734" i="11"/>
  <c r="P1734" i="11"/>
  <c r="O1734" i="11"/>
  <c r="R1723" i="11"/>
  <c r="Q1723" i="11"/>
  <c r="P1723" i="11"/>
  <c r="O1723" i="11"/>
  <c r="R1722" i="11"/>
  <c r="Q1722" i="11"/>
  <c r="P1722" i="11"/>
  <c r="O1722" i="11"/>
  <c r="R1718" i="11"/>
  <c r="Q1718" i="11"/>
  <c r="P1718" i="11"/>
  <c r="O1718" i="11"/>
  <c r="R1715" i="11"/>
  <c r="Q1715" i="11"/>
  <c r="P1715" i="11"/>
  <c r="O1715" i="11"/>
  <c r="R1687" i="11"/>
  <c r="Q1687" i="11"/>
  <c r="P1687" i="11"/>
  <c r="O1687" i="11"/>
  <c r="R1686" i="11"/>
  <c r="Q1686" i="11"/>
  <c r="P1686" i="11"/>
  <c r="O1686" i="11"/>
  <c r="R1685" i="11"/>
  <c r="Q1685" i="11"/>
  <c r="P1685" i="11"/>
  <c r="O1685" i="11"/>
  <c r="R1684" i="11"/>
  <c r="Q1684" i="11"/>
  <c r="P1684" i="11"/>
  <c r="O1684" i="11"/>
  <c r="R1675" i="11"/>
  <c r="Q1675" i="11"/>
  <c r="P1675" i="11"/>
  <c r="O1675" i="11"/>
  <c r="R1674" i="11"/>
  <c r="Q1674" i="11"/>
  <c r="P1674" i="11"/>
  <c r="O1674" i="11"/>
  <c r="R1671" i="11"/>
  <c r="Q1671" i="11"/>
  <c r="P1671" i="11"/>
  <c r="O1671" i="11"/>
  <c r="R1667" i="11"/>
  <c r="Q1667" i="11"/>
  <c r="P1667" i="11"/>
  <c r="O1667" i="11"/>
  <c r="R1662" i="11"/>
  <c r="Q1662" i="11"/>
  <c r="P1662" i="11"/>
  <c r="O1662" i="11"/>
  <c r="R1656" i="11"/>
  <c r="Q1656" i="11"/>
  <c r="P1656" i="11"/>
  <c r="O1656" i="11"/>
  <c r="R67" i="11"/>
  <c r="Q67" i="11"/>
  <c r="P67" i="11"/>
  <c r="O67" i="11"/>
  <c r="R1645" i="11"/>
  <c r="Q1645" i="11"/>
  <c r="P1645" i="11"/>
  <c r="O1645" i="11"/>
  <c r="R1640" i="11"/>
  <c r="Q1640" i="11"/>
  <c r="P1640" i="11"/>
  <c r="O1640" i="11"/>
  <c r="R1634" i="11"/>
  <c r="Q1634" i="11"/>
  <c r="P1634" i="11"/>
  <c r="O1634" i="11"/>
  <c r="R1626" i="11"/>
  <c r="Q1626" i="11"/>
  <c r="P1626" i="11"/>
  <c r="O1626" i="11"/>
  <c r="R1623" i="11"/>
  <c r="Q1623" i="11"/>
  <c r="P1623" i="11"/>
  <c r="O1623" i="11"/>
  <c r="R1585" i="11"/>
  <c r="Q1585" i="11"/>
  <c r="P1585" i="11"/>
  <c r="O1585" i="11"/>
  <c r="R1614" i="11"/>
  <c r="Q1614" i="11"/>
  <c r="P1614" i="11"/>
  <c r="O1614" i="11"/>
  <c r="R1613" i="11"/>
  <c r="Q1613" i="11"/>
  <c r="P1613" i="11"/>
  <c r="O1613" i="11"/>
  <c r="R1607" i="11"/>
  <c r="Q1607" i="11"/>
  <c r="P1607" i="11"/>
  <c r="O1607" i="11"/>
  <c r="R1606" i="11"/>
  <c r="Q1606" i="11"/>
  <c r="P1606" i="11"/>
  <c r="O1606" i="11"/>
  <c r="R1600" i="11"/>
  <c r="Q1600" i="11"/>
  <c r="P1600" i="11"/>
  <c r="O1600" i="11"/>
  <c r="R1599" i="11"/>
  <c r="Q1599" i="11"/>
  <c r="P1599" i="11"/>
  <c r="O1599" i="11"/>
  <c r="R1591" i="11"/>
  <c r="Q1591" i="11"/>
  <c r="P1591" i="11"/>
  <c r="O1591" i="11"/>
  <c r="R1590" i="11"/>
  <c r="Q1590" i="11"/>
  <c r="P1590" i="11"/>
  <c r="O1590" i="11"/>
  <c r="R1576" i="11"/>
  <c r="Q1576" i="11"/>
  <c r="P1576" i="11"/>
  <c r="O1576" i="11"/>
  <c r="R1575" i="11"/>
  <c r="Q1575" i="11"/>
  <c r="P1575" i="11"/>
  <c r="O1575" i="11"/>
  <c r="R1574" i="11"/>
  <c r="Q1574" i="11"/>
  <c r="P1574" i="11"/>
  <c r="O1574" i="11"/>
  <c r="R1573" i="11"/>
  <c r="Q1573" i="11"/>
  <c r="P1573" i="11"/>
  <c r="O1573" i="11"/>
  <c r="R1569" i="11"/>
  <c r="Q1569" i="11"/>
  <c r="P1569" i="11"/>
  <c r="O1569" i="11"/>
  <c r="R1568" i="11"/>
  <c r="Q1568" i="11"/>
  <c r="P1568" i="11"/>
  <c r="O1568" i="11"/>
  <c r="R1567" i="11"/>
  <c r="Q1567" i="11"/>
  <c r="P1567" i="11"/>
  <c r="O1567" i="11"/>
  <c r="R1563" i="11"/>
  <c r="Q1563" i="11"/>
  <c r="P1563" i="11"/>
  <c r="O1563" i="11"/>
  <c r="R1562" i="11"/>
  <c r="Q1562" i="11"/>
  <c r="P1562" i="11"/>
  <c r="O1562" i="11"/>
  <c r="R1561" i="11"/>
  <c r="Q1561" i="11"/>
  <c r="P1561" i="11"/>
  <c r="O1561" i="11"/>
  <c r="R1554" i="11"/>
  <c r="Q1554" i="11"/>
  <c r="P1554" i="11"/>
  <c r="O1554" i="11"/>
  <c r="R1553" i="11"/>
  <c r="Q1553" i="11"/>
  <c r="P1553" i="11"/>
  <c r="O1553" i="11"/>
  <c r="R1552" i="11"/>
  <c r="Q1552" i="11"/>
  <c r="P1552" i="11"/>
  <c r="O1552" i="11"/>
  <c r="R1544" i="11"/>
  <c r="Q1544" i="11"/>
  <c r="P1544" i="11"/>
  <c r="O1544" i="11"/>
  <c r="R1543" i="11"/>
  <c r="Q1543" i="11"/>
  <c r="P1543" i="11"/>
  <c r="O1543" i="11"/>
  <c r="R1542" i="11"/>
  <c r="Q1542" i="11"/>
  <c r="P1542" i="11"/>
  <c r="O1542" i="11"/>
  <c r="R1537" i="11"/>
  <c r="Q1537" i="11"/>
  <c r="P1537" i="11"/>
  <c r="O1537" i="11"/>
  <c r="R1518" i="11"/>
  <c r="Q1518" i="11"/>
  <c r="P1518" i="11"/>
  <c r="O1518" i="11"/>
  <c r="R1510" i="11"/>
  <c r="Q1510" i="11"/>
  <c r="P1510" i="11"/>
  <c r="O1510" i="11"/>
  <c r="R1509" i="11"/>
  <c r="Q1509" i="11"/>
  <c r="P1509" i="11"/>
  <c r="O1509" i="11"/>
  <c r="R1504" i="11"/>
  <c r="Q1504" i="11"/>
  <c r="P1504" i="11"/>
  <c r="O1504" i="11"/>
  <c r="R1503" i="11"/>
  <c r="Q1503" i="11"/>
  <c r="P1503" i="11"/>
  <c r="O1503" i="11"/>
  <c r="R1502" i="11"/>
  <c r="Q1502" i="11"/>
  <c r="P1502" i="11"/>
  <c r="O1502" i="11"/>
  <c r="R1501" i="11"/>
  <c r="Q1501" i="11"/>
  <c r="P1501" i="11"/>
  <c r="O1501" i="11"/>
  <c r="R1500" i="11"/>
  <c r="Q1500" i="11"/>
  <c r="P1500" i="11"/>
  <c r="O1500" i="11"/>
  <c r="R1499" i="11"/>
  <c r="Q1499" i="11"/>
  <c r="P1499" i="11"/>
  <c r="O1499" i="11"/>
  <c r="R1498" i="11"/>
  <c r="Q1498" i="11"/>
  <c r="P1498" i="11"/>
  <c r="O1498" i="11"/>
  <c r="R1495" i="11"/>
  <c r="Q1495" i="11"/>
  <c r="P1495" i="11"/>
  <c r="O1495" i="11"/>
  <c r="R1491" i="11"/>
  <c r="Q1491" i="11"/>
  <c r="P1491" i="11"/>
  <c r="O1491" i="11"/>
  <c r="R1490" i="11"/>
  <c r="Q1490" i="11"/>
  <c r="P1490" i="11"/>
  <c r="O1490" i="11"/>
  <c r="R1485" i="11"/>
  <c r="Q1485" i="11"/>
  <c r="P1485" i="11"/>
  <c r="O1485" i="11"/>
  <c r="R1484" i="11"/>
  <c r="Q1484" i="11"/>
  <c r="P1484" i="11"/>
  <c r="O1484" i="11"/>
  <c r="R1456" i="11"/>
  <c r="Q1456" i="11"/>
  <c r="P1456" i="11"/>
  <c r="O1456" i="11"/>
  <c r="R1483" i="11"/>
  <c r="Q1483" i="11"/>
  <c r="P1483" i="11"/>
  <c r="O1483" i="11"/>
  <c r="R1477" i="11"/>
  <c r="Q1477" i="11"/>
  <c r="P1477" i="11"/>
  <c r="O1477" i="11"/>
  <c r="R1472" i="11"/>
  <c r="Q1472" i="11"/>
  <c r="P1472" i="11"/>
  <c r="O1472" i="11"/>
  <c r="R1471" i="11"/>
  <c r="Q1471" i="11"/>
  <c r="P1471" i="11"/>
  <c r="O1471" i="11"/>
  <c r="R1470" i="11"/>
  <c r="Q1470" i="11"/>
  <c r="P1470" i="11"/>
  <c r="O1470" i="11"/>
  <c r="R1469" i="11"/>
  <c r="Q1469" i="11"/>
  <c r="P1469" i="11"/>
  <c r="O1469" i="11"/>
  <c r="R1468" i="11"/>
  <c r="Q1468" i="11"/>
  <c r="P1468" i="11"/>
  <c r="O1468" i="11"/>
  <c r="R1454" i="11"/>
  <c r="Q1454" i="11"/>
  <c r="P1454" i="11"/>
  <c r="O1454" i="11"/>
  <c r="R1453" i="11"/>
  <c r="Q1453" i="11"/>
  <c r="P1453" i="11"/>
  <c r="O1453" i="11"/>
  <c r="R1449" i="11"/>
  <c r="Q1449" i="11"/>
  <c r="P1449" i="11"/>
  <c r="O1449" i="11"/>
  <c r="R1448" i="11"/>
  <c r="Q1448" i="11"/>
  <c r="P1448" i="11"/>
  <c r="O1448" i="11"/>
  <c r="R1447" i="11"/>
  <c r="Q1447" i="11"/>
  <c r="P1447" i="11"/>
  <c r="O1447" i="11"/>
  <c r="R1445" i="11"/>
  <c r="Q1445" i="11"/>
  <c r="P1445" i="11"/>
  <c r="O1445" i="11"/>
  <c r="R1417" i="11"/>
  <c r="Q1417" i="11"/>
  <c r="P1417" i="11"/>
  <c r="O1417" i="11"/>
  <c r="R1444" i="11"/>
  <c r="Q1444" i="11"/>
  <c r="P1444" i="11"/>
  <c r="O1444" i="11"/>
  <c r="R1439" i="11"/>
  <c r="Q1439" i="11"/>
  <c r="P1439" i="11"/>
  <c r="O1439" i="11"/>
  <c r="R1436" i="11"/>
  <c r="Q1436" i="11"/>
  <c r="P1436" i="11"/>
  <c r="O1436" i="11"/>
  <c r="R1435" i="11"/>
  <c r="Q1435" i="11"/>
  <c r="P1435" i="11"/>
  <c r="O1435" i="11"/>
  <c r="R1429" i="11"/>
  <c r="Q1429" i="11"/>
  <c r="P1429" i="11"/>
  <c r="O1429" i="11"/>
  <c r="R1423" i="11"/>
  <c r="Q1423" i="11"/>
  <c r="P1423" i="11"/>
  <c r="O1423" i="11"/>
  <c r="R1422" i="11"/>
  <c r="Q1422" i="11"/>
  <c r="P1422" i="11"/>
  <c r="O1422" i="11"/>
  <c r="R1421" i="11"/>
  <c r="Q1421" i="11"/>
  <c r="P1421" i="11"/>
  <c r="O1421" i="11"/>
  <c r="R1409" i="11"/>
  <c r="Q1409" i="11"/>
  <c r="P1409" i="11"/>
  <c r="O1409" i="11"/>
  <c r="R1408" i="11"/>
  <c r="Q1408" i="11"/>
  <c r="P1408" i="11"/>
  <c r="O1408" i="11"/>
  <c r="R1404" i="11"/>
  <c r="Q1404" i="11"/>
  <c r="P1404" i="11"/>
  <c r="O1404" i="11"/>
  <c r="R1403" i="11"/>
  <c r="Q1403" i="11"/>
  <c r="P1403" i="11"/>
  <c r="O1403" i="11"/>
  <c r="R1397" i="11"/>
  <c r="Q1397" i="11"/>
  <c r="P1397" i="11"/>
  <c r="O1397" i="11"/>
  <c r="R1396" i="11"/>
  <c r="Q1396" i="11"/>
  <c r="P1396" i="11"/>
  <c r="O1396" i="11"/>
  <c r="R1395" i="11"/>
  <c r="Q1395" i="11"/>
  <c r="P1395" i="11"/>
  <c r="O1395" i="11"/>
  <c r="R1382" i="11"/>
  <c r="Q1382" i="11"/>
  <c r="P1382" i="11"/>
  <c r="O1382" i="11"/>
  <c r="R1381" i="11"/>
  <c r="Q1381" i="11"/>
  <c r="P1381" i="11"/>
  <c r="O1381" i="11"/>
  <c r="R1378" i="11"/>
  <c r="Q1378" i="11"/>
  <c r="P1378" i="11"/>
  <c r="O1378" i="11"/>
  <c r="R1377" i="11"/>
  <c r="Q1377" i="11"/>
  <c r="P1377" i="11"/>
  <c r="O1377" i="11"/>
  <c r="R1376" i="11"/>
  <c r="Q1376" i="11"/>
  <c r="P1376" i="11"/>
  <c r="O1376" i="11"/>
  <c r="R1375" i="11"/>
  <c r="Q1375" i="11"/>
  <c r="P1375" i="11"/>
  <c r="O1375" i="11"/>
  <c r="R1367" i="11"/>
  <c r="Q1367" i="11"/>
  <c r="P1367" i="11"/>
  <c r="O1367" i="11"/>
  <c r="R1359" i="11"/>
  <c r="Q1359" i="11"/>
  <c r="P1359" i="11"/>
  <c r="O1359" i="11"/>
  <c r="R1358" i="11"/>
  <c r="Q1358" i="11"/>
  <c r="P1358" i="11"/>
  <c r="O1358" i="11"/>
  <c r="R1342" i="11"/>
  <c r="Q1342" i="11"/>
  <c r="P1342" i="11"/>
  <c r="O1342" i="11"/>
  <c r="R1341" i="11"/>
  <c r="Q1341" i="11"/>
  <c r="P1341" i="11"/>
  <c r="O1341" i="11"/>
  <c r="R1340" i="11"/>
  <c r="Q1340" i="11"/>
  <c r="P1340" i="11"/>
  <c r="O1340" i="11"/>
  <c r="R1336" i="11"/>
  <c r="Q1336" i="11"/>
  <c r="P1336" i="11"/>
  <c r="O1336" i="11"/>
  <c r="R1335" i="11"/>
  <c r="Q1335" i="11"/>
  <c r="P1335" i="11"/>
  <c r="O1335" i="11"/>
  <c r="R1334" i="11"/>
  <c r="Q1334" i="11"/>
  <c r="P1334" i="11"/>
  <c r="O1334" i="11"/>
  <c r="R1333" i="11"/>
  <c r="Q1333" i="11"/>
  <c r="P1333" i="11"/>
  <c r="O1333" i="11"/>
  <c r="R1328" i="11"/>
  <c r="Q1328" i="11"/>
  <c r="P1328" i="11"/>
  <c r="O1328" i="11"/>
  <c r="R1313" i="11"/>
  <c r="Q1313" i="11"/>
  <c r="P1313" i="11"/>
  <c r="O1313" i="11"/>
  <c r="R1312" i="11"/>
  <c r="Q1312" i="11"/>
  <c r="P1312" i="11"/>
  <c r="O1312" i="11"/>
  <c r="R1306" i="11"/>
  <c r="Q1306" i="11"/>
  <c r="P1306" i="11"/>
  <c r="O1306" i="11"/>
  <c r="R1305" i="11"/>
  <c r="Q1305" i="11"/>
  <c r="P1305" i="11"/>
  <c r="O1305" i="11"/>
  <c r="R1304" i="11"/>
  <c r="Q1304" i="11"/>
  <c r="P1304" i="11"/>
  <c r="O1304" i="11"/>
  <c r="R1303" i="11"/>
  <c r="Q1303" i="11"/>
  <c r="P1303" i="11"/>
  <c r="O1303" i="11"/>
  <c r="R1302" i="11"/>
  <c r="Q1302" i="11"/>
  <c r="P1302" i="11"/>
  <c r="O1302" i="11"/>
  <c r="R1298" i="11"/>
  <c r="Q1298" i="11"/>
  <c r="P1298" i="11"/>
  <c r="O1298" i="11"/>
  <c r="R1297" i="11"/>
  <c r="Q1297" i="11"/>
  <c r="P1297" i="11"/>
  <c r="O1297" i="11"/>
  <c r="R1289" i="11"/>
  <c r="Q1289" i="11"/>
  <c r="P1289" i="11"/>
  <c r="O1289" i="11"/>
  <c r="R1288" i="11"/>
  <c r="Q1288" i="11"/>
  <c r="P1288" i="11"/>
  <c r="O1288" i="11"/>
  <c r="R1287" i="11"/>
  <c r="Q1287" i="11"/>
  <c r="P1287" i="11"/>
  <c r="O1287" i="11"/>
  <c r="R1286" i="11"/>
  <c r="Q1286" i="11"/>
  <c r="P1286" i="11"/>
  <c r="O1286" i="11"/>
  <c r="R1275" i="11"/>
  <c r="Q1275" i="11"/>
  <c r="P1275" i="11"/>
  <c r="O1275" i="11"/>
  <c r="R1274" i="11"/>
  <c r="Q1274" i="11"/>
  <c r="P1274" i="11"/>
  <c r="O1274" i="11"/>
  <c r="R1272" i="11"/>
  <c r="Q1272" i="11"/>
  <c r="P1272" i="11"/>
  <c r="O1272" i="11"/>
  <c r="R1271" i="11"/>
  <c r="Q1271" i="11"/>
  <c r="P1271" i="11"/>
  <c r="O1271" i="11"/>
  <c r="R1270" i="11"/>
  <c r="Q1270" i="11"/>
  <c r="P1270" i="11"/>
  <c r="O1270" i="11"/>
  <c r="R1263" i="11"/>
  <c r="Q1263" i="11"/>
  <c r="P1263" i="11"/>
  <c r="O1263" i="11"/>
  <c r="R1255" i="11"/>
  <c r="Q1255" i="11"/>
  <c r="P1255" i="11"/>
  <c r="O1255" i="11"/>
  <c r="R1250" i="11"/>
  <c r="Q1250" i="11"/>
  <c r="P1250" i="11"/>
  <c r="O1250" i="11"/>
  <c r="R1239" i="11"/>
  <c r="Q1239" i="11"/>
  <c r="P1239" i="11"/>
  <c r="O1239" i="11"/>
  <c r="R1238" i="11"/>
  <c r="Q1238" i="11"/>
  <c r="P1238" i="11"/>
  <c r="O1238" i="11"/>
  <c r="R1237" i="11"/>
  <c r="Q1237" i="11"/>
  <c r="P1237" i="11"/>
  <c r="O1237" i="11"/>
  <c r="R1231" i="11"/>
  <c r="Q1231" i="11"/>
  <c r="P1231" i="11"/>
  <c r="O1231" i="11"/>
  <c r="R1230" i="11"/>
  <c r="Q1230" i="11"/>
  <c r="P1230" i="11"/>
  <c r="O1230" i="11"/>
  <c r="R1229" i="11"/>
  <c r="Q1229" i="11"/>
  <c r="P1229" i="11"/>
  <c r="O1229" i="11"/>
  <c r="R1219" i="11"/>
  <c r="Q1219" i="11"/>
  <c r="P1219" i="11"/>
  <c r="O1219" i="11"/>
  <c r="R1214" i="11"/>
  <c r="Q1214" i="11"/>
  <c r="P1214" i="11"/>
  <c r="O1214" i="11"/>
  <c r="R1213" i="11"/>
  <c r="Q1213" i="11"/>
  <c r="P1213" i="11"/>
  <c r="O1213" i="11"/>
  <c r="R1212" i="11"/>
  <c r="Q1212" i="11"/>
  <c r="P1212" i="11"/>
  <c r="O1212" i="11"/>
  <c r="R1206" i="11"/>
  <c r="Q1206" i="11"/>
  <c r="P1206" i="11"/>
  <c r="O1206" i="11"/>
  <c r="R1205" i="11"/>
  <c r="Q1205" i="11"/>
  <c r="P1205" i="11"/>
  <c r="O1205" i="11"/>
  <c r="R1200" i="11"/>
  <c r="Q1200" i="11"/>
  <c r="P1200" i="11"/>
  <c r="O1200" i="11"/>
  <c r="R1199" i="11"/>
  <c r="Q1199" i="11"/>
  <c r="P1199" i="11"/>
  <c r="O1199" i="11"/>
  <c r="R1192" i="11"/>
  <c r="Q1192" i="11"/>
  <c r="P1192" i="11"/>
  <c r="O1192" i="11"/>
  <c r="R1189" i="11"/>
  <c r="Q1189" i="11"/>
  <c r="P1189" i="11"/>
  <c r="O1189" i="11"/>
  <c r="R1186" i="11"/>
  <c r="Q1186" i="11"/>
  <c r="P1186" i="11"/>
  <c r="O1186" i="11"/>
  <c r="R1180" i="11"/>
  <c r="Q1180" i="11"/>
  <c r="P1180" i="11"/>
  <c r="O1180" i="11"/>
  <c r="R1179" i="11"/>
  <c r="Q1179" i="11"/>
  <c r="P1179" i="11"/>
  <c r="O1179" i="11"/>
  <c r="R1175" i="11"/>
  <c r="Q1175" i="11"/>
  <c r="P1175" i="11"/>
  <c r="O1175" i="11"/>
  <c r="R1174" i="11"/>
  <c r="Q1174" i="11"/>
  <c r="P1174" i="11"/>
  <c r="O1174" i="11"/>
  <c r="R1173" i="11"/>
  <c r="Q1173" i="11"/>
  <c r="P1173" i="11"/>
  <c r="O1173" i="11"/>
  <c r="R1168" i="11"/>
  <c r="Q1168" i="11"/>
  <c r="P1168" i="11"/>
  <c r="O1168" i="11"/>
  <c r="R788" i="11"/>
  <c r="Q788" i="11"/>
  <c r="P788" i="11"/>
  <c r="O788" i="11"/>
  <c r="R1167" i="11"/>
  <c r="Q1167" i="11"/>
  <c r="P1167" i="11"/>
  <c r="O1167" i="11"/>
  <c r="R1161" i="11"/>
  <c r="Q1161" i="11"/>
  <c r="P1161" i="11"/>
  <c r="O1161" i="11"/>
  <c r="R1160" i="11"/>
  <c r="Q1160" i="11"/>
  <c r="P1160" i="11"/>
  <c r="O1160" i="11"/>
  <c r="R1151" i="11"/>
  <c r="Q1151" i="11"/>
  <c r="P1151" i="11"/>
  <c r="O1151" i="11"/>
  <c r="R1150" i="11"/>
  <c r="Q1150" i="11"/>
  <c r="P1150" i="11"/>
  <c r="O1150" i="11"/>
  <c r="R1143" i="11"/>
  <c r="Q1143" i="11"/>
  <c r="P1143" i="11"/>
  <c r="O1143" i="11"/>
  <c r="R1142" i="11"/>
  <c r="Q1142" i="11"/>
  <c r="P1142" i="11"/>
  <c r="O1142" i="11"/>
  <c r="R1141" i="11"/>
  <c r="Q1141" i="11"/>
  <c r="P1141" i="11"/>
  <c r="O1141" i="11"/>
  <c r="R1136" i="11"/>
  <c r="Q1136" i="11"/>
  <c r="P1136" i="11"/>
  <c r="O1136" i="11"/>
  <c r="R1132" i="11"/>
  <c r="Q1132" i="11"/>
  <c r="P1132" i="11"/>
  <c r="O1132" i="11"/>
  <c r="R1131" i="11"/>
  <c r="Q1131" i="11"/>
  <c r="P1131" i="11"/>
  <c r="O1131" i="11"/>
  <c r="R1128" i="11"/>
  <c r="Q1128" i="11"/>
  <c r="P1128" i="11"/>
  <c r="O1128" i="11"/>
  <c r="R1127" i="11"/>
  <c r="Q1127" i="11"/>
  <c r="P1127" i="11"/>
  <c r="O1127" i="11"/>
  <c r="R1126" i="11"/>
  <c r="Q1126" i="11"/>
  <c r="P1126" i="11"/>
  <c r="O1126" i="11"/>
  <c r="R1119" i="11"/>
  <c r="Q1119" i="11"/>
  <c r="P1119" i="11"/>
  <c r="O1119" i="11"/>
  <c r="R1118" i="11"/>
  <c r="Q1118" i="11"/>
  <c r="P1118" i="11"/>
  <c r="O1118" i="11"/>
  <c r="R1115" i="11"/>
  <c r="Q1115" i="11"/>
  <c r="P1115" i="11"/>
  <c r="O1115" i="11"/>
  <c r="R1114" i="11"/>
  <c r="Q1114" i="11"/>
  <c r="P1114" i="11"/>
  <c r="O1114" i="11"/>
  <c r="R1110" i="11"/>
  <c r="Q1110" i="11"/>
  <c r="P1110" i="11"/>
  <c r="O1110" i="11"/>
  <c r="R1109" i="11"/>
  <c r="Q1109" i="11"/>
  <c r="P1109" i="11"/>
  <c r="O1109" i="11"/>
  <c r="R1108" i="11"/>
  <c r="Q1108" i="11"/>
  <c r="P1108" i="11"/>
  <c r="O1108" i="11"/>
  <c r="R1107" i="11"/>
  <c r="Q1107" i="11"/>
  <c r="P1107" i="11"/>
  <c r="O1107" i="11"/>
  <c r="R1100" i="11"/>
  <c r="Q1100" i="11"/>
  <c r="P1100" i="11"/>
  <c r="O1100" i="11"/>
  <c r="R1091" i="11"/>
  <c r="Q1091" i="11"/>
  <c r="P1091" i="11"/>
  <c r="O1091" i="11"/>
  <c r="R1088" i="11"/>
  <c r="Q1088" i="11"/>
  <c r="P1088" i="11"/>
  <c r="O1088" i="11"/>
  <c r="R1075" i="11"/>
  <c r="Q1075" i="11"/>
  <c r="P1075" i="11"/>
  <c r="O1075" i="11"/>
  <c r="R1074" i="11"/>
  <c r="Q1074" i="11"/>
  <c r="P1074" i="11"/>
  <c r="O1074" i="11"/>
  <c r="R1073" i="11"/>
  <c r="Q1073" i="11"/>
  <c r="P1073" i="11"/>
  <c r="O1073" i="11"/>
  <c r="R1072" i="11"/>
  <c r="Q1072" i="11"/>
  <c r="P1072" i="11"/>
  <c r="O1072" i="11"/>
  <c r="R1059" i="11"/>
  <c r="Q1059" i="11"/>
  <c r="P1059" i="11"/>
  <c r="O1059" i="11"/>
  <c r="R1049" i="11"/>
  <c r="Q1049" i="11"/>
  <c r="P1049" i="11"/>
  <c r="O1049" i="11"/>
  <c r="R1040" i="11"/>
  <c r="Q1040" i="11"/>
  <c r="P1040" i="11"/>
  <c r="O1040" i="11"/>
  <c r="R1036" i="11"/>
  <c r="Q1036" i="11"/>
  <c r="P1036" i="11"/>
  <c r="O1036" i="11"/>
  <c r="R1034" i="11"/>
  <c r="Q1034" i="11"/>
  <c r="P1034" i="11"/>
  <c r="O1034" i="11"/>
  <c r="R1033" i="11"/>
  <c r="Q1033" i="11"/>
  <c r="P1033" i="11"/>
  <c r="O1033" i="11"/>
  <c r="R1020" i="11"/>
  <c r="Q1020" i="11"/>
  <c r="P1020" i="11"/>
  <c r="O1020" i="11"/>
  <c r="R1019" i="11"/>
  <c r="Q1019" i="11"/>
  <c r="P1019" i="11"/>
  <c r="O1019" i="11"/>
  <c r="R1015" i="11"/>
  <c r="Q1015" i="11"/>
  <c r="P1015" i="11"/>
  <c r="O1015" i="11"/>
  <c r="R930" i="11"/>
  <c r="Q930" i="11"/>
  <c r="P930" i="11"/>
  <c r="O930" i="11"/>
  <c r="R1014" i="11"/>
  <c r="Q1014" i="11"/>
  <c r="P1014" i="11"/>
  <c r="O1014" i="11"/>
  <c r="R1012" i="11"/>
  <c r="Q1012" i="11"/>
  <c r="P1012" i="11"/>
  <c r="O1012" i="11"/>
  <c r="R541" i="11"/>
  <c r="Q541" i="11"/>
  <c r="P541" i="11"/>
  <c r="O541" i="11"/>
  <c r="R1006" i="11"/>
  <c r="Q1006" i="11"/>
  <c r="P1006" i="11"/>
  <c r="O1006" i="11"/>
  <c r="R1005" i="11"/>
  <c r="Q1005" i="11"/>
  <c r="P1005" i="11"/>
  <c r="O1005" i="11"/>
  <c r="R1004" i="11"/>
  <c r="Q1004" i="11"/>
  <c r="P1004" i="11"/>
  <c r="O1004" i="11"/>
  <c r="R997" i="11"/>
  <c r="Q997" i="11"/>
  <c r="P997" i="11"/>
  <c r="O997" i="11"/>
  <c r="R993" i="11"/>
  <c r="Q993" i="11"/>
  <c r="P993" i="11"/>
  <c r="O993" i="11"/>
  <c r="R992" i="11"/>
  <c r="Q992" i="11"/>
  <c r="P992" i="11"/>
  <c r="O992" i="11"/>
  <c r="R989" i="11"/>
  <c r="Q989" i="11"/>
  <c r="P989" i="11"/>
  <c r="O989" i="11"/>
  <c r="R988" i="11"/>
  <c r="Q988" i="11"/>
  <c r="P988" i="11"/>
  <c r="O988" i="11"/>
  <c r="R982" i="11"/>
  <c r="Q982" i="11"/>
  <c r="P982" i="11"/>
  <c r="O982" i="11"/>
  <c r="R975" i="11"/>
  <c r="Q975" i="11"/>
  <c r="P975" i="11"/>
  <c r="O975" i="11"/>
  <c r="R974" i="11"/>
  <c r="Q974" i="11"/>
  <c r="P974" i="11"/>
  <c r="O974" i="11"/>
  <c r="R972" i="11"/>
  <c r="Q972" i="11"/>
  <c r="P972" i="11"/>
  <c r="O972" i="11"/>
  <c r="R969" i="11"/>
  <c r="Q969" i="11"/>
  <c r="P969" i="11"/>
  <c r="O969" i="11"/>
  <c r="R963" i="11"/>
  <c r="Q963" i="11"/>
  <c r="P963" i="11"/>
  <c r="O963" i="11"/>
  <c r="R962" i="11"/>
  <c r="Q962" i="11"/>
  <c r="P962" i="11"/>
  <c r="O962" i="11"/>
  <c r="R958" i="11"/>
  <c r="Q958" i="11"/>
  <c r="P958" i="11"/>
  <c r="O958" i="11"/>
  <c r="R957" i="11"/>
  <c r="Q957" i="11"/>
  <c r="P957" i="11"/>
  <c r="O957" i="11"/>
  <c r="R952" i="11"/>
  <c r="Q952" i="11"/>
  <c r="P952" i="11"/>
  <c r="O952" i="11"/>
  <c r="R947" i="11"/>
  <c r="Q947" i="11"/>
  <c r="P947" i="11"/>
  <c r="O947" i="11"/>
  <c r="R946" i="11"/>
  <c r="Q946" i="11"/>
  <c r="P946" i="11"/>
  <c r="O946" i="11"/>
  <c r="R935" i="11"/>
  <c r="Q935" i="11"/>
  <c r="P935" i="11"/>
  <c r="O935" i="11"/>
  <c r="R934" i="11"/>
  <c r="Q934" i="11"/>
  <c r="P934" i="11"/>
  <c r="O934" i="11"/>
  <c r="R922" i="11"/>
  <c r="Q922" i="11"/>
  <c r="P922" i="11"/>
  <c r="O922" i="11"/>
  <c r="R921" i="11"/>
  <c r="Q921" i="11"/>
  <c r="P921" i="11"/>
  <c r="O921" i="11"/>
  <c r="R920" i="11"/>
  <c r="Q920" i="11"/>
  <c r="P920" i="11"/>
  <c r="O920" i="11"/>
  <c r="R914" i="11"/>
  <c r="Q914" i="11"/>
  <c r="P914" i="11"/>
  <c r="O914" i="11"/>
  <c r="R906" i="11"/>
  <c r="Q906" i="11"/>
  <c r="P906" i="11"/>
  <c r="O906" i="11"/>
  <c r="R905" i="11"/>
  <c r="Q905" i="11"/>
  <c r="P905" i="11"/>
  <c r="O905" i="11"/>
  <c r="R904" i="11"/>
  <c r="Q904" i="11"/>
  <c r="P904" i="11"/>
  <c r="O904" i="11"/>
  <c r="R898" i="11"/>
  <c r="Q898" i="11"/>
  <c r="P898" i="11"/>
  <c r="O898" i="11"/>
  <c r="R892" i="11"/>
  <c r="Q892" i="11"/>
  <c r="P892" i="11"/>
  <c r="O892" i="11"/>
  <c r="R890" i="11"/>
  <c r="Q890" i="11"/>
  <c r="P890" i="11"/>
  <c r="O890" i="11"/>
  <c r="R871" i="11"/>
  <c r="Q871" i="11"/>
  <c r="P871" i="11"/>
  <c r="O871" i="11"/>
  <c r="R870" i="11"/>
  <c r="Q870" i="11"/>
  <c r="P870" i="11"/>
  <c r="O870" i="11"/>
  <c r="R869" i="11"/>
  <c r="Q869" i="11"/>
  <c r="P869" i="11"/>
  <c r="O869" i="11"/>
  <c r="R861" i="11"/>
  <c r="Q861" i="11"/>
  <c r="P861" i="11"/>
  <c r="O861" i="11"/>
  <c r="R860" i="11"/>
  <c r="Q860" i="11"/>
  <c r="P860" i="11"/>
  <c r="O860" i="11"/>
  <c r="R854" i="11"/>
  <c r="Q854" i="11"/>
  <c r="P854" i="11"/>
  <c r="O854" i="11"/>
  <c r="R853" i="11"/>
  <c r="Q853" i="11"/>
  <c r="P853" i="11"/>
  <c r="O853" i="11"/>
  <c r="R848" i="11"/>
  <c r="Q848" i="11"/>
  <c r="P848" i="11"/>
  <c r="O848" i="11"/>
  <c r="R842" i="11"/>
  <c r="Q842" i="11"/>
  <c r="P842" i="11"/>
  <c r="O842" i="11"/>
  <c r="R841" i="11"/>
  <c r="Q841" i="11"/>
  <c r="P841" i="11"/>
  <c r="O841" i="11"/>
  <c r="R832" i="11"/>
  <c r="Q832" i="11"/>
  <c r="P832" i="11"/>
  <c r="O832" i="11"/>
  <c r="R831" i="11"/>
  <c r="Q831" i="11"/>
  <c r="P831" i="11"/>
  <c r="O831" i="11"/>
  <c r="R830" i="11"/>
  <c r="Q830" i="11"/>
  <c r="P830" i="11"/>
  <c r="O830" i="11"/>
  <c r="R829" i="11"/>
  <c r="Q829" i="11"/>
  <c r="P829" i="11"/>
  <c r="O829" i="11"/>
  <c r="R826" i="11"/>
  <c r="Q826" i="11"/>
  <c r="P826" i="11"/>
  <c r="O826" i="11"/>
  <c r="R468" i="11"/>
  <c r="Q468" i="11"/>
  <c r="P468" i="11"/>
  <c r="O468" i="11"/>
  <c r="R818" i="11"/>
  <c r="Q818" i="11"/>
  <c r="P818" i="11"/>
  <c r="O818" i="11"/>
  <c r="R817" i="11"/>
  <c r="Q817" i="11"/>
  <c r="P817" i="11"/>
  <c r="O817" i="11"/>
  <c r="R810" i="11"/>
  <c r="Q810" i="11"/>
  <c r="P810" i="11"/>
  <c r="O810" i="11"/>
  <c r="R799" i="11"/>
  <c r="Q799" i="11"/>
  <c r="P799" i="11"/>
  <c r="O799" i="11"/>
  <c r="R798" i="11"/>
  <c r="Q798" i="11"/>
  <c r="P798" i="11"/>
  <c r="O798" i="11"/>
  <c r="R786" i="11"/>
  <c r="Q786" i="11"/>
  <c r="P786" i="11"/>
  <c r="O786" i="11"/>
  <c r="R779" i="11"/>
  <c r="Q779" i="11"/>
  <c r="P779" i="11"/>
  <c r="O779" i="11"/>
  <c r="R778" i="11"/>
  <c r="Q778" i="11"/>
  <c r="P778" i="11"/>
  <c r="O778" i="11"/>
  <c r="R774" i="11"/>
  <c r="Q774" i="11"/>
  <c r="P774" i="11"/>
  <c r="O774" i="11"/>
  <c r="R773" i="11"/>
  <c r="Q773" i="11"/>
  <c r="P773" i="11"/>
  <c r="O773" i="11"/>
  <c r="R770" i="11"/>
  <c r="Q770" i="11"/>
  <c r="P770" i="11"/>
  <c r="O770" i="11"/>
  <c r="R766" i="11"/>
  <c r="Q766" i="11"/>
  <c r="P766" i="11"/>
  <c r="O766" i="11"/>
  <c r="R757" i="11"/>
  <c r="Q757" i="11"/>
  <c r="P757" i="11"/>
  <c r="O757" i="11"/>
  <c r="R756" i="11"/>
  <c r="Q756" i="11"/>
  <c r="P756" i="11"/>
  <c r="O756" i="11"/>
  <c r="R753" i="11"/>
  <c r="Q753" i="11"/>
  <c r="P753" i="11"/>
  <c r="O753" i="11"/>
  <c r="R752" i="11"/>
  <c r="Q752" i="11"/>
  <c r="P752" i="11"/>
  <c r="O752" i="11"/>
  <c r="R751" i="11"/>
  <c r="Q751" i="11"/>
  <c r="P751" i="11"/>
  <c r="O751" i="11"/>
  <c r="R742" i="11"/>
  <c r="Q742" i="11"/>
  <c r="P742" i="11"/>
  <c r="O742" i="11"/>
  <c r="R710" i="11"/>
  <c r="Q710" i="11"/>
  <c r="P710" i="11"/>
  <c r="O710" i="11"/>
  <c r="R707" i="11"/>
  <c r="Q707" i="11"/>
  <c r="P707" i="11"/>
  <c r="O707" i="11"/>
  <c r="R702" i="11"/>
  <c r="Q702" i="11"/>
  <c r="P702" i="11"/>
  <c r="O702" i="11"/>
  <c r="R667" i="11"/>
  <c r="Q667" i="11"/>
  <c r="P667" i="11"/>
  <c r="O667" i="11"/>
  <c r="R696" i="11"/>
  <c r="Q696" i="11"/>
  <c r="P696" i="11"/>
  <c r="O696" i="11"/>
  <c r="R695" i="11"/>
  <c r="Q695" i="11"/>
  <c r="P695" i="11"/>
  <c r="O695" i="11"/>
  <c r="R690" i="11"/>
  <c r="Q690" i="11"/>
  <c r="P690" i="11"/>
  <c r="O690" i="11"/>
  <c r="R686" i="11"/>
  <c r="Q686" i="11"/>
  <c r="P686" i="11"/>
  <c r="O686" i="11"/>
  <c r="R685" i="11"/>
  <c r="Q685" i="11"/>
  <c r="P685" i="11"/>
  <c r="O685" i="11"/>
  <c r="R678" i="11"/>
  <c r="Q678" i="11"/>
  <c r="P678" i="11"/>
  <c r="O678" i="11"/>
  <c r="R671" i="11"/>
  <c r="Q671" i="11"/>
  <c r="P671" i="11"/>
  <c r="O671" i="11"/>
  <c r="R664" i="11"/>
  <c r="Q664" i="11"/>
  <c r="P664" i="11"/>
  <c r="O664" i="11"/>
  <c r="R663" i="11"/>
  <c r="Q663" i="11"/>
  <c r="P663" i="11"/>
  <c r="O663" i="11"/>
  <c r="R652" i="11"/>
  <c r="Q652" i="11"/>
  <c r="P652" i="11"/>
  <c r="O652" i="11"/>
  <c r="R646" i="11"/>
  <c r="Q646" i="11"/>
  <c r="P646" i="11"/>
  <c r="O646" i="11"/>
  <c r="R233" i="11"/>
  <c r="Q233" i="11"/>
  <c r="P233" i="11"/>
  <c r="O233" i="11"/>
  <c r="R637" i="11"/>
  <c r="Q637" i="11"/>
  <c r="P637" i="11"/>
  <c r="O637" i="11"/>
  <c r="R631" i="11"/>
  <c r="Q631" i="11"/>
  <c r="P631" i="11"/>
  <c r="O631" i="11"/>
  <c r="R630" i="11"/>
  <c r="Q630" i="11"/>
  <c r="P630" i="11"/>
  <c r="O630" i="11"/>
  <c r="R626" i="11"/>
  <c r="Q626" i="11"/>
  <c r="P626" i="11"/>
  <c r="O626" i="11"/>
  <c r="R623" i="11"/>
  <c r="Q623" i="11"/>
  <c r="P623" i="11"/>
  <c r="O623" i="11"/>
  <c r="R617" i="11"/>
  <c r="Q617" i="11"/>
  <c r="P617" i="11"/>
  <c r="O617" i="11"/>
  <c r="R616" i="11"/>
  <c r="Q616" i="11"/>
  <c r="P616" i="11"/>
  <c r="O616" i="11"/>
  <c r="R607" i="11"/>
  <c r="Q607" i="11"/>
  <c r="P607" i="11"/>
  <c r="O607" i="11"/>
  <c r="R601" i="11"/>
  <c r="Q601" i="11"/>
  <c r="P601" i="11"/>
  <c r="O601" i="11"/>
  <c r="R600" i="11"/>
  <c r="Q600" i="11"/>
  <c r="P600" i="11"/>
  <c r="O600" i="11"/>
  <c r="R599" i="11"/>
  <c r="Q599" i="11"/>
  <c r="P599" i="11"/>
  <c r="O599" i="11"/>
  <c r="R598" i="11"/>
  <c r="Q598" i="11"/>
  <c r="P598" i="11"/>
  <c r="O598" i="11"/>
  <c r="R590" i="11"/>
  <c r="Q590" i="11"/>
  <c r="P590" i="11"/>
  <c r="O590" i="11"/>
  <c r="R581" i="11"/>
  <c r="Q581" i="11"/>
  <c r="P581" i="11"/>
  <c r="O581" i="11"/>
  <c r="R580" i="11"/>
  <c r="Q580" i="11"/>
  <c r="P580" i="11"/>
  <c r="O580" i="11"/>
  <c r="R579" i="11"/>
  <c r="Q579" i="11"/>
  <c r="P579" i="11"/>
  <c r="O579" i="11"/>
  <c r="R571" i="11"/>
  <c r="Q571" i="11"/>
  <c r="P571" i="11"/>
  <c r="O571" i="11"/>
  <c r="R570" i="11"/>
  <c r="Q570" i="11"/>
  <c r="P570" i="11"/>
  <c r="O570" i="11"/>
  <c r="R569" i="11"/>
  <c r="Q569" i="11"/>
  <c r="P569" i="11"/>
  <c r="O569" i="11"/>
  <c r="R561" i="11"/>
  <c r="Q561" i="11"/>
  <c r="P561" i="11"/>
  <c r="O561" i="11"/>
  <c r="R555" i="11"/>
  <c r="Q555" i="11"/>
  <c r="P555" i="11"/>
  <c r="O555" i="11"/>
  <c r="R551" i="11"/>
  <c r="Q551" i="11"/>
  <c r="P551" i="11"/>
  <c r="O551" i="11"/>
  <c r="R550" i="11"/>
  <c r="Q550" i="11"/>
  <c r="P550" i="11"/>
  <c r="O550" i="11"/>
  <c r="R549" i="11"/>
  <c r="Q549" i="11"/>
  <c r="P549" i="11"/>
  <c r="O549" i="11"/>
  <c r="R545" i="11"/>
  <c r="Q545" i="11"/>
  <c r="P545" i="11"/>
  <c r="O545" i="11"/>
  <c r="R540" i="11"/>
  <c r="Q540" i="11"/>
  <c r="P540" i="11"/>
  <c r="O540" i="11"/>
  <c r="R539" i="11"/>
  <c r="Q539" i="11"/>
  <c r="P539" i="11"/>
  <c r="O539" i="11"/>
  <c r="R528" i="11"/>
  <c r="Q528" i="11"/>
  <c r="P528" i="11"/>
  <c r="O528" i="11"/>
  <c r="R503" i="11"/>
  <c r="Q503" i="11"/>
  <c r="P503" i="11"/>
  <c r="O503" i="11"/>
  <c r="R520" i="11"/>
  <c r="Q520" i="11"/>
  <c r="P520" i="11"/>
  <c r="O520" i="11"/>
  <c r="R517" i="11"/>
  <c r="Q517" i="11"/>
  <c r="P517" i="11"/>
  <c r="O517" i="11"/>
  <c r="R516" i="11"/>
  <c r="Q516" i="11"/>
  <c r="P516" i="11"/>
  <c r="O516" i="11"/>
  <c r="R505" i="11"/>
  <c r="Q505" i="11"/>
  <c r="P505" i="11"/>
  <c r="O505" i="11"/>
  <c r="R504" i="11"/>
  <c r="Q504" i="11"/>
  <c r="P504" i="11"/>
  <c r="O504" i="11"/>
  <c r="R495" i="11"/>
  <c r="Q495" i="11"/>
  <c r="P495" i="11"/>
  <c r="O495" i="11"/>
  <c r="R475" i="11"/>
  <c r="Q475" i="11"/>
  <c r="P475" i="11"/>
  <c r="O475" i="11"/>
  <c r="R490" i="11"/>
  <c r="Q490" i="11"/>
  <c r="P490" i="11"/>
  <c r="O490" i="11"/>
  <c r="R489" i="11"/>
  <c r="Q489" i="11"/>
  <c r="P489" i="11"/>
  <c r="O489" i="11"/>
  <c r="R484" i="11"/>
  <c r="Q484" i="11"/>
  <c r="P484" i="11"/>
  <c r="O484" i="11"/>
  <c r="R483" i="11"/>
  <c r="Q483" i="11"/>
  <c r="P483" i="11"/>
  <c r="O483" i="11"/>
  <c r="R482" i="11"/>
  <c r="Q482" i="11"/>
  <c r="P482" i="11"/>
  <c r="O482" i="11"/>
  <c r="R481" i="11"/>
  <c r="Q481" i="11"/>
  <c r="P481" i="11"/>
  <c r="O481" i="11"/>
  <c r="R477" i="11"/>
  <c r="Q477" i="11"/>
  <c r="P477" i="11"/>
  <c r="O477" i="11"/>
  <c r="R474" i="11"/>
  <c r="Q474" i="11"/>
  <c r="P474" i="11"/>
  <c r="O474" i="11"/>
  <c r="R473" i="11"/>
  <c r="Q473" i="11"/>
  <c r="P473" i="11"/>
  <c r="O473" i="11"/>
  <c r="R462" i="11"/>
  <c r="Q462" i="11"/>
  <c r="P462" i="11"/>
  <c r="O462" i="11"/>
  <c r="R455" i="11"/>
  <c r="Q455" i="11"/>
  <c r="P455" i="11"/>
  <c r="O455" i="11"/>
  <c r="R454" i="11"/>
  <c r="Q454" i="11"/>
  <c r="P454" i="11"/>
  <c r="O454" i="11"/>
  <c r="R448" i="11"/>
  <c r="Q448" i="11"/>
  <c r="P448" i="11"/>
  <c r="O448" i="11"/>
  <c r="R444" i="11"/>
  <c r="Q444" i="11"/>
  <c r="P444" i="11"/>
  <c r="O444" i="11"/>
  <c r="R443" i="11"/>
  <c r="Q443" i="11"/>
  <c r="P443" i="11"/>
  <c r="O443" i="11"/>
  <c r="R437" i="11"/>
  <c r="Q437" i="11"/>
  <c r="P437" i="11"/>
  <c r="O437" i="11"/>
  <c r="R431" i="11"/>
  <c r="Q431" i="11"/>
  <c r="P431" i="11"/>
  <c r="O431" i="11"/>
  <c r="R423" i="11"/>
  <c r="Q423" i="11"/>
  <c r="P423" i="11"/>
  <c r="O423" i="11"/>
  <c r="R418" i="11"/>
  <c r="Q418" i="11"/>
  <c r="P418" i="11"/>
  <c r="O418" i="11"/>
  <c r="R417" i="11"/>
  <c r="Q417" i="11"/>
  <c r="P417" i="11"/>
  <c r="O417" i="11"/>
  <c r="R407" i="11"/>
  <c r="Q407" i="11"/>
  <c r="P407" i="11"/>
  <c r="O407" i="11"/>
  <c r="R406" i="11"/>
  <c r="Q406" i="11"/>
  <c r="P406" i="11"/>
  <c r="O406" i="11"/>
  <c r="R405" i="11"/>
  <c r="Q405" i="11"/>
  <c r="P405" i="11"/>
  <c r="O405" i="11"/>
  <c r="R393" i="11"/>
  <c r="Q393" i="11"/>
  <c r="P393" i="11"/>
  <c r="O393" i="11"/>
  <c r="R386" i="11"/>
  <c r="Q386" i="11"/>
  <c r="P386" i="11"/>
  <c r="O386" i="11"/>
  <c r="R385" i="11"/>
  <c r="Q385" i="11"/>
  <c r="P385" i="11"/>
  <c r="O385" i="11"/>
  <c r="R379" i="11"/>
  <c r="Q379" i="11"/>
  <c r="P379" i="11"/>
  <c r="O379" i="11"/>
  <c r="R374" i="11"/>
  <c r="Q374" i="11"/>
  <c r="P374" i="11"/>
  <c r="O374" i="11"/>
  <c r="R373" i="11"/>
  <c r="Q373" i="11"/>
  <c r="P373" i="11"/>
  <c r="O373" i="11"/>
  <c r="R367" i="11"/>
  <c r="Q367" i="11"/>
  <c r="P367" i="11"/>
  <c r="O367" i="11"/>
  <c r="R362" i="11"/>
  <c r="Q362" i="11"/>
  <c r="P362" i="11"/>
  <c r="O362" i="11"/>
  <c r="R361" i="11"/>
  <c r="Q361" i="11"/>
  <c r="P361" i="11"/>
  <c r="O361" i="11"/>
  <c r="R353" i="11"/>
  <c r="Q353" i="11"/>
  <c r="P353" i="11"/>
  <c r="O353" i="11"/>
  <c r="R352" i="11"/>
  <c r="Q352" i="11"/>
  <c r="P352" i="11"/>
  <c r="O352" i="11"/>
  <c r="R348" i="11"/>
  <c r="Q348" i="11"/>
  <c r="P348" i="11"/>
  <c r="O348" i="11"/>
  <c r="R340" i="11"/>
  <c r="Q340" i="11"/>
  <c r="P340" i="11"/>
  <c r="O340" i="11"/>
  <c r="R332" i="11"/>
  <c r="Q332" i="11"/>
  <c r="P332" i="11"/>
  <c r="O332" i="11"/>
  <c r="R331" i="11"/>
  <c r="Q331" i="11"/>
  <c r="P331" i="11"/>
  <c r="O331" i="11"/>
  <c r="R329" i="11"/>
  <c r="Q329" i="11"/>
  <c r="P329" i="11"/>
  <c r="O329" i="11"/>
  <c r="R324" i="11"/>
  <c r="Q324" i="11"/>
  <c r="P324" i="11"/>
  <c r="O324" i="11"/>
  <c r="R316" i="11"/>
  <c r="Q316" i="11"/>
  <c r="P316" i="11"/>
  <c r="O316" i="11"/>
  <c r="R315" i="11"/>
  <c r="Q315" i="11"/>
  <c r="P315" i="11"/>
  <c r="O315" i="11"/>
  <c r="R309" i="11"/>
  <c r="Q309" i="11"/>
  <c r="P309" i="11"/>
  <c r="O309" i="11"/>
  <c r="R302" i="11"/>
  <c r="Q302" i="11"/>
  <c r="P302" i="11"/>
  <c r="O302" i="11"/>
  <c r="R301" i="11"/>
  <c r="Q301" i="11"/>
  <c r="P301" i="11"/>
  <c r="O301" i="11"/>
  <c r="R300" i="11"/>
  <c r="Q300" i="11"/>
  <c r="P300" i="11"/>
  <c r="O300" i="11"/>
  <c r="R299" i="11"/>
  <c r="Q299" i="11"/>
  <c r="P299" i="11"/>
  <c r="O299" i="11"/>
  <c r="R298" i="11"/>
  <c r="Q298" i="11"/>
  <c r="P298" i="11"/>
  <c r="O298" i="11"/>
  <c r="R297" i="11"/>
  <c r="Q297" i="11"/>
  <c r="P297" i="11"/>
  <c r="O297" i="11"/>
  <c r="R296" i="11"/>
  <c r="Q296" i="11"/>
  <c r="P296" i="11"/>
  <c r="O296" i="11"/>
  <c r="R292" i="11"/>
  <c r="Q292" i="11"/>
  <c r="P292" i="11"/>
  <c r="O292" i="11"/>
  <c r="R286" i="11"/>
  <c r="Q286" i="11"/>
  <c r="P286" i="11"/>
  <c r="O286" i="11"/>
  <c r="R285" i="11"/>
  <c r="Q285" i="11"/>
  <c r="P285" i="11"/>
  <c r="O285" i="11"/>
  <c r="R251" i="11"/>
  <c r="Q251" i="11"/>
  <c r="P251" i="11"/>
  <c r="O251" i="11"/>
  <c r="R284" i="11"/>
  <c r="Q284" i="11"/>
  <c r="P284" i="11"/>
  <c r="O284" i="11"/>
  <c r="R277" i="11"/>
  <c r="Q277" i="11"/>
  <c r="P277" i="11"/>
  <c r="O277" i="11"/>
  <c r="R273" i="11"/>
  <c r="Q273" i="11"/>
  <c r="P273" i="11"/>
  <c r="O273" i="11"/>
  <c r="R272" i="11"/>
  <c r="Q272" i="11"/>
  <c r="P272" i="11"/>
  <c r="O272" i="11"/>
  <c r="R265" i="11"/>
  <c r="Q265" i="11"/>
  <c r="P265" i="11"/>
  <c r="O265" i="11"/>
  <c r="R264" i="11"/>
  <c r="Q264" i="11"/>
  <c r="P264" i="11"/>
  <c r="O264" i="11"/>
  <c r="R263" i="11"/>
  <c r="Q263" i="11"/>
  <c r="P263" i="11"/>
  <c r="O263" i="11"/>
  <c r="R262" i="11"/>
  <c r="Q262" i="11"/>
  <c r="P262" i="11"/>
  <c r="O262" i="11"/>
  <c r="R261" i="11"/>
  <c r="Q261" i="11"/>
  <c r="P261" i="11"/>
  <c r="O261" i="11"/>
  <c r="R236" i="11"/>
  <c r="Q236" i="11"/>
  <c r="P236" i="11"/>
  <c r="O236" i="11"/>
  <c r="R230" i="11"/>
  <c r="Q230" i="11"/>
  <c r="P230" i="11"/>
  <c r="O230" i="11"/>
  <c r="R229" i="11"/>
  <c r="Q229" i="11"/>
  <c r="P229" i="11"/>
  <c r="O229" i="11"/>
  <c r="R221" i="11"/>
  <c r="Q221" i="11"/>
  <c r="P221" i="11"/>
  <c r="O221" i="11"/>
  <c r="R220" i="11"/>
  <c r="Q220" i="11"/>
  <c r="P220" i="11"/>
  <c r="O220" i="11"/>
  <c r="R213" i="11"/>
  <c r="Q213" i="11"/>
  <c r="P213" i="11"/>
  <c r="O213" i="11"/>
  <c r="R212" i="11"/>
  <c r="Q212" i="11"/>
  <c r="P212" i="11"/>
  <c r="O212" i="11"/>
  <c r="R193" i="11"/>
  <c r="Q193" i="11"/>
  <c r="P193" i="11"/>
  <c r="O193" i="11"/>
  <c r="R192" i="11"/>
  <c r="Q192" i="11"/>
  <c r="P192" i="11"/>
  <c r="O192" i="11"/>
  <c r="R191" i="11"/>
  <c r="Q191" i="11"/>
  <c r="P191" i="11"/>
  <c r="O191" i="11"/>
  <c r="R182" i="11"/>
  <c r="Q182" i="11"/>
  <c r="P182" i="11"/>
  <c r="O182" i="11"/>
  <c r="R175" i="11"/>
  <c r="Q175" i="11"/>
  <c r="P175" i="11"/>
  <c r="O175" i="11"/>
  <c r="R174" i="11"/>
  <c r="Q174" i="11"/>
  <c r="P174" i="11"/>
  <c r="O174" i="11"/>
  <c r="R170" i="11"/>
  <c r="Q170" i="11"/>
  <c r="P170" i="11"/>
  <c r="O170" i="11"/>
  <c r="R165" i="11"/>
  <c r="Q165" i="11"/>
  <c r="P165" i="11"/>
  <c r="O165" i="11"/>
  <c r="R161" i="11"/>
  <c r="Q161" i="11"/>
  <c r="P161" i="11"/>
  <c r="O161" i="11"/>
  <c r="R158" i="11"/>
  <c r="Q158" i="11"/>
  <c r="P158" i="11"/>
  <c r="O158" i="11"/>
  <c r="R151" i="11"/>
  <c r="Q151" i="11"/>
  <c r="P151" i="11"/>
  <c r="O151" i="11"/>
  <c r="R147" i="11"/>
  <c r="Q147" i="11"/>
  <c r="P147" i="11"/>
  <c r="O147" i="11"/>
  <c r="R142" i="11"/>
  <c r="Q142" i="11"/>
  <c r="P142" i="11"/>
  <c r="O142" i="11"/>
  <c r="R141" i="11"/>
  <c r="Q141" i="11"/>
  <c r="P141" i="11"/>
  <c r="O141" i="11"/>
  <c r="R134" i="11"/>
  <c r="Q134" i="11"/>
  <c r="P134" i="11"/>
  <c r="O134" i="11"/>
  <c r="R122" i="11"/>
  <c r="Q122" i="11"/>
  <c r="P122" i="11"/>
  <c r="O122" i="11"/>
  <c r="R111" i="11"/>
  <c r="Q111" i="11"/>
  <c r="P111" i="11"/>
  <c r="O111" i="11"/>
  <c r="R110" i="11"/>
  <c r="Q110" i="11"/>
  <c r="P110" i="11"/>
  <c r="O110" i="11"/>
  <c r="R104" i="11"/>
  <c r="Q104" i="11"/>
  <c r="P104" i="11"/>
  <c r="O104" i="11"/>
  <c r="R103" i="11"/>
  <c r="Q103" i="11"/>
  <c r="P103" i="11"/>
  <c r="O103" i="11"/>
  <c r="R99" i="11"/>
  <c r="Q99" i="11"/>
  <c r="P99" i="11"/>
  <c r="O99" i="11"/>
  <c r="R91" i="11"/>
  <c r="Q91" i="11"/>
  <c r="P91" i="11"/>
  <c r="O91" i="11"/>
  <c r="R87" i="11"/>
  <c r="Q87" i="11"/>
  <c r="P87" i="11"/>
  <c r="O87" i="11"/>
  <c r="R86" i="11"/>
  <c r="Q86" i="11"/>
  <c r="P86" i="11"/>
  <c r="O86" i="11"/>
  <c r="R57" i="11"/>
  <c r="Q57" i="11"/>
  <c r="P57" i="11"/>
  <c r="O57" i="11"/>
  <c r="R73" i="11"/>
  <c r="Q73" i="11"/>
  <c r="P73" i="11"/>
  <c r="O73" i="11"/>
  <c r="R64" i="11"/>
  <c r="Q64" i="11"/>
  <c r="P64" i="11"/>
  <c r="O64" i="11"/>
  <c r="R63" i="11"/>
  <c r="Q63" i="11"/>
  <c r="P63" i="11"/>
  <c r="O63" i="11"/>
  <c r="R60" i="11"/>
  <c r="Q60" i="11"/>
  <c r="P60" i="11"/>
  <c r="O60" i="11"/>
  <c r="R56" i="11"/>
  <c r="Q56" i="11"/>
  <c r="P56" i="11"/>
  <c r="O56" i="11"/>
  <c r="R55" i="11"/>
  <c r="Q55" i="11"/>
  <c r="P55" i="11"/>
  <c r="O55" i="11"/>
  <c r="R32" i="11"/>
  <c r="Q32" i="11"/>
  <c r="P32" i="11"/>
  <c r="O32" i="11"/>
  <c r="R54" i="11"/>
  <c r="Q54" i="11"/>
  <c r="P54" i="11"/>
  <c r="O54" i="11"/>
  <c r="R53" i="11"/>
  <c r="Q53" i="11"/>
  <c r="P53" i="11"/>
  <c r="O53" i="11"/>
  <c r="R43" i="11"/>
  <c r="Q43" i="11"/>
  <c r="P43" i="11"/>
  <c r="O43" i="11"/>
  <c r="R38" i="11"/>
  <c r="Q38" i="11"/>
  <c r="P38" i="11"/>
  <c r="O38" i="11"/>
  <c r="R28" i="11"/>
  <c r="Q28" i="11"/>
  <c r="P28" i="11"/>
  <c r="O28" i="11"/>
  <c r="R25" i="11"/>
  <c r="Q25" i="11"/>
  <c r="P25" i="11"/>
  <c r="O25" i="11"/>
  <c r="R24" i="11"/>
  <c r="Q24" i="11"/>
  <c r="P24" i="11"/>
  <c r="O24" i="11"/>
  <c r="R20" i="11"/>
  <c r="Q20" i="11"/>
  <c r="P20" i="11"/>
  <c r="O20" i="11"/>
  <c r="R13" i="11"/>
  <c r="Q13" i="11"/>
  <c r="P13" i="11"/>
  <c r="O13" i="11"/>
  <c r="R10" i="11"/>
  <c r="Q10" i="11"/>
  <c r="P10" i="11"/>
  <c r="O10" i="11"/>
  <c r="R7" i="11"/>
  <c r="Q7" i="11"/>
  <c r="P7" i="11"/>
  <c r="O7" i="11"/>
  <c r="R6" i="11"/>
  <c r="Q6" i="11"/>
  <c r="P6" i="11"/>
  <c r="O6" i="11"/>
  <c r="R5" i="11"/>
  <c r="Q5" i="11"/>
  <c r="P5" i="11"/>
  <c r="O5" i="11"/>
  <c r="R4" i="11"/>
  <c r="Q4" i="11"/>
  <c r="P4" i="11"/>
  <c r="O4" i="11"/>
  <c r="R3" i="11"/>
  <c r="Q3" i="11"/>
  <c r="P3" i="11"/>
  <c r="O3" i="11"/>
  <c r="R1988" i="11"/>
  <c r="Q1988" i="11"/>
  <c r="P1988" i="11"/>
  <c r="O1988" i="11"/>
  <c r="R1985" i="11"/>
  <c r="Q1985" i="11"/>
  <c r="P1985" i="11"/>
  <c r="O1985" i="11"/>
  <c r="R1984" i="11"/>
  <c r="Q1984" i="11"/>
  <c r="P1984" i="11"/>
  <c r="O1984" i="11"/>
  <c r="R1981" i="11"/>
  <c r="Q1981" i="11"/>
  <c r="P1981" i="11"/>
  <c r="O1981" i="11"/>
  <c r="R1976" i="11"/>
  <c r="Q1976" i="11"/>
  <c r="P1976" i="11"/>
  <c r="O1976" i="11"/>
  <c r="R1975" i="11"/>
  <c r="Q1975" i="11"/>
  <c r="P1975" i="11"/>
  <c r="O1975" i="11"/>
  <c r="R1974" i="11"/>
  <c r="Q1974" i="11"/>
  <c r="P1974" i="11"/>
  <c r="O1974" i="11"/>
  <c r="R1966" i="11"/>
  <c r="Q1966" i="11"/>
  <c r="P1966" i="11"/>
  <c r="O1966" i="11"/>
  <c r="R1957" i="11"/>
  <c r="Q1957" i="11"/>
  <c r="P1957" i="11"/>
  <c r="O1957" i="11"/>
  <c r="R1956" i="11"/>
  <c r="Q1956" i="11"/>
  <c r="P1956" i="11"/>
  <c r="O1956" i="11"/>
  <c r="R1943" i="11"/>
  <c r="Q1943" i="11"/>
  <c r="P1943" i="11"/>
  <c r="O1943" i="11"/>
  <c r="R1942" i="11"/>
  <c r="Q1942" i="11"/>
  <c r="P1942" i="11"/>
  <c r="O1942" i="11"/>
  <c r="R1938" i="11"/>
  <c r="Q1938" i="11"/>
  <c r="P1938" i="11"/>
  <c r="O1938" i="11"/>
  <c r="R1934" i="11"/>
  <c r="Q1934" i="11"/>
  <c r="P1934" i="11"/>
  <c r="O1934" i="11"/>
  <c r="R1933" i="11"/>
  <c r="Q1933" i="11"/>
  <c r="P1933" i="11"/>
  <c r="O1933" i="11"/>
  <c r="R1932" i="11"/>
  <c r="Q1932" i="11"/>
  <c r="P1932" i="11"/>
  <c r="O1932" i="11"/>
  <c r="R1927" i="11"/>
  <c r="Q1927" i="11"/>
  <c r="P1927" i="11"/>
  <c r="O1927" i="11"/>
  <c r="R1926" i="11"/>
  <c r="Q1926" i="11"/>
  <c r="P1926" i="11"/>
  <c r="O1926" i="11"/>
  <c r="R1918" i="11"/>
  <c r="Q1918" i="11"/>
  <c r="P1918" i="11"/>
  <c r="O1918" i="11"/>
  <c r="R1917" i="11"/>
  <c r="Q1917" i="11"/>
  <c r="P1917" i="11"/>
  <c r="O1917" i="11"/>
  <c r="R1916" i="11"/>
  <c r="Q1916" i="11"/>
  <c r="P1916" i="11"/>
  <c r="O1916" i="11"/>
  <c r="R1907" i="11"/>
  <c r="Q1907" i="11"/>
  <c r="P1907" i="11"/>
  <c r="O1907" i="11"/>
  <c r="R1903" i="11"/>
  <c r="Q1903" i="11"/>
  <c r="P1903" i="11"/>
  <c r="O1903" i="11"/>
  <c r="R1899" i="11"/>
  <c r="Q1899" i="11"/>
  <c r="P1899" i="11"/>
  <c r="O1899" i="11"/>
  <c r="R1898" i="11"/>
  <c r="Q1898" i="11"/>
  <c r="P1898" i="11"/>
  <c r="O1898" i="11"/>
  <c r="R1897" i="11"/>
  <c r="Q1897" i="11"/>
  <c r="P1897" i="11"/>
  <c r="O1897" i="11"/>
  <c r="R1892" i="11"/>
  <c r="Q1892" i="11"/>
  <c r="P1892" i="11"/>
  <c r="O1892" i="11"/>
  <c r="R1886" i="11"/>
  <c r="Q1886" i="11"/>
  <c r="P1886" i="11"/>
  <c r="O1886" i="11"/>
  <c r="R1882" i="11"/>
  <c r="Q1882" i="11"/>
  <c r="P1882" i="11"/>
  <c r="O1882" i="11"/>
  <c r="R1870" i="11"/>
  <c r="Q1870" i="11"/>
  <c r="P1870" i="11"/>
  <c r="O1870" i="11"/>
  <c r="R1869" i="11"/>
  <c r="Q1869" i="11"/>
  <c r="P1869" i="11"/>
  <c r="O1869" i="11"/>
  <c r="R1868" i="11"/>
  <c r="Q1868" i="11"/>
  <c r="P1868" i="11"/>
  <c r="O1868" i="11"/>
  <c r="R1861" i="11"/>
  <c r="Q1861" i="11"/>
  <c r="P1861" i="11"/>
  <c r="O1861" i="11"/>
  <c r="R1859" i="11"/>
  <c r="Q1859" i="11"/>
  <c r="P1859" i="11"/>
  <c r="O1859" i="11"/>
  <c r="R1855" i="11"/>
  <c r="Q1855" i="11"/>
  <c r="P1855" i="11"/>
  <c r="O1855" i="11"/>
  <c r="R1854" i="11"/>
  <c r="Q1854" i="11"/>
  <c r="P1854" i="11"/>
  <c r="O1854" i="11"/>
  <c r="R1842" i="11"/>
  <c r="Q1842" i="11"/>
  <c r="P1842" i="11"/>
  <c r="O1842" i="11"/>
  <c r="R1837" i="11"/>
  <c r="Q1837" i="11"/>
  <c r="P1837" i="11"/>
  <c r="O1837" i="11"/>
  <c r="R224" i="11"/>
  <c r="Q224" i="11"/>
  <c r="P224" i="11"/>
  <c r="O224" i="11"/>
  <c r="R1826" i="11"/>
  <c r="Q1826" i="11"/>
  <c r="P1826" i="11"/>
  <c r="O1826" i="11"/>
  <c r="R1825" i="11"/>
  <c r="Q1825" i="11"/>
  <c r="P1825" i="11"/>
  <c r="O1825" i="11"/>
  <c r="R211" i="11"/>
  <c r="Q211" i="11"/>
  <c r="P211" i="11"/>
  <c r="O211" i="11"/>
  <c r="R1810" i="11"/>
  <c r="Q1810" i="11"/>
  <c r="P1810" i="11"/>
  <c r="O1810" i="11"/>
  <c r="R1796" i="11"/>
  <c r="Q1796" i="11"/>
  <c r="P1796" i="11"/>
  <c r="O1796" i="11"/>
  <c r="R1795" i="11"/>
  <c r="Q1795" i="11"/>
  <c r="P1795" i="11"/>
  <c r="O1795" i="11"/>
  <c r="R1794" i="11"/>
  <c r="Q1794" i="11"/>
  <c r="P1794" i="11"/>
  <c r="O1794" i="11"/>
  <c r="R1793" i="11"/>
  <c r="Q1793" i="11"/>
  <c r="P1793" i="11"/>
  <c r="O1793" i="11"/>
  <c r="R1786" i="11"/>
  <c r="Q1786" i="11"/>
  <c r="P1786" i="11"/>
  <c r="O1786" i="11"/>
  <c r="R1783" i="11"/>
  <c r="Q1783" i="11"/>
  <c r="P1783" i="11"/>
  <c r="O1783" i="11"/>
  <c r="R1782" i="11"/>
  <c r="Q1782" i="11"/>
  <c r="P1782" i="11"/>
  <c r="O1782" i="11"/>
  <c r="R1778" i="11"/>
  <c r="Q1778" i="11"/>
  <c r="P1778" i="11"/>
  <c r="O1778" i="11"/>
  <c r="R1773" i="11"/>
  <c r="Q1773" i="11"/>
  <c r="P1773" i="11"/>
  <c r="O1773" i="11"/>
  <c r="R1772" i="11"/>
  <c r="Q1772" i="11"/>
  <c r="P1772" i="11"/>
  <c r="O1772" i="11"/>
  <c r="R1765" i="11"/>
  <c r="Q1765" i="11"/>
  <c r="P1765" i="11"/>
  <c r="O1765" i="11"/>
  <c r="R1752" i="11"/>
  <c r="Q1752" i="11"/>
  <c r="P1752" i="11"/>
  <c r="O1752" i="11"/>
  <c r="R1751" i="11"/>
  <c r="Q1751" i="11"/>
  <c r="P1751" i="11"/>
  <c r="O1751" i="11"/>
  <c r="R1745" i="11"/>
  <c r="Q1745" i="11"/>
  <c r="P1745" i="11"/>
  <c r="O1745" i="11"/>
  <c r="R1743" i="11"/>
  <c r="Q1743" i="11"/>
  <c r="P1743" i="11"/>
  <c r="O1743" i="11"/>
  <c r="R1738" i="11"/>
  <c r="Q1738" i="11"/>
  <c r="P1738" i="11"/>
  <c r="O1738" i="11"/>
  <c r="R1737" i="11"/>
  <c r="Q1737" i="11"/>
  <c r="P1737" i="11"/>
  <c r="O1737" i="11"/>
  <c r="R1733" i="11"/>
  <c r="Q1733" i="11"/>
  <c r="P1733" i="11"/>
  <c r="O1733" i="11"/>
  <c r="R1732" i="11"/>
  <c r="Q1732" i="11"/>
  <c r="P1732" i="11"/>
  <c r="O1732" i="11"/>
  <c r="R1731" i="11"/>
  <c r="Q1731" i="11"/>
  <c r="P1731" i="11"/>
  <c r="O1731" i="11"/>
  <c r="R1730" i="11"/>
  <c r="Q1730" i="11"/>
  <c r="P1730" i="11"/>
  <c r="O1730" i="11"/>
  <c r="R1729" i="11"/>
  <c r="Q1729" i="11"/>
  <c r="P1729" i="11"/>
  <c r="O1729" i="11"/>
  <c r="R1721" i="11"/>
  <c r="Q1721" i="11"/>
  <c r="P1721" i="11"/>
  <c r="O1721" i="11"/>
  <c r="R1714" i="11"/>
  <c r="Q1714" i="11"/>
  <c r="P1714" i="11"/>
  <c r="O1714" i="11"/>
  <c r="R1713" i="11"/>
  <c r="Q1713" i="11"/>
  <c r="P1713" i="11"/>
  <c r="O1713" i="11"/>
  <c r="R1712" i="11"/>
  <c r="Q1712" i="11"/>
  <c r="P1712" i="11"/>
  <c r="O1712" i="11"/>
  <c r="R1709" i="11"/>
  <c r="Q1709" i="11"/>
  <c r="P1709" i="11"/>
  <c r="O1709" i="11"/>
  <c r="R1708" i="11"/>
  <c r="Q1708" i="11"/>
  <c r="P1708" i="11"/>
  <c r="O1708" i="11"/>
  <c r="R1707" i="11"/>
  <c r="Q1707" i="11"/>
  <c r="P1707" i="11"/>
  <c r="O1707" i="11"/>
  <c r="R1701" i="11"/>
  <c r="Q1701" i="11"/>
  <c r="P1701" i="11"/>
  <c r="O1701" i="11"/>
  <c r="R1700" i="11"/>
  <c r="Q1700" i="11"/>
  <c r="P1700" i="11"/>
  <c r="O1700" i="11"/>
  <c r="R1699" i="11"/>
  <c r="Q1699" i="11"/>
  <c r="P1699" i="11"/>
  <c r="O1699" i="11"/>
  <c r="R1696" i="11"/>
  <c r="Q1696" i="11"/>
  <c r="P1696" i="11"/>
  <c r="O1696" i="11"/>
  <c r="R1695" i="11"/>
  <c r="Q1695" i="11"/>
  <c r="P1695" i="11"/>
  <c r="O1695" i="11"/>
  <c r="R1694" i="11"/>
  <c r="Q1694" i="11"/>
  <c r="P1694" i="11"/>
  <c r="O1694" i="11"/>
  <c r="R1693" i="11"/>
  <c r="Q1693" i="11"/>
  <c r="P1693" i="11"/>
  <c r="O1693" i="11"/>
  <c r="R1683" i="11"/>
  <c r="Q1683" i="11"/>
  <c r="P1683" i="11"/>
  <c r="O1683" i="11"/>
  <c r="R1670" i="11"/>
  <c r="Q1670" i="11"/>
  <c r="P1670" i="11"/>
  <c r="O1670" i="11"/>
  <c r="R1666" i="11"/>
  <c r="Q1666" i="11"/>
  <c r="P1666" i="11"/>
  <c r="O1666" i="11"/>
  <c r="R1665" i="11"/>
  <c r="Q1665" i="11"/>
  <c r="P1665" i="11"/>
  <c r="O1665" i="11"/>
  <c r="R1661" i="11"/>
  <c r="Q1661" i="11"/>
  <c r="P1661" i="11"/>
  <c r="O1661" i="11"/>
  <c r="R563" i="11"/>
  <c r="Q563" i="11"/>
  <c r="P563" i="11"/>
  <c r="O563" i="11"/>
  <c r="R1660" i="11"/>
  <c r="Q1660" i="11"/>
  <c r="P1660" i="11"/>
  <c r="O1660" i="11"/>
  <c r="R1650" i="11"/>
  <c r="Q1650" i="11"/>
  <c r="P1650" i="11"/>
  <c r="O1650" i="11"/>
  <c r="R1649" i="11"/>
  <c r="Q1649" i="11"/>
  <c r="P1649" i="11"/>
  <c r="O1649" i="11"/>
  <c r="R1648" i="11"/>
  <c r="Q1648" i="11"/>
  <c r="P1648" i="11"/>
  <c r="O1648" i="11"/>
  <c r="R152" i="11"/>
  <c r="Q152" i="11"/>
  <c r="P152" i="11"/>
  <c r="O152" i="11"/>
  <c r="R1633" i="11"/>
  <c r="Q1633" i="11"/>
  <c r="P1633" i="11"/>
  <c r="O1633" i="11"/>
  <c r="R1632" i="11"/>
  <c r="Q1632" i="11"/>
  <c r="P1632" i="11"/>
  <c r="O1632" i="11"/>
  <c r="R1631" i="11"/>
  <c r="Q1631" i="11"/>
  <c r="P1631" i="11"/>
  <c r="O1631" i="11"/>
  <c r="R1625" i="11"/>
  <c r="Q1625" i="11"/>
  <c r="P1625" i="11"/>
  <c r="O1625" i="11"/>
  <c r="R1622" i="11"/>
  <c r="Q1622" i="11"/>
  <c r="P1622" i="11"/>
  <c r="O1622" i="11"/>
  <c r="R1618" i="11"/>
  <c r="Q1618" i="11"/>
  <c r="P1618" i="11"/>
  <c r="O1618" i="11"/>
  <c r="R1617" i="11"/>
  <c r="Q1617" i="11"/>
  <c r="P1617" i="11"/>
  <c r="O1617" i="11"/>
  <c r="R1612" i="11"/>
  <c r="Q1612" i="11"/>
  <c r="P1612" i="11"/>
  <c r="O1612" i="11"/>
  <c r="R1611" i="11"/>
  <c r="Q1611" i="11"/>
  <c r="P1611" i="11"/>
  <c r="O1611" i="11"/>
  <c r="R1605" i="11"/>
  <c r="Q1605" i="11"/>
  <c r="P1605" i="11"/>
  <c r="O1605" i="11"/>
  <c r="R1604" i="11"/>
  <c r="Q1604" i="11"/>
  <c r="P1604" i="11"/>
  <c r="O1604" i="11"/>
  <c r="R1598" i="11"/>
  <c r="Q1598" i="11"/>
  <c r="P1598" i="11"/>
  <c r="O1598" i="11"/>
  <c r="R1597" i="11"/>
  <c r="Q1597" i="11"/>
  <c r="P1597" i="11"/>
  <c r="O1597" i="11"/>
  <c r="R1589" i="11"/>
  <c r="Q1589" i="11"/>
  <c r="P1589" i="11"/>
  <c r="O1589" i="11"/>
  <c r="R1588" i="11"/>
  <c r="Q1588" i="11"/>
  <c r="P1588" i="11"/>
  <c r="O1588" i="11"/>
  <c r="R1583" i="11"/>
  <c r="Q1583" i="11"/>
  <c r="P1583" i="11"/>
  <c r="O1583" i="11"/>
  <c r="R1572" i="11"/>
  <c r="Q1572" i="11"/>
  <c r="P1572" i="11"/>
  <c r="O1572" i="11"/>
  <c r="R1566" i="11"/>
  <c r="Q1566" i="11"/>
  <c r="P1566" i="11"/>
  <c r="O1566" i="11"/>
  <c r="R1551" i="11"/>
  <c r="Q1551" i="11"/>
  <c r="P1551" i="11"/>
  <c r="O1551" i="11"/>
  <c r="R1521" i="11"/>
  <c r="Q1521" i="11"/>
  <c r="P1521" i="11"/>
  <c r="O1521" i="11"/>
  <c r="R1550" i="11"/>
  <c r="Q1550" i="11"/>
  <c r="P1550" i="11"/>
  <c r="O1550" i="11"/>
  <c r="R1541" i="11"/>
  <c r="Q1541" i="11"/>
  <c r="P1541" i="11"/>
  <c r="O1541" i="11"/>
  <c r="R1536" i="11"/>
  <c r="Q1536" i="11"/>
  <c r="P1536" i="11"/>
  <c r="O1536" i="11"/>
  <c r="R1533" i="11"/>
  <c r="Q1533" i="11"/>
  <c r="P1533" i="11"/>
  <c r="O1533" i="11"/>
  <c r="R1532" i="11"/>
  <c r="Q1532" i="11"/>
  <c r="P1532" i="11"/>
  <c r="O1532" i="11"/>
  <c r="R1525" i="11"/>
  <c r="Q1525" i="11"/>
  <c r="P1525" i="11"/>
  <c r="O1525" i="11"/>
  <c r="R1524" i="11"/>
  <c r="Q1524" i="11"/>
  <c r="P1524" i="11"/>
  <c r="O1524" i="11"/>
  <c r="R1507" i="11"/>
  <c r="Q1507" i="11"/>
  <c r="P1507" i="11"/>
  <c r="O1507" i="11"/>
  <c r="R1506" i="11"/>
  <c r="Q1506" i="11"/>
  <c r="P1506" i="11"/>
  <c r="O1506" i="11"/>
  <c r="R573" i="11"/>
  <c r="Q573" i="11"/>
  <c r="P573" i="11"/>
  <c r="O573" i="11"/>
  <c r="R1489" i="11"/>
  <c r="Q1489" i="11"/>
  <c r="P1489" i="11"/>
  <c r="O1489" i="11"/>
  <c r="R1482" i="11"/>
  <c r="Q1482" i="11"/>
  <c r="P1482" i="11"/>
  <c r="O1482" i="11"/>
  <c r="R1467" i="11"/>
  <c r="Q1467" i="11"/>
  <c r="P1467" i="11"/>
  <c r="O1467" i="11"/>
  <c r="R1466" i="11"/>
  <c r="Q1466" i="11"/>
  <c r="P1466" i="11"/>
  <c r="O1466" i="11"/>
  <c r="R1460" i="11"/>
  <c r="Q1460" i="11"/>
  <c r="P1460" i="11"/>
  <c r="O1460" i="11"/>
  <c r="R1459" i="11"/>
  <c r="Q1459" i="11"/>
  <c r="P1459" i="11"/>
  <c r="O1459" i="11"/>
  <c r="R1458" i="11"/>
  <c r="Q1458" i="11"/>
  <c r="P1458" i="11"/>
  <c r="O1458" i="11"/>
  <c r="R1438" i="11"/>
  <c r="Q1438" i="11"/>
  <c r="P1438" i="11"/>
  <c r="O1438" i="11"/>
  <c r="R1434" i="11"/>
  <c r="Q1434" i="11"/>
  <c r="P1434" i="11"/>
  <c r="O1434" i="11"/>
  <c r="R1433" i="11"/>
  <c r="Q1433" i="11"/>
  <c r="P1433" i="11"/>
  <c r="O1433" i="11"/>
  <c r="R1428" i="11"/>
  <c r="Q1428" i="11"/>
  <c r="P1428" i="11"/>
  <c r="O1428" i="11"/>
  <c r="R1427" i="11"/>
  <c r="Q1427" i="11"/>
  <c r="P1427" i="11"/>
  <c r="O1427" i="11"/>
  <c r="R1420" i="11"/>
  <c r="Q1420" i="11"/>
  <c r="P1420" i="11"/>
  <c r="O1420" i="11"/>
  <c r="R1419" i="11"/>
  <c r="Q1419" i="11"/>
  <c r="P1419" i="11"/>
  <c r="O1419" i="11"/>
  <c r="R1407" i="11"/>
  <c r="Q1407" i="11"/>
  <c r="P1407" i="11"/>
  <c r="O1407" i="11"/>
  <c r="R1406" i="11"/>
  <c r="Q1406" i="11"/>
  <c r="P1406" i="11"/>
  <c r="O1406" i="11"/>
  <c r="R1402" i="11"/>
  <c r="Q1402" i="11"/>
  <c r="P1402" i="11"/>
  <c r="O1402" i="11"/>
  <c r="R1394" i="11"/>
  <c r="Q1394" i="11"/>
  <c r="P1394" i="11"/>
  <c r="O1394" i="11"/>
  <c r="R1391" i="11"/>
  <c r="Q1391" i="11"/>
  <c r="P1391" i="11"/>
  <c r="O1391" i="11"/>
  <c r="R1390" i="11"/>
  <c r="Q1390" i="11"/>
  <c r="P1390" i="11"/>
  <c r="O1390" i="11"/>
  <c r="R1389" i="11"/>
  <c r="Q1389" i="11"/>
  <c r="P1389" i="11"/>
  <c r="O1389" i="11"/>
  <c r="R1385" i="11"/>
  <c r="Q1385" i="11"/>
  <c r="P1385" i="11"/>
  <c r="O1385" i="11"/>
  <c r="R1384" i="11"/>
  <c r="Q1384" i="11"/>
  <c r="P1384" i="11"/>
  <c r="O1384" i="11"/>
  <c r="R1374" i="11"/>
  <c r="Q1374" i="11"/>
  <c r="P1374" i="11"/>
  <c r="O1374" i="11"/>
  <c r="R1373" i="11"/>
  <c r="Q1373" i="11"/>
  <c r="P1373" i="11"/>
  <c r="O1373" i="11"/>
  <c r="R1366" i="11"/>
  <c r="Q1366" i="11"/>
  <c r="P1366" i="11"/>
  <c r="O1366" i="11"/>
  <c r="R1363" i="11"/>
  <c r="Q1363" i="11"/>
  <c r="P1363" i="11"/>
  <c r="O1363" i="11"/>
  <c r="R1357" i="11"/>
  <c r="Q1357" i="11"/>
  <c r="P1357" i="11"/>
  <c r="O1357" i="11"/>
  <c r="R1356" i="11"/>
  <c r="Q1356" i="11"/>
  <c r="P1356" i="11"/>
  <c r="O1356" i="11"/>
  <c r="R1349" i="11"/>
  <c r="Q1349" i="11"/>
  <c r="P1349" i="11"/>
  <c r="O1349" i="11"/>
  <c r="R1348" i="11"/>
  <c r="Q1348" i="11"/>
  <c r="P1348" i="11"/>
  <c r="O1348" i="11"/>
  <c r="R1339" i="11"/>
  <c r="Q1339" i="11"/>
  <c r="P1339" i="11"/>
  <c r="O1339" i="11"/>
  <c r="R1332" i="11"/>
  <c r="Q1332" i="11"/>
  <c r="P1332" i="11"/>
  <c r="O1332" i="11"/>
  <c r="R1327" i="11"/>
  <c r="Q1327" i="11"/>
  <c r="P1327" i="11"/>
  <c r="O1327" i="11"/>
  <c r="R618" i="11"/>
  <c r="Q618" i="11"/>
  <c r="P618" i="11"/>
  <c r="O618" i="11"/>
  <c r="R1326" i="11"/>
  <c r="Q1326" i="11"/>
  <c r="P1326" i="11"/>
  <c r="O1326" i="11"/>
  <c r="R1323" i="11"/>
  <c r="Q1323" i="11"/>
  <c r="P1323" i="11"/>
  <c r="O1323" i="11"/>
  <c r="R1322" i="11"/>
  <c r="Q1322" i="11"/>
  <c r="P1322" i="11"/>
  <c r="O1322" i="11"/>
  <c r="R1318" i="11"/>
  <c r="Q1318" i="11"/>
  <c r="P1318" i="11"/>
  <c r="O1318" i="11"/>
  <c r="R1317" i="11"/>
  <c r="Q1317" i="11"/>
  <c r="P1317" i="11"/>
  <c r="O1317" i="11"/>
  <c r="R1311" i="11"/>
  <c r="Q1311" i="11"/>
  <c r="P1311" i="11"/>
  <c r="O1311" i="11"/>
  <c r="R1301" i="11"/>
  <c r="Q1301" i="11"/>
  <c r="P1301" i="11"/>
  <c r="O1301" i="11"/>
  <c r="R1300" i="11"/>
  <c r="Q1300" i="11"/>
  <c r="P1300" i="11"/>
  <c r="O1300" i="11"/>
  <c r="R1296" i="11"/>
  <c r="Q1296" i="11"/>
  <c r="P1296" i="11"/>
  <c r="O1296" i="11"/>
  <c r="R1295" i="11"/>
  <c r="Q1295" i="11"/>
  <c r="P1295" i="11"/>
  <c r="O1295" i="11"/>
  <c r="R1294" i="11"/>
  <c r="Q1294" i="11"/>
  <c r="P1294" i="11"/>
  <c r="O1294" i="11"/>
  <c r="R1285" i="11"/>
  <c r="Q1285" i="11"/>
  <c r="P1285" i="11"/>
  <c r="O1285" i="11"/>
  <c r="R1284" i="11"/>
  <c r="Q1284" i="11"/>
  <c r="P1284" i="11"/>
  <c r="O1284" i="11"/>
  <c r="R1280" i="11"/>
  <c r="Q1280" i="11"/>
  <c r="P1280" i="11"/>
  <c r="O1280" i="11"/>
  <c r="R1277" i="11"/>
  <c r="Q1277" i="11"/>
  <c r="P1277" i="11"/>
  <c r="O1277" i="11"/>
  <c r="R1276" i="11"/>
  <c r="Q1276" i="11"/>
  <c r="P1276" i="11"/>
  <c r="O1276" i="11"/>
  <c r="R1269" i="11"/>
  <c r="Q1269" i="11"/>
  <c r="P1269" i="11"/>
  <c r="O1269" i="11"/>
  <c r="R1268" i="11"/>
  <c r="Q1268" i="11"/>
  <c r="P1268" i="11"/>
  <c r="O1268" i="11"/>
  <c r="R1267" i="11"/>
  <c r="Q1267" i="11"/>
  <c r="P1267" i="11"/>
  <c r="O1267" i="11"/>
  <c r="R1249" i="11"/>
  <c r="Q1249" i="11"/>
  <c r="P1249" i="11"/>
  <c r="O1249" i="11"/>
  <c r="R1248" i="11"/>
  <c r="Q1248" i="11"/>
  <c r="P1248" i="11"/>
  <c r="O1248" i="11"/>
  <c r="R1247" i="11"/>
  <c r="Q1247" i="11"/>
  <c r="P1247" i="11"/>
  <c r="O1247" i="11"/>
  <c r="R1243" i="11"/>
  <c r="Q1243" i="11"/>
  <c r="P1243" i="11"/>
  <c r="O1243" i="11"/>
  <c r="R1242" i="11"/>
  <c r="Q1242" i="11"/>
  <c r="P1242" i="11"/>
  <c r="O1242" i="11"/>
  <c r="R1236" i="11"/>
  <c r="Q1236" i="11"/>
  <c r="P1236" i="11"/>
  <c r="O1236" i="11"/>
  <c r="R1235" i="11"/>
  <c r="Q1235" i="11"/>
  <c r="P1235" i="11"/>
  <c r="O1235" i="11"/>
  <c r="R1228" i="11"/>
  <c r="Q1228" i="11"/>
  <c r="P1228" i="11"/>
  <c r="O1228" i="11"/>
  <c r="R1226" i="11"/>
  <c r="Q1226" i="11"/>
  <c r="P1226" i="11"/>
  <c r="O1226" i="11"/>
  <c r="R1218" i="11"/>
  <c r="Q1218" i="11"/>
  <c r="P1218" i="11"/>
  <c r="O1218" i="11"/>
  <c r="R1211" i="11"/>
  <c r="Q1211" i="11"/>
  <c r="P1211" i="11"/>
  <c r="O1211" i="11"/>
  <c r="R1210" i="11"/>
  <c r="Q1210" i="11"/>
  <c r="P1210" i="11"/>
  <c r="O1210" i="11"/>
  <c r="R1209" i="11"/>
  <c r="Q1209" i="11"/>
  <c r="P1209" i="11"/>
  <c r="O1209" i="11"/>
  <c r="R1204" i="11"/>
  <c r="Q1204" i="11"/>
  <c r="P1204" i="11"/>
  <c r="O1204" i="11"/>
  <c r="R1198" i="11"/>
  <c r="Q1198" i="11"/>
  <c r="P1198" i="11"/>
  <c r="O1198" i="11"/>
  <c r="R1191" i="11"/>
  <c r="Q1191" i="11"/>
  <c r="P1191" i="11"/>
  <c r="O1191" i="11"/>
  <c r="R1188" i="11"/>
  <c r="Q1188" i="11"/>
  <c r="P1188" i="11"/>
  <c r="O1188" i="11"/>
  <c r="R1182" i="11"/>
  <c r="Q1182" i="11"/>
  <c r="P1182" i="11"/>
  <c r="O1182" i="11"/>
  <c r="R1178" i="11"/>
  <c r="Q1178" i="11"/>
  <c r="P1178" i="11"/>
  <c r="O1178" i="11"/>
  <c r="R1177" i="11"/>
  <c r="Q1177" i="11"/>
  <c r="P1177" i="11"/>
  <c r="O1177" i="11"/>
  <c r="R1176" i="11"/>
  <c r="Q1176" i="11"/>
  <c r="P1176" i="11"/>
  <c r="O1176" i="11"/>
  <c r="R1122" i="11"/>
  <c r="Q1122" i="11"/>
  <c r="P1122" i="11"/>
  <c r="O1122" i="11"/>
  <c r="R1171" i="11"/>
  <c r="Q1171" i="11"/>
  <c r="P1171" i="11"/>
  <c r="O1171" i="11"/>
  <c r="R1164" i="11"/>
  <c r="Q1164" i="11"/>
  <c r="P1164" i="11"/>
  <c r="O1164" i="11"/>
  <c r="R215" i="11"/>
  <c r="Q215" i="11"/>
  <c r="P215" i="11"/>
  <c r="O215" i="11"/>
  <c r="R1156" i="11"/>
  <c r="Q1156" i="11"/>
  <c r="P1156" i="11"/>
  <c r="O1156" i="11"/>
  <c r="R1155" i="11"/>
  <c r="Q1155" i="11"/>
  <c r="P1155" i="11"/>
  <c r="O1155" i="11"/>
  <c r="R1149" i="11"/>
  <c r="Q1149" i="11"/>
  <c r="P1149" i="11"/>
  <c r="O1149" i="11"/>
  <c r="R1121" i="11"/>
  <c r="Q1121" i="11"/>
  <c r="P1121" i="11"/>
  <c r="O1121" i="11"/>
  <c r="R1135" i="11"/>
  <c r="Q1135" i="11"/>
  <c r="P1135" i="11"/>
  <c r="O1135" i="11"/>
  <c r="R1125" i="11"/>
  <c r="Q1125" i="11"/>
  <c r="P1125" i="11"/>
  <c r="O1125" i="11"/>
  <c r="R1124" i="11"/>
  <c r="Q1124" i="11"/>
  <c r="P1124" i="11"/>
  <c r="O1124" i="11"/>
  <c r="R1123" i="11"/>
  <c r="Q1123" i="11"/>
  <c r="P1123" i="11"/>
  <c r="O1123" i="11"/>
  <c r="R1106" i="11"/>
  <c r="Q1106" i="11"/>
  <c r="P1106" i="11"/>
  <c r="O1106" i="11"/>
  <c r="R1105" i="11"/>
  <c r="Q1105" i="11"/>
  <c r="P1105" i="11"/>
  <c r="O1105" i="11"/>
  <c r="R1086" i="11"/>
  <c r="Q1086" i="11"/>
  <c r="P1086" i="11"/>
  <c r="O1086" i="11"/>
  <c r="R1085" i="11"/>
  <c r="Q1085" i="11"/>
  <c r="P1085" i="11"/>
  <c r="O1085" i="11"/>
  <c r="R1081" i="11"/>
  <c r="Q1081" i="11"/>
  <c r="P1081" i="11"/>
  <c r="O1081" i="11"/>
  <c r="R1071" i="11"/>
  <c r="Q1071" i="11"/>
  <c r="P1071" i="11"/>
  <c r="O1071" i="11"/>
  <c r="R1064" i="11"/>
  <c r="Q1064" i="11"/>
  <c r="P1064" i="11"/>
  <c r="O1064" i="11"/>
  <c r="R1058" i="11"/>
  <c r="Q1058" i="11"/>
  <c r="P1058" i="11"/>
  <c r="O1058" i="11"/>
  <c r="R1057" i="11"/>
  <c r="Q1057" i="11"/>
  <c r="P1057" i="11"/>
  <c r="O1057" i="11"/>
  <c r="R1054" i="11"/>
  <c r="Q1054" i="11"/>
  <c r="P1054" i="11"/>
  <c r="O1054" i="11"/>
  <c r="R1053" i="11"/>
  <c r="Q1053" i="11"/>
  <c r="P1053" i="11"/>
  <c r="O1053" i="11"/>
  <c r="R1052" i="11"/>
  <c r="Q1052" i="11"/>
  <c r="P1052" i="11"/>
  <c r="O1052" i="11"/>
  <c r="R1048" i="11"/>
  <c r="Q1048" i="11"/>
  <c r="P1048" i="11"/>
  <c r="O1048" i="11"/>
  <c r="R1047" i="11"/>
  <c r="Q1047" i="11"/>
  <c r="P1047" i="11"/>
  <c r="O1047" i="11"/>
  <c r="R1046" i="11"/>
  <c r="Q1046" i="11"/>
  <c r="P1046" i="11"/>
  <c r="O1046" i="11"/>
  <c r="R1035" i="11"/>
  <c r="Q1035" i="11"/>
  <c r="P1035" i="11"/>
  <c r="O1035" i="11"/>
  <c r="R1032" i="11"/>
  <c r="Q1032" i="11"/>
  <c r="P1032" i="11"/>
  <c r="O1032" i="11"/>
  <c r="R1031" i="11"/>
  <c r="Q1031" i="11"/>
  <c r="P1031" i="11"/>
  <c r="O1031" i="11"/>
  <c r="R1018" i="11"/>
  <c r="Q1018" i="11"/>
  <c r="P1018" i="11"/>
  <c r="O1018" i="11"/>
  <c r="R1013" i="11"/>
  <c r="Q1013" i="11"/>
  <c r="P1013" i="11"/>
  <c r="O1013" i="11"/>
  <c r="R1011" i="11"/>
  <c r="Q1011" i="11"/>
  <c r="P1011" i="11"/>
  <c r="O1011" i="11"/>
  <c r="R1010" i="11"/>
  <c r="Q1010" i="11"/>
  <c r="P1010" i="11"/>
  <c r="O1010" i="11"/>
  <c r="R1003" i="11"/>
  <c r="Q1003" i="11"/>
  <c r="P1003" i="11"/>
  <c r="O1003" i="11"/>
  <c r="R1002" i="11"/>
  <c r="Q1002" i="11"/>
  <c r="P1002" i="11"/>
  <c r="O1002" i="11"/>
  <c r="R996" i="11"/>
  <c r="Q996" i="11"/>
  <c r="P996" i="11"/>
  <c r="O996" i="11"/>
  <c r="R987" i="11"/>
  <c r="Q987" i="11"/>
  <c r="P987" i="11"/>
  <c r="O987" i="11"/>
  <c r="R986" i="11"/>
  <c r="Q986" i="11"/>
  <c r="P986" i="11"/>
  <c r="O986" i="11"/>
  <c r="R981" i="11"/>
  <c r="Q981" i="11"/>
  <c r="P981" i="11"/>
  <c r="O981" i="11"/>
  <c r="R971" i="11"/>
  <c r="Q971" i="11"/>
  <c r="P971" i="11"/>
  <c r="O971" i="11"/>
  <c r="R956" i="11"/>
  <c r="Q956" i="11"/>
  <c r="P956" i="11"/>
  <c r="O956" i="11"/>
  <c r="R955" i="11"/>
  <c r="Q955" i="11"/>
  <c r="P955" i="11"/>
  <c r="O955" i="11"/>
  <c r="R954" i="11"/>
  <c r="Q954" i="11"/>
  <c r="P954" i="11"/>
  <c r="O954" i="11"/>
  <c r="R951" i="11"/>
  <c r="Q951" i="11"/>
  <c r="P951" i="11"/>
  <c r="O951" i="11"/>
  <c r="R950" i="11"/>
  <c r="Q950" i="11"/>
  <c r="P950" i="11"/>
  <c r="O950" i="11"/>
  <c r="R949" i="11"/>
  <c r="Q949" i="11"/>
  <c r="P949" i="11"/>
  <c r="O949" i="11"/>
  <c r="R945" i="11"/>
  <c r="Q945" i="11"/>
  <c r="P945" i="11"/>
  <c r="O945" i="11"/>
  <c r="R941" i="11"/>
  <c r="Q941" i="11"/>
  <c r="P941" i="11"/>
  <c r="O941" i="11"/>
  <c r="R940" i="11"/>
  <c r="Q940" i="11"/>
  <c r="P940" i="11"/>
  <c r="O940" i="11"/>
  <c r="R910" i="11"/>
  <c r="Q910" i="11"/>
  <c r="P910" i="11"/>
  <c r="O910" i="11"/>
  <c r="R889" i="11"/>
  <c r="Q889" i="11"/>
  <c r="P889" i="11"/>
  <c r="O889" i="11"/>
  <c r="R888" i="11"/>
  <c r="Q888" i="11"/>
  <c r="P888" i="11"/>
  <c r="O888" i="11"/>
  <c r="R881" i="11"/>
  <c r="Q881" i="11"/>
  <c r="P881" i="11"/>
  <c r="O881" i="11"/>
  <c r="R877" i="11"/>
  <c r="Q877" i="11"/>
  <c r="P877" i="11"/>
  <c r="O877" i="11"/>
  <c r="R876" i="11"/>
  <c r="Q876" i="11"/>
  <c r="P876" i="11"/>
  <c r="O876" i="11"/>
  <c r="R875" i="11"/>
  <c r="Q875" i="11"/>
  <c r="P875" i="11"/>
  <c r="O875" i="11"/>
  <c r="R868" i="11"/>
  <c r="Q868" i="11"/>
  <c r="P868" i="11"/>
  <c r="O868" i="11"/>
  <c r="R867" i="11"/>
  <c r="Q867" i="11"/>
  <c r="P867" i="11"/>
  <c r="O867" i="11"/>
  <c r="R859" i="11"/>
  <c r="Q859" i="11"/>
  <c r="P859" i="11"/>
  <c r="O859" i="11"/>
  <c r="R858" i="11"/>
  <c r="Q858" i="11"/>
  <c r="P858" i="11"/>
  <c r="O858" i="11"/>
  <c r="R857" i="11"/>
  <c r="Q857" i="11"/>
  <c r="P857" i="11"/>
  <c r="O857" i="11"/>
  <c r="R852" i="11"/>
  <c r="Q852" i="11"/>
  <c r="P852" i="11"/>
  <c r="O852" i="11"/>
  <c r="R847" i="11"/>
  <c r="Q847" i="11"/>
  <c r="P847" i="11"/>
  <c r="O847" i="11"/>
  <c r="R846" i="11"/>
  <c r="Q846" i="11"/>
  <c r="P846" i="11"/>
  <c r="O846" i="11"/>
  <c r="R845" i="11"/>
  <c r="Q845" i="11"/>
  <c r="P845" i="11"/>
  <c r="O845" i="11"/>
  <c r="R840" i="11"/>
  <c r="Q840" i="11"/>
  <c r="P840" i="11"/>
  <c r="O840" i="11"/>
  <c r="R838" i="11"/>
  <c r="Q838" i="11"/>
  <c r="P838" i="11"/>
  <c r="O838" i="11"/>
  <c r="R837" i="11"/>
  <c r="Q837" i="11"/>
  <c r="P837" i="11"/>
  <c r="O837" i="11"/>
  <c r="R836" i="11"/>
  <c r="Q836" i="11"/>
  <c r="P836" i="11"/>
  <c r="O836" i="11"/>
  <c r="R828" i="11"/>
  <c r="Q828" i="11"/>
  <c r="P828" i="11"/>
  <c r="O828" i="11"/>
  <c r="R825" i="11"/>
  <c r="Q825" i="11"/>
  <c r="P825" i="11"/>
  <c r="O825" i="11"/>
  <c r="R824" i="11"/>
  <c r="Q824" i="11"/>
  <c r="P824" i="11"/>
  <c r="O824" i="11"/>
  <c r="R816" i="11"/>
  <c r="Q816" i="11"/>
  <c r="P816" i="11"/>
  <c r="O816" i="11"/>
  <c r="R815" i="11"/>
  <c r="Q815" i="11"/>
  <c r="P815" i="11"/>
  <c r="O815" i="11"/>
  <c r="R809" i="11"/>
  <c r="Q809" i="11"/>
  <c r="P809" i="11"/>
  <c r="O809" i="11"/>
  <c r="R805" i="11"/>
  <c r="Q805" i="11"/>
  <c r="P805" i="11"/>
  <c r="O805" i="11"/>
  <c r="R792" i="11"/>
  <c r="Q792" i="11"/>
  <c r="P792" i="11"/>
  <c r="O792" i="11"/>
  <c r="R791" i="11"/>
  <c r="Q791" i="11"/>
  <c r="P791" i="11"/>
  <c r="O791" i="11"/>
  <c r="R790" i="11"/>
  <c r="Q790" i="11"/>
  <c r="P790" i="11"/>
  <c r="O790" i="11"/>
  <c r="R785" i="11"/>
  <c r="Q785" i="11"/>
  <c r="P785" i="11"/>
  <c r="O785" i="11"/>
  <c r="R769" i="11"/>
  <c r="Q769" i="11"/>
  <c r="P769" i="11"/>
  <c r="O769" i="11"/>
  <c r="R765" i="11"/>
  <c r="Q765" i="11"/>
  <c r="P765" i="11"/>
  <c r="O765" i="11"/>
  <c r="R761" i="11"/>
  <c r="Q761" i="11"/>
  <c r="P761" i="11"/>
  <c r="O761" i="11"/>
  <c r="R755" i="11"/>
  <c r="Q755" i="11"/>
  <c r="P755" i="11"/>
  <c r="O755" i="11"/>
  <c r="R750" i="11"/>
  <c r="Q750" i="11"/>
  <c r="P750" i="11"/>
  <c r="O750" i="11"/>
  <c r="R749" i="11"/>
  <c r="Q749" i="11"/>
  <c r="P749" i="11"/>
  <c r="O749" i="11"/>
  <c r="R748" i="11"/>
  <c r="Q748" i="11"/>
  <c r="P748" i="11"/>
  <c r="O748" i="11"/>
  <c r="R733" i="11"/>
  <c r="Q733" i="11"/>
  <c r="P733" i="11"/>
  <c r="O733" i="11"/>
  <c r="R732" i="11"/>
  <c r="Q732" i="11"/>
  <c r="P732" i="11"/>
  <c r="O732" i="11"/>
  <c r="R731" i="11"/>
  <c r="Q731" i="11"/>
  <c r="P731" i="11"/>
  <c r="O731" i="11"/>
  <c r="R730" i="11"/>
  <c r="Q730" i="11"/>
  <c r="P730" i="11"/>
  <c r="O730" i="11"/>
  <c r="R727" i="11"/>
  <c r="Q727" i="11"/>
  <c r="P727" i="11"/>
  <c r="O727" i="11"/>
  <c r="R720" i="11"/>
  <c r="Q720" i="11"/>
  <c r="P720" i="11"/>
  <c r="O720" i="11"/>
  <c r="R719" i="11"/>
  <c r="Q719" i="11"/>
  <c r="P719" i="11"/>
  <c r="O719" i="11"/>
  <c r="R713" i="11"/>
  <c r="Q713" i="11"/>
  <c r="P713" i="11"/>
  <c r="O713" i="11"/>
  <c r="R712" i="11"/>
  <c r="Q712" i="11"/>
  <c r="P712" i="11"/>
  <c r="O712" i="11"/>
  <c r="R706" i="11"/>
  <c r="Q706" i="11"/>
  <c r="P706" i="11"/>
  <c r="O706" i="11"/>
  <c r="R701" i="11"/>
  <c r="Q701" i="11"/>
  <c r="P701" i="11"/>
  <c r="O701" i="11"/>
  <c r="R694" i="11"/>
  <c r="Q694" i="11"/>
  <c r="P694" i="11"/>
  <c r="O694" i="11"/>
  <c r="R689" i="11"/>
  <c r="Q689" i="11"/>
  <c r="P689" i="11"/>
  <c r="O689" i="11"/>
  <c r="R684" i="11"/>
  <c r="Q684" i="11"/>
  <c r="P684" i="11"/>
  <c r="O684" i="11"/>
  <c r="R683" i="11"/>
  <c r="Q683" i="11"/>
  <c r="P683" i="11"/>
  <c r="O683" i="11"/>
  <c r="R682" i="11"/>
  <c r="Q682" i="11"/>
  <c r="P682" i="11"/>
  <c r="O682" i="11"/>
  <c r="R677" i="11"/>
  <c r="Q677" i="11"/>
  <c r="P677" i="11"/>
  <c r="O677" i="11"/>
  <c r="R676" i="11"/>
  <c r="Q676" i="11"/>
  <c r="P676" i="11"/>
  <c r="O676" i="11"/>
  <c r="R670" i="11"/>
  <c r="Q670" i="11"/>
  <c r="P670" i="11"/>
  <c r="O670" i="11"/>
  <c r="R659" i="11"/>
  <c r="Q659" i="11"/>
  <c r="P659" i="11"/>
  <c r="O659" i="11"/>
  <c r="R656" i="11"/>
  <c r="Q656" i="11"/>
  <c r="P656" i="11"/>
  <c r="O656" i="11"/>
  <c r="R651" i="11"/>
  <c r="Q651" i="11"/>
  <c r="P651" i="11"/>
  <c r="O651" i="11"/>
  <c r="R319" i="11"/>
  <c r="Q319" i="11"/>
  <c r="P319" i="11"/>
  <c r="O319" i="11"/>
  <c r="R459" i="11"/>
  <c r="Q459" i="11"/>
  <c r="P459" i="11"/>
  <c r="O459" i="11"/>
  <c r="R645" i="11"/>
  <c r="Q645" i="11"/>
  <c r="P645" i="11"/>
  <c r="O645" i="11"/>
  <c r="R644" i="11"/>
  <c r="Q644" i="11"/>
  <c r="P644" i="11"/>
  <c r="O644" i="11"/>
  <c r="R643" i="11"/>
  <c r="Q643" i="11"/>
  <c r="P643" i="11"/>
  <c r="O643" i="11"/>
  <c r="R642" i="11"/>
  <c r="Q642" i="11"/>
  <c r="P642" i="11"/>
  <c r="O642" i="11"/>
  <c r="R2" i="11"/>
  <c r="Q2" i="11"/>
  <c r="P2" i="11"/>
  <c r="O2" i="11"/>
  <c r="R84" i="11"/>
  <c r="Q84" i="11"/>
  <c r="P84" i="11"/>
  <c r="O84" i="11"/>
  <c r="R609" i="11"/>
  <c r="Q609" i="11"/>
  <c r="P609" i="11"/>
  <c r="O609" i="11"/>
  <c r="R615" i="11"/>
  <c r="Q615" i="11"/>
  <c r="P615" i="11"/>
  <c r="O615" i="11"/>
  <c r="R614" i="11"/>
  <c r="Q614" i="11"/>
  <c r="P614" i="11"/>
  <c r="O614" i="11"/>
  <c r="R612" i="11"/>
  <c r="Q612" i="11"/>
  <c r="P612" i="11"/>
  <c r="O612" i="11"/>
  <c r="R606" i="11"/>
  <c r="Q606" i="11"/>
  <c r="P606" i="11"/>
  <c r="O606" i="11"/>
  <c r="R605" i="11"/>
  <c r="Q605" i="11"/>
  <c r="P605" i="11"/>
  <c r="O605" i="11"/>
  <c r="R597" i="11"/>
  <c r="Q597" i="11"/>
  <c r="P597" i="11"/>
  <c r="O597" i="11"/>
  <c r="R596" i="11"/>
  <c r="Q596" i="11"/>
  <c r="P596" i="11"/>
  <c r="O596" i="11"/>
  <c r="R595" i="11"/>
  <c r="Q595" i="11"/>
  <c r="P595" i="11"/>
  <c r="O595" i="11"/>
  <c r="R594" i="11"/>
  <c r="Q594" i="11"/>
  <c r="P594" i="11"/>
  <c r="O594" i="11"/>
  <c r="R589" i="11"/>
  <c r="Q589" i="11"/>
  <c r="P589" i="11"/>
  <c r="O589" i="11"/>
  <c r="R586" i="11"/>
  <c r="Q586" i="11"/>
  <c r="P586" i="11"/>
  <c r="O586" i="11"/>
  <c r="R585" i="11"/>
  <c r="Q585" i="11"/>
  <c r="P585" i="11"/>
  <c r="O585" i="11"/>
  <c r="R584" i="11"/>
  <c r="Q584" i="11"/>
  <c r="P584" i="11"/>
  <c r="O584" i="11"/>
  <c r="R583" i="11"/>
  <c r="Q583" i="11"/>
  <c r="P583" i="11"/>
  <c r="O583" i="11"/>
  <c r="R578" i="11"/>
  <c r="Q578" i="11"/>
  <c r="P578" i="11"/>
  <c r="O578" i="11"/>
  <c r="R575" i="11"/>
  <c r="Q575" i="11"/>
  <c r="P575" i="11"/>
  <c r="O575" i="11"/>
  <c r="R568" i="11"/>
  <c r="Q568" i="11"/>
  <c r="P568" i="11"/>
  <c r="O568" i="11"/>
  <c r="R566" i="11"/>
  <c r="Q566" i="11"/>
  <c r="P566" i="11"/>
  <c r="O566" i="11"/>
  <c r="R560" i="11"/>
  <c r="Q560" i="11"/>
  <c r="P560" i="11"/>
  <c r="O560" i="11"/>
  <c r="R559" i="11"/>
  <c r="Q559" i="11"/>
  <c r="P559" i="11"/>
  <c r="O559" i="11"/>
  <c r="R554" i="11"/>
  <c r="Q554" i="11"/>
  <c r="P554" i="11"/>
  <c r="O554" i="11"/>
  <c r="R553" i="11"/>
  <c r="Q553" i="11"/>
  <c r="P553" i="11"/>
  <c r="O553" i="11"/>
  <c r="R548" i="11"/>
  <c r="Q548" i="11"/>
  <c r="P548" i="11"/>
  <c r="O548" i="11"/>
  <c r="R544" i="11"/>
  <c r="Q544" i="11"/>
  <c r="P544" i="11"/>
  <c r="O544" i="11"/>
  <c r="R543" i="11"/>
  <c r="Q543" i="11"/>
  <c r="P543" i="11"/>
  <c r="O543" i="11"/>
  <c r="R542" i="11"/>
  <c r="Q542" i="11"/>
  <c r="P542" i="11"/>
  <c r="O542" i="11"/>
  <c r="R538" i="11"/>
  <c r="Q538" i="11"/>
  <c r="P538" i="11"/>
  <c r="O538" i="11"/>
  <c r="R537" i="11"/>
  <c r="Q537" i="11"/>
  <c r="P537" i="11"/>
  <c r="O537" i="11"/>
  <c r="R536" i="11"/>
  <c r="Q536" i="11"/>
  <c r="P536" i="11"/>
  <c r="O536" i="11"/>
  <c r="R535" i="11"/>
  <c r="Q535" i="11"/>
  <c r="P535" i="11"/>
  <c r="O535" i="11"/>
  <c r="R519" i="11"/>
  <c r="Q519" i="11"/>
  <c r="P519" i="11"/>
  <c r="O519" i="11"/>
  <c r="R499" i="11"/>
  <c r="Q499" i="11"/>
  <c r="P499" i="11"/>
  <c r="O499" i="11"/>
  <c r="R512" i="11"/>
  <c r="Q512" i="11"/>
  <c r="P512" i="11"/>
  <c r="O512" i="11"/>
  <c r="R511" i="11"/>
  <c r="Q511" i="11"/>
  <c r="P511" i="11"/>
  <c r="O511" i="11"/>
  <c r="R510" i="11"/>
  <c r="Q510" i="11"/>
  <c r="P510" i="11"/>
  <c r="O510" i="11"/>
  <c r="R494" i="11"/>
  <c r="Q494" i="11"/>
  <c r="P494" i="11"/>
  <c r="O494" i="11"/>
  <c r="R493" i="11"/>
  <c r="Q493" i="11"/>
  <c r="P493" i="11"/>
  <c r="O493" i="11"/>
  <c r="R491" i="11"/>
  <c r="Q491" i="11"/>
  <c r="P491" i="11"/>
  <c r="O491" i="11"/>
  <c r="R344" i="11"/>
  <c r="Q344" i="11"/>
  <c r="P344" i="11"/>
  <c r="O344" i="11"/>
  <c r="R487" i="11"/>
  <c r="Q487" i="11"/>
  <c r="P487" i="11"/>
  <c r="O487" i="11"/>
  <c r="R51" i="11"/>
  <c r="Q51" i="11"/>
  <c r="P51" i="11"/>
  <c r="O51" i="11"/>
  <c r="R486" i="11"/>
  <c r="Q486" i="11"/>
  <c r="P486" i="11"/>
  <c r="O486" i="11"/>
  <c r="R480" i="11"/>
  <c r="Q480" i="11"/>
  <c r="P480" i="11"/>
  <c r="O480" i="11"/>
  <c r="R476" i="11"/>
  <c r="Q476" i="11"/>
  <c r="P476" i="11"/>
  <c r="O476" i="11"/>
  <c r="R472" i="11"/>
  <c r="Q472" i="11"/>
  <c r="P472" i="11"/>
  <c r="O472" i="11"/>
  <c r="R471" i="11"/>
  <c r="Q471" i="11"/>
  <c r="P471" i="11"/>
  <c r="O471" i="11"/>
  <c r="R470" i="11"/>
  <c r="Q470" i="11"/>
  <c r="P470" i="11"/>
  <c r="O470" i="11"/>
  <c r="R469" i="11"/>
  <c r="Q469" i="11"/>
  <c r="P469" i="11"/>
  <c r="O469" i="11"/>
  <c r="R465" i="11"/>
  <c r="Q465" i="11"/>
  <c r="P465" i="11"/>
  <c r="O465" i="11"/>
  <c r="R461" i="11"/>
  <c r="Q461" i="11"/>
  <c r="P461" i="11"/>
  <c r="O461" i="11"/>
  <c r="R453" i="11"/>
  <c r="Q453" i="11"/>
  <c r="P453" i="11"/>
  <c r="O453" i="11"/>
  <c r="R452" i="11"/>
  <c r="Q452" i="11"/>
  <c r="P452" i="11"/>
  <c r="O452" i="11"/>
  <c r="R450" i="11"/>
  <c r="Q450" i="11"/>
  <c r="P450" i="11"/>
  <c r="O450" i="11"/>
  <c r="R447" i="11"/>
  <c r="Q447" i="11"/>
  <c r="P447" i="11"/>
  <c r="O447" i="11"/>
  <c r="R442" i="11"/>
  <c r="Q442" i="11"/>
  <c r="P442" i="11"/>
  <c r="O442" i="11"/>
  <c r="R441" i="11"/>
  <c r="Q441" i="11"/>
  <c r="P441" i="11"/>
  <c r="O441" i="11"/>
  <c r="R436" i="11"/>
  <c r="Q436" i="11"/>
  <c r="P436" i="11"/>
  <c r="O436" i="11"/>
  <c r="R430" i="11"/>
  <c r="Q430" i="11"/>
  <c r="P430" i="11"/>
  <c r="O430" i="11"/>
  <c r="R429" i="11"/>
  <c r="Q429" i="11"/>
  <c r="P429" i="11"/>
  <c r="O429" i="11"/>
  <c r="R428" i="11"/>
  <c r="Q428" i="11"/>
  <c r="P428" i="11"/>
  <c r="O428" i="11"/>
  <c r="R422" i="11"/>
  <c r="Q422" i="11"/>
  <c r="P422" i="11"/>
  <c r="O422" i="11"/>
  <c r="R416" i="11"/>
  <c r="Q416" i="11"/>
  <c r="P416" i="11"/>
  <c r="O416" i="11"/>
  <c r="R415" i="11"/>
  <c r="Q415" i="11"/>
  <c r="P415" i="11"/>
  <c r="O415" i="11"/>
  <c r="R404" i="11"/>
  <c r="Q404" i="11"/>
  <c r="P404" i="11"/>
  <c r="O404" i="11"/>
  <c r="R403" i="11"/>
  <c r="Q403" i="11"/>
  <c r="P403" i="11"/>
  <c r="O403" i="11"/>
  <c r="R392" i="11"/>
  <c r="Q392" i="11"/>
  <c r="P392" i="11"/>
  <c r="O392" i="11"/>
  <c r="R391" i="11"/>
  <c r="Q391" i="11"/>
  <c r="P391" i="11"/>
  <c r="O391" i="11"/>
  <c r="R390" i="11"/>
  <c r="Q390" i="11"/>
  <c r="P390" i="11"/>
  <c r="O390" i="11"/>
  <c r="R384" i="11"/>
  <c r="Q384" i="11"/>
  <c r="P384" i="11"/>
  <c r="O384" i="11"/>
  <c r="R383" i="11"/>
  <c r="Q383" i="11"/>
  <c r="P383" i="11"/>
  <c r="O383" i="11"/>
  <c r="R372" i="11"/>
  <c r="Q372" i="11"/>
  <c r="P372" i="11"/>
  <c r="O372" i="11"/>
  <c r="R360" i="11"/>
  <c r="Q360" i="11"/>
  <c r="P360" i="11"/>
  <c r="O360" i="11"/>
  <c r="R359" i="11"/>
  <c r="Q359" i="11"/>
  <c r="P359" i="11"/>
  <c r="O359" i="11"/>
  <c r="R358" i="11"/>
  <c r="Q358" i="11"/>
  <c r="P358" i="11"/>
  <c r="O358" i="11"/>
  <c r="R357" i="11"/>
  <c r="Q357" i="11"/>
  <c r="P357" i="11"/>
  <c r="O357" i="11"/>
  <c r="R351" i="11"/>
  <c r="Q351" i="11"/>
  <c r="P351" i="11"/>
  <c r="O351" i="11"/>
  <c r="R347" i="11"/>
  <c r="Q347" i="11"/>
  <c r="P347" i="11"/>
  <c r="O347" i="11"/>
  <c r="R346" i="11"/>
  <c r="Q346" i="11"/>
  <c r="P346" i="11"/>
  <c r="O346" i="11"/>
  <c r="R345" i="11"/>
  <c r="Q345" i="11"/>
  <c r="P345" i="11"/>
  <c r="O345" i="11"/>
  <c r="R342" i="11"/>
  <c r="Q342" i="11"/>
  <c r="P342" i="11"/>
  <c r="O342" i="11"/>
  <c r="R339" i="11"/>
  <c r="Q339" i="11"/>
  <c r="P339" i="11"/>
  <c r="O339" i="11"/>
  <c r="R334" i="11"/>
  <c r="Q334" i="11"/>
  <c r="P334" i="11"/>
  <c r="O334" i="11"/>
  <c r="R328" i="11"/>
  <c r="Q328" i="11"/>
  <c r="P328" i="11"/>
  <c r="O328" i="11"/>
  <c r="R327" i="11"/>
  <c r="Q327" i="11"/>
  <c r="P327" i="11"/>
  <c r="O327" i="11"/>
  <c r="R323" i="11"/>
  <c r="Q323" i="11"/>
  <c r="P323" i="11"/>
  <c r="O323" i="11"/>
  <c r="R322" i="11"/>
  <c r="Q322" i="11"/>
  <c r="P322" i="11"/>
  <c r="O322" i="11"/>
  <c r="R314" i="11"/>
  <c r="Q314" i="11"/>
  <c r="P314" i="11"/>
  <c r="O314" i="11"/>
  <c r="R308" i="11"/>
  <c r="Q308" i="11"/>
  <c r="P308" i="11"/>
  <c r="O308" i="11"/>
  <c r="R306" i="11"/>
  <c r="Q306" i="11"/>
  <c r="P306" i="11"/>
  <c r="O306" i="11"/>
  <c r="R295" i="11"/>
  <c r="Q295" i="11"/>
  <c r="P295" i="11"/>
  <c r="O295" i="11"/>
  <c r="R283" i="11"/>
  <c r="Q283" i="11"/>
  <c r="P283" i="11"/>
  <c r="O283" i="11"/>
  <c r="R282" i="11"/>
  <c r="Q282" i="11"/>
  <c r="P282" i="11"/>
  <c r="O282" i="11"/>
  <c r="R276" i="11"/>
  <c r="Q276" i="11"/>
  <c r="P276" i="11"/>
  <c r="O276" i="11"/>
  <c r="R271" i="11"/>
  <c r="Q271" i="11"/>
  <c r="P271" i="11"/>
  <c r="O271" i="11"/>
  <c r="R270" i="11"/>
  <c r="Q270" i="11"/>
  <c r="P270" i="11"/>
  <c r="O270" i="11"/>
  <c r="R260" i="11"/>
  <c r="Q260" i="11"/>
  <c r="P260" i="11"/>
  <c r="O260" i="11"/>
  <c r="R259" i="11"/>
  <c r="Q259" i="11"/>
  <c r="P259" i="11"/>
  <c r="O259" i="11"/>
  <c r="R254" i="11"/>
  <c r="Q254" i="11"/>
  <c r="P254" i="11"/>
  <c r="O254" i="11"/>
  <c r="R244" i="11"/>
  <c r="Q244" i="11"/>
  <c r="P244" i="11"/>
  <c r="O244" i="11"/>
  <c r="R243" i="11"/>
  <c r="Q243" i="11"/>
  <c r="P243" i="11"/>
  <c r="O243" i="11"/>
  <c r="R235" i="11"/>
  <c r="Q235" i="11"/>
  <c r="P235" i="11"/>
  <c r="O235" i="11"/>
  <c r="R228" i="11"/>
  <c r="Q228" i="11"/>
  <c r="P228" i="11"/>
  <c r="O228" i="11"/>
  <c r="R227" i="11"/>
  <c r="Q227" i="11"/>
  <c r="P227" i="11"/>
  <c r="O227" i="11"/>
  <c r="R226" i="11"/>
  <c r="Q226" i="11"/>
  <c r="P226" i="11"/>
  <c r="O226" i="11"/>
  <c r="R219" i="11"/>
  <c r="Q219" i="11"/>
  <c r="P219" i="11"/>
  <c r="O219" i="11"/>
  <c r="R216" i="11"/>
  <c r="Q216" i="11"/>
  <c r="P216" i="11"/>
  <c r="O216" i="11"/>
  <c r="R206" i="11"/>
  <c r="Q206" i="11"/>
  <c r="P206" i="11"/>
  <c r="O206" i="11"/>
  <c r="R205" i="11"/>
  <c r="Q205" i="11"/>
  <c r="P205" i="11"/>
  <c r="O205" i="11"/>
  <c r="R204" i="11"/>
  <c r="Q204" i="11"/>
  <c r="P204" i="11"/>
  <c r="O204" i="11"/>
  <c r="R200" i="11"/>
  <c r="Q200" i="11"/>
  <c r="P200" i="11"/>
  <c r="O200" i="11"/>
  <c r="R199" i="11"/>
  <c r="Q199" i="11"/>
  <c r="P199" i="11"/>
  <c r="O199" i="11"/>
  <c r="R198" i="11"/>
  <c r="Q198" i="11"/>
  <c r="P198" i="11"/>
  <c r="O198" i="11"/>
  <c r="R190" i="11"/>
  <c r="Q190" i="11"/>
  <c r="P190" i="11"/>
  <c r="O190" i="11"/>
  <c r="R189" i="11"/>
  <c r="Q189" i="11"/>
  <c r="P189" i="11"/>
  <c r="O189" i="11"/>
  <c r="R188" i="11"/>
  <c r="Q188" i="11"/>
  <c r="P188" i="11"/>
  <c r="O188" i="11"/>
  <c r="R187" i="11"/>
  <c r="Q187" i="11"/>
  <c r="P187" i="11"/>
  <c r="O187" i="11"/>
  <c r="R181" i="11"/>
  <c r="Q181" i="11"/>
  <c r="P181" i="11"/>
  <c r="O181" i="11"/>
  <c r="R180" i="11"/>
  <c r="Q180" i="11"/>
  <c r="P180" i="11"/>
  <c r="O180" i="11"/>
  <c r="R169" i="11"/>
  <c r="Q169" i="11"/>
  <c r="P169" i="11"/>
  <c r="O169" i="11"/>
  <c r="R164" i="11"/>
  <c r="Q164" i="11"/>
  <c r="P164" i="11"/>
  <c r="O164" i="11"/>
  <c r="R160" i="11"/>
  <c r="Q160" i="11"/>
  <c r="P160" i="11"/>
  <c r="O160" i="11"/>
  <c r="R157" i="11"/>
  <c r="Q157" i="11"/>
  <c r="P157" i="11"/>
  <c r="O157" i="11"/>
  <c r="R155" i="11"/>
  <c r="Q155" i="11"/>
  <c r="P155" i="11"/>
  <c r="O155" i="11"/>
  <c r="R146" i="11"/>
  <c r="Q146" i="11"/>
  <c r="P146" i="11"/>
  <c r="O146" i="11"/>
  <c r="R145" i="11"/>
  <c r="Q145" i="11"/>
  <c r="P145" i="11"/>
  <c r="O145" i="11"/>
  <c r="R140" i="11"/>
  <c r="Q140" i="11"/>
  <c r="P140" i="11"/>
  <c r="O140" i="11"/>
  <c r="R130" i="11"/>
  <c r="Q130" i="11"/>
  <c r="P130" i="11"/>
  <c r="O130" i="11"/>
  <c r="R128" i="11"/>
  <c r="Q128" i="11"/>
  <c r="P128" i="11"/>
  <c r="O128" i="11"/>
  <c r="R126" i="11"/>
  <c r="Q126" i="11"/>
  <c r="P126" i="11"/>
  <c r="O126" i="11"/>
  <c r="R125" i="11"/>
  <c r="Q125" i="11"/>
  <c r="P125" i="11"/>
  <c r="O125" i="11"/>
  <c r="R121" i="11"/>
  <c r="Q121" i="11"/>
  <c r="P121" i="11"/>
  <c r="O121" i="11"/>
  <c r="R120" i="11"/>
  <c r="Q120" i="11"/>
  <c r="P120" i="11"/>
  <c r="O120" i="11"/>
  <c r="R115" i="11"/>
  <c r="Q115" i="11"/>
  <c r="P115" i="11"/>
  <c r="O115" i="11"/>
  <c r="R102" i="11"/>
  <c r="Q102" i="11"/>
  <c r="P102" i="11"/>
  <c r="O102" i="11"/>
  <c r="R101" i="11"/>
  <c r="Q101" i="11"/>
  <c r="P101" i="11"/>
  <c r="O101" i="11"/>
  <c r="R98" i="11"/>
  <c r="Q98" i="11"/>
  <c r="P98" i="11"/>
  <c r="O98" i="11"/>
  <c r="R97" i="11"/>
  <c r="Q97" i="11"/>
  <c r="P97" i="11"/>
  <c r="O97" i="11"/>
  <c r="R90" i="11"/>
  <c r="Q90" i="11"/>
  <c r="P90" i="11"/>
  <c r="O90" i="11"/>
  <c r="R89" i="11"/>
  <c r="Q89" i="11"/>
  <c r="P89" i="11"/>
  <c r="O89" i="11"/>
  <c r="R85" i="11"/>
  <c r="Q85" i="11"/>
  <c r="P85" i="11"/>
  <c r="O85" i="11"/>
  <c r="R82" i="11"/>
  <c r="Q82" i="11"/>
  <c r="P82" i="11"/>
  <c r="O82" i="11"/>
  <c r="R81" i="11"/>
  <c r="Q81" i="11"/>
  <c r="P81" i="11"/>
  <c r="O81" i="11"/>
  <c r="R80" i="11"/>
  <c r="Q80" i="11"/>
  <c r="P80" i="11"/>
  <c r="O80" i="11"/>
  <c r="R77" i="11"/>
  <c r="Q77" i="11"/>
  <c r="P77" i="11"/>
  <c r="O77" i="11"/>
  <c r="R76" i="11"/>
  <c r="Q76" i="11"/>
  <c r="P76" i="11"/>
  <c r="O76" i="11"/>
  <c r="R75" i="11"/>
  <c r="Q75" i="11"/>
  <c r="P75" i="11"/>
  <c r="O75" i="11"/>
  <c r="R74" i="11"/>
  <c r="Q74" i="11"/>
  <c r="P74" i="11"/>
  <c r="O74" i="11"/>
  <c r="R72" i="11"/>
  <c r="Q72" i="11"/>
  <c r="P72" i="11"/>
  <c r="O72" i="11"/>
  <c r="R71" i="11"/>
  <c r="Q71" i="11"/>
  <c r="P71" i="11"/>
  <c r="O71" i="11"/>
  <c r="R62" i="11"/>
  <c r="Q62" i="11"/>
  <c r="P62" i="11"/>
  <c r="O62" i="11"/>
  <c r="R59" i="11"/>
  <c r="Q59" i="11"/>
  <c r="P59" i="11"/>
  <c r="O59" i="11"/>
  <c r="R50" i="11"/>
  <c r="Q50" i="11"/>
  <c r="P50" i="11"/>
  <c r="O50" i="11"/>
  <c r="R49" i="11"/>
  <c r="Q49" i="11"/>
  <c r="P49" i="11"/>
  <c r="O49" i="11"/>
  <c r="R48" i="11"/>
  <c r="Q48" i="11"/>
  <c r="P48" i="11"/>
  <c r="O48" i="11"/>
  <c r="R47" i="11"/>
  <c r="Q47" i="11"/>
  <c r="P47" i="11"/>
  <c r="O47" i="11"/>
  <c r="R42" i="11"/>
  <c r="Q42" i="11"/>
  <c r="P42" i="11"/>
  <c r="O42" i="11"/>
  <c r="R41" i="11"/>
  <c r="Q41" i="11"/>
  <c r="P41" i="11"/>
  <c r="O41" i="11"/>
  <c r="R40" i="11"/>
  <c r="Q40" i="11"/>
  <c r="P40" i="11"/>
  <c r="O40" i="11"/>
  <c r="R37" i="11"/>
  <c r="Q37" i="11"/>
  <c r="P37" i="11"/>
  <c r="O37" i="11"/>
  <c r="R36" i="11"/>
  <c r="Q36" i="11"/>
  <c r="P36" i="11"/>
  <c r="O36" i="11"/>
  <c r="R35" i="11"/>
  <c r="Q35" i="11"/>
  <c r="P35" i="11"/>
  <c r="O35" i="11"/>
  <c r="R34" i="11"/>
  <c r="Q34" i="11"/>
  <c r="P34" i="11"/>
  <c r="O34" i="11"/>
  <c r="R27" i="11"/>
  <c r="Q27" i="11"/>
  <c r="P27" i="11"/>
  <c r="O27" i="11"/>
  <c r="R23" i="11"/>
  <c r="Q23" i="11"/>
  <c r="P23" i="11"/>
  <c r="O23" i="11"/>
  <c r="R22" i="11"/>
  <c r="Q22" i="11"/>
  <c r="P22" i="11"/>
  <c r="O22" i="11"/>
  <c r="R19" i="11"/>
  <c r="Q19" i="11"/>
  <c r="P19" i="11"/>
  <c r="O19" i="11"/>
  <c r="R9" i="11"/>
  <c r="Q9" i="11"/>
  <c r="P9" i="11"/>
  <c r="O9" i="11"/>
  <c r="R1998" i="11"/>
  <c r="Q1998" i="11"/>
  <c r="P1998" i="11"/>
  <c r="O1998" i="11"/>
  <c r="R1997" i="11"/>
  <c r="Q1997" i="11"/>
  <c r="P1997" i="11"/>
  <c r="O1997" i="11"/>
  <c r="R1991" i="11"/>
  <c r="Q1991" i="11"/>
  <c r="P1991" i="11"/>
  <c r="O1991" i="11"/>
  <c r="R1990" i="11"/>
  <c r="Q1990" i="11"/>
  <c r="P1990" i="11"/>
  <c r="O1990" i="11"/>
  <c r="R1980" i="11"/>
  <c r="Q1980" i="11"/>
  <c r="P1980" i="11"/>
  <c r="O1980" i="11"/>
  <c r="R1979" i="11"/>
  <c r="Q1979" i="11"/>
  <c r="P1979" i="11"/>
  <c r="O1979" i="11"/>
  <c r="R1973" i="11"/>
  <c r="Q1973" i="11"/>
  <c r="P1973" i="11"/>
  <c r="O1973" i="11"/>
  <c r="R1972" i="11"/>
  <c r="Q1972" i="11"/>
  <c r="P1972" i="11"/>
  <c r="O1972" i="11"/>
  <c r="R1971" i="11"/>
  <c r="Q1971" i="11"/>
  <c r="P1971" i="11"/>
  <c r="O1971" i="11"/>
  <c r="R1965" i="11"/>
  <c r="Q1965" i="11"/>
  <c r="P1965" i="11"/>
  <c r="O1965" i="11"/>
  <c r="R1962" i="11"/>
  <c r="Q1962" i="11"/>
  <c r="P1962" i="11"/>
  <c r="O1962" i="11"/>
  <c r="R1961" i="11"/>
  <c r="Q1961" i="11"/>
  <c r="P1961" i="11"/>
  <c r="O1961" i="11"/>
  <c r="R1955" i="11"/>
  <c r="Q1955" i="11"/>
  <c r="P1955" i="11"/>
  <c r="O1955" i="11"/>
  <c r="R1947" i="11"/>
  <c r="Q1947" i="11"/>
  <c r="P1947" i="11"/>
  <c r="O1947" i="11"/>
  <c r="R1946" i="11"/>
  <c r="Q1946" i="11"/>
  <c r="P1946" i="11"/>
  <c r="O1946" i="11"/>
  <c r="R1945" i="11"/>
  <c r="Q1945" i="11"/>
  <c r="P1945" i="11"/>
  <c r="O1945" i="11"/>
  <c r="R1941" i="11"/>
  <c r="Q1941" i="11"/>
  <c r="P1941" i="11"/>
  <c r="O1941" i="11"/>
  <c r="R1940" i="11"/>
  <c r="Q1940" i="11"/>
  <c r="P1940" i="11"/>
  <c r="O1940" i="11"/>
  <c r="R1937" i="11"/>
  <c r="Q1937" i="11"/>
  <c r="P1937" i="11"/>
  <c r="O1937" i="11"/>
  <c r="R1936" i="11"/>
  <c r="Q1936" i="11"/>
  <c r="P1936" i="11"/>
  <c r="O1936" i="11"/>
  <c r="R1931" i="11"/>
  <c r="Q1931" i="11"/>
  <c r="P1931" i="11"/>
  <c r="O1931" i="11"/>
  <c r="R1930" i="11"/>
  <c r="Q1930" i="11"/>
  <c r="P1930" i="11"/>
  <c r="O1930" i="11"/>
  <c r="R1929" i="11"/>
  <c r="Q1929" i="11"/>
  <c r="P1929" i="11"/>
  <c r="O1929" i="11"/>
  <c r="R1925" i="11"/>
  <c r="Q1925" i="11"/>
  <c r="P1925" i="11"/>
  <c r="O1925" i="11"/>
  <c r="R1924" i="11"/>
  <c r="Q1924" i="11"/>
  <c r="P1924" i="11"/>
  <c r="O1924" i="11"/>
  <c r="R1923" i="11"/>
  <c r="Q1923" i="11"/>
  <c r="P1923" i="11"/>
  <c r="O1923" i="11"/>
  <c r="R1922" i="11"/>
  <c r="Q1922" i="11"/>
  <c r="P1922" i="11"/>
  <c r="O1922" i="11"/>
  <c r="R1906" i="11"/>
  <c r="Q1906" i="11"/>
  <c r="P1906" i="11"/>
  <c r="O1906" i="11"/>
  <c r="R1905" i="11"/>
  <c r="Q1905" i="11"/>
  <c r="P1905" i="11"/>
  <c r="O1905" i="11"/>
  <c r="R1902" i="11"/>
  <c r="Q1902" i="11"/>
  <c r="P1902" i="11"/>
  <c r="O1902" i="11"/>
  <c r="R1901" i="11"/>
  <c r="Q1901" i="11"/>
  <c r="P1901" i="11"/>
  <c r="O1901" i="11"/>
  <c r="R1896" i="11"/>
  <c r="Q1896" i="11"/>
  <c r="P1896" i="11"/>
  <c r="O1896" i="11"/>
  <c r="R1895" i="11"/>
  <c r="Q1895" i="11"/>
  <c r="P1895" i="11"/>
  <c r="O1895" i="11"/>
  <c r="R1891" i="11"/>
  <c r="Q1891" i="11"/>
  <c r="P1891" i="11"/>
  <c r="O1891" i="11"/>
  <c r="R1890" i="11"/>
  <c r="Q1890" i="11"/>
  <c r="P1890" i="11"/>
  <c r="O1890" i="11"/>
  <c r="R1889" i="11"/>
  <c r="Q1889" i="11"/>
  <c r="P1889" i="11"/>
  <c r="O1889" i="11"/>
  <c r="R1885" i="11"/>
  <c r="Q1885" i="11"/>
  <c r="P1885" i="11"/>
  <c r="O1885" i="11"/>
  <c r="R1875" i="11"/>
  <c r="Q1875" i="11"/>
  <c r="P1875" i="11"/>
  <c r="O1875" i="11"/>
  <c r="R1874" i="11"/>
  <c r="Q1874" i="11"/>
  <c r="P1874" i="11"/>
  <c r="O1874" i="11"/>
  <c r="R1867" i="11"/>
  <c r="Q1867" i="11"/>
  <c r="P1867" i="11"/>
  <c r="O1867" i="11"/>
  <c r="R1864" i="11"/>
  <c r="Q1864" i="11"/>
  <c r="P1864" i="11"/>
  <c r="O1864" i="11"/>
  <c r="R1863" i="11"/>
  <c r="Q1863" i="11"/>
  <c r="P1863" i="11"/>
  <c r="O1863" i="11"/>
  <c r="R1853" i="11"/>
  <c r="Q1853" i="11"/>
  <c r="P1853" i="11"/>
  <c r="O1853" i="11"/>
  <c r="R1852" i="11"/>
  <c r="Q1852" i="11"/>
  <c r="P1852" i="11"/>
  <c r="O1852" i="11"/>
  <c r="R1836" i="11"/>
  <c r="Q1836" i="11"/>
  <c r="P1836" i="11"/>
  <c r="O1836" i="11"/>
  <c r="R692" i="11"/>
  <c r="Q692" i="11"/>
  <c r="P692" i="11"/>
  <c r="O692" i="11"/>
  <c r="R1832" i="11"/>
  <c r="Q1832" i="11"/>
  <c r="P1832" i="11"/>
  <c r="O1832" i="11"/>
  <c r="R397" i="11"/>
  <c r="Q397" i="11"/>
  <c r="P397" i="11"/>
  <c r="O397" i="11"/>
  <c r="R1831" i="11"/>
  <c r="Q1831" i="11"/>
  <c r="P1831" i="11"/>
  <c r="O1831" i="11"/>
  <c r="R1824" i="11"/>
  <c r="Q1824" i="11"/>
  <c r="P1824" i="11"/>
  <c r="O1824" i="11"/>
  <c r="R1823" i="11"/>
  <c r="Q1823" i="11"/>
  <c r="P1823" i="11"/>
  <c r="O1823" i="11"/>
  <c r="R1819" i="11"/>
  <c r="Q1819" i="11"/>
  <c r="P1819" i="11"/>
  <c r="O1819" i="11"/>
  <c r="R1818" i="11"/>
  <c r="Q1818" i="11"/>
  <c r="P1818" i="11"/>
  <c r="O1818" i="11"/>
  <c r="R1817" i="11"/>
  <c r="Q1817" i="11"/>
  <c r="P1817" i="11"/>
  <c r="O1817" i="11"/>
  <c r="R1816" i="11"/>
  <c r="Q1816" i="11"/>
  <c r="P1816" i="11"/>
  <c r="O1816" i="11"/>
  <c r="R1815" i="11"/>
  <c r="Q1815" i="11"/>
  <c r="P1815" i="11"/>
  <c r="O1815" i="11"/>
  <c r="R1809" i="11"/>
  <c r="Q1809" i="11"/>
  <c r="P1809" i="11"/>
  <c r="O1809" i="11"/>
  <c r="R1808" i="11"/>
  <c r="Q1808" i="11"/>
  <c r="P1808" i="11"/>
  <c r="O1808" i="11"/>
  <c r="R1802" i="11"/>
  <c r="Q1802" i="11"/>
  <c r="P1802" i="11"/>
  <c r="O1802" i="11"/>
  <c r="R1801" i="11"/>
  <c r="Q1801" i="11"/>
  <c r="P1801" i="11"/>
  <c r="O1801" i="11"/>
  <c r="R1800" i="11"/>
  <c r="Q1800" i="11"/>
  <c r="P1800" i="11"/>
  <c r="O1800" i="11"/>
  <c r="R1792" i="11"/>
  <c r="Q1792" i="11"/>
  <c r="P1792" i="11"/>
  <c r="O1792" i="11"/>
  <c r="R1785" i="11"/>
  <c r="Q1785" i="11"/>
  <c r="P1785" i="11"/>
  <c r="O1785" i="11"/>
  <c r="R1781" i="11"/>
  <c r="Q1781" i="11"/>
  <c r="P1781" i="11"/>
  <c r="O1781" i="11"/>
  <c r="R1780" i="11"/>
  <c r="Q1780" i="11"/>
  <c r="P1780" i="11"/>
  <c r="O1780" i="11"/>
  <c r="R1777" i="11"/>
  <c r="Q1777" i="11"/>
  <c r="P1777" i="11"/>
  <c r="O1777" i="11"/>
  <c r="R1776" i="11"/>
  <c r="Q1776" i="11"/>
  <c r="P1776" i="11"/>
  <c r="O1776" i="11"/>
  <c r="R1775" i="11"/>
  <c r="Q1775" i="11"/>
  <c r="P1775" i="11"/>
  <c r="O1775" i="11"/>
  <c r="R1744" i="11"/>
  <c r="Q1744" i="11"/>
  <c r="P1744" i="11"/>
  <c r="O1744" i="11"/>
  <c r="R1771" i="11"/>
  <c r="Q1771" i="11"/>
  <c r="P1771" i="11"/>
  <c r="O1771" i="11"/>
  <c r="R1764" i="11"/>
  <c r="Q1764" i="11"/>
  <c r="P1764" i="11"/>
  <c r="O1764" i="11"/>
  <c r="R1763" i="11"/>
  <c r="Q1763" i="11"/>
  <c r="P1763" i="11"/>
  <c r="O1763" i="11"/>
  <c r="R1760" i="11"/>
  <c r="Q1760" i="11"/>
  <c r="P1760" i="11"/>
  <c r="O1760" i="11"/>
  <c r="R1759" i="11"/>
  <c r="Q1759" i="11"/>
  <c r="P1759" i="11"/>
  <c r="O1759" i="11"/>
  <c r="R1758" i="11"/>
  <c r="Q1758" i="11"/>
  <c r="P1758" i="11"/>
  <c r="O1758" i="11"/>
  <c r="R1750" i="11"/>
  <c r="Q1750" i="11"/>
  <c r="P1750" i="11"/>
  <c r="O1750" i="11"/>
  <c r="R1749" i="11"/>
  <c r="Q1749" i="11"/>
  <c r="P1749" i="11"/>
  <c r="O1749" i="11"/>
  <c r="R1742" i="11"/>
  <c r="Q1742" i="11"/>
  <c r="P1742" i="11"/>
  <c r="O1742" i="11"/>
  <c r="R1728" i="11"/>
  <c r="Q1728" i="11"/>
  <c r="P1728" i="11"/>
  <c r="O1728" i="11"/>
  <c r="R1727" i="11"/>
  <c r="Q1727" i="11"/>
  <c r="P1727" i="11"/>
  <c r="O1727" i="11"/>
  <c r="R1726" i="11"/>
  <c r="Q1726" i="11"/>
  <c r="P1726" i="11"/>
  <c r="O1726" i="11"/>
  <c r="R1725" i="11"/>
  <c r="Q1725" i="11"/>
  <c r="P1725" i="11"/>
  <c r="O1725" i="11"/>
  <c r="R1724" i="11"/>
  <c r="Q1724" i="11"/>
  <c r="P1724" i="11"/>
  <c r="O1724" i="11"/>
  <c r="R1711" i="11"/>
  <c r="Q1711" i="11"/>
  <c r="P1711" i="11"/>
  <c r="O1711" i="11"/>
  <c r="R1706" i="11"/>
  <c r="Q1706" i="11"/>
  <c r="P1706" i="11"/>
  <c r="O1706" i="11"/>
  <c r="R1705" i="11"/>
  <c r="Q1705" i="11"/>
  <c r="P1705" i="11"/>
  <c r="O1705" i="11"/>
  <c r="R1704" i="11"/>
  <c r="Q1704" i="11"/>
  <c r="P1704" i="11"/>
  <c r="O1704" i="11"/>
  <c r="R1698" i="11"/>
  <c r="Q1698" i="11"/>
  <c r="P1698" i="11"/>
  <c r="O1698" i="11"/>
  <c r="R1692" i="11"/>
  <c r="Q1692" i="11"/>
  <c r="P1692" i="11"/>
  <c r="O1692" i="11"/>
  <c r="R1691" i="11"/>
  <c r="Q1691" i="11"/>
  <c r="P1691" i="11"/>
  <c r="O1691" i="11"/>
  <c r="R1690" i="11"/>
  <c r="Q1690" i="11"/>
  <c r="P1690" i="11"/>
  <c r="O1690" i="11"/>
  <c r="R1689" i="11"/>
  <c r="Q1689" i="11"/>
  <c r="P1689" i="11"/>
  <c r="O1689" i="11"/>
  <c r="R1682" i="11"/>
  <c r="Q1682" i="11"/>
  <c r="P1682" i="11"/>
  <c r="O1682" i="11"/>
  <c r="R1680" i="11"/>
  <c r="Q1680" i="11"/>
  <c r="P1680" i="11"/>
  <c r="O1680" i="11"/>
  <c r="R1679" i="11"/>
  <c r="Q1679" i="11"/>
  <c r="P1679" i="11"/>
  <c r="O1679" i="11"/>
  <c r="R1678" i="11"/>
  <c r="Q1678" i="11"/>
  <c r="P1678" i="11"/>
  <c r="O1678" i="11"/>
  <c r="R1673" i="11"/>
  <c r="Q1673" i="11"/>
  <c r="P1673" i="11"/>
  <c r="O1673" i="11"/>
  <c r="R1672" i="11"/>
  <c r="Q1672" i="11"/>
  <c r="P1672" i="11"/>
  <c r="O1672" i="11"/>
  <c r="R1653" i="11"/>
  <c r="Q1653" i="11"/>
  <c r="P1653" i="11"/>
  <c r="O1653" i="11"/>
  <c r="R1669" i="11"/>
  <c r="Q1669" i="11"/>
  <c r="P1669" i="11"/>
  <c r="O1669" i="11"/>
  <c r="R1664" i="11"/>
  <c r="Q1664" i="11"/>
  <c r="P1664" i="11"/>
  <c r="O1664" i="11"/>
  <c r="R1659" i="11"/>
  <c r="Q1659" i="11"/>
  <c r="P1659" i="11"/>
  <c r="O1659" i="11"/>
  <c r="R1658" i="11"/>
  <c r="Q1658" i="11"/>
  <c r="P1658" i="11"/>
  <c r="O1658" i="11"/>
  <c r="R1655" i="11"/>
  <c r="Q1655" i="11"/>
  <c r="P1655" i="11"/>
  <c r="O1655" i="11"/>
  <c r="R1654" i="11"/>
  <c r="Q1654" i="11"/>
  <c r="P1654" i="11"/>
  <c r="O1654" i="11"/>
  <c r="R364" i="11"/>
  <c r="Q364" i="11"/>
  <c r="P364" i="11"/>
  <c r="O364" i="11"/>
  <c r="R1647" i="11"/>
  <c r="Q1647" i="11"/>
  <c r="P1647" i="11"/>
  <c r="O1647" i="11"/>
  <c r="R1644" i="11"/>
  <c r="Q1644" i="11"/>
  <c r="P1644" i="11"/>
  <c r="O1644" i="11"/>
  <c r="R1643" i="11"/>
  <c r="Q1643" i="11"/>
  <c r="P1643" i="11"/>
  <c r="O1643" i="11"/>
  <c r="R1642" i="11"/>
  <c r="Q1642" i="11"/>
  <c r="P1642" i="11"/>
  <c r="O1642" i="11"/>
  <c r="R1641" i="11"/>
  <c r="Q1641" i="11"/>
  <c r="P1641" i="11"/>
  <c r="O1641" i="11"/>
  <c r="R1639" i="11"/>
  <c r="Q1639" i="11"/>
  <c r="P1639" i="11"/>
  <c r="O1639" i="11"/>
  <c r="R1637" i="11"/>
  <c r="Q1637" i="11"/>
  <c r="P1637" i="11"/>
  <c r="O1637" i="11"/>
  <c r="R1636" i="11"/>
  <c r="Q1636" i="11"/>
  <c r="P1636" i="11"/>
  <c r="O1636" i="11"/>
  <c r="R1630" i="11"/>
  <c r="Q1630" i="11"/>
  <c r="P1630" i="11"/>
  <c r="O1630" i="11"/>
  <c r="R1621" i="11"/>
  <c r="Q1621" i="11"/>
  <c r="P1621" i="11"/>
  <c r="O1621" i="11"/>
  <c r="R1620" i="11"/>
  <c r="Q1620" i="11"/>
  <c r="P1620" i="11"/>
  <c r="O1620" i="11"/>
  <c r="R1616" i="11"/>
  <c r="Q1616" i="11"/>
  <c r="P1616" i="11"/>
  <c r="O1616" i="11"/>
  <c r="R1603" i="11"/>
  <c r="Q1603" i="11"/>
  <c r="P1603" i="11"/>
  <c r="O1603" i="11"/>
  <c r="R1596" i="11"/>
  <c r="Q1596" i="11"/>
  <c r="P1596" i="11"/>
  <c r="O1596" i="11"/>
  <c r="R1565" i="11"/>
  <c r="Q1565" i="11"/>
  <c r="P1565" i="11"/>
  <c r="O1565" i="11"/>
  <c r="R1587" i="11"/>
  <c r="Q1587" i="11"/>
  <c r="P1587" i="11"/>
  <c r="O1587" i="11"/>
  <c r="R1586" i="11"/>
  <c r="Q1586" i="11"/>
  <c r="P1586" i="11"/>
  <c r="O1586" i="11"/>
  <c r="R1582" i="11"/>
  <c r="Q1582" i="11"/>
  <c r="P1582" i="11"/>
  <c r="O1582" i="11"/>
  <c r="R1581" i="11"/>
  <c r="Q1581" i="11"/>
  <c r="P1581" i="11"/>
  <c r="O1581" i="11"/>
  <c r="R1571" i="11"/>
  <c r="Q1571" i="11"/>
  <c r="P1571" i="11"/>
  <c r="O1571" i="11"/>
  <c r="R1560" i="11"/>
  <c r="Q1560" i="11"/>
  <c r="P1560" i="11"/>
  <c r="O1560" i="11"/>
  <c r="R1559" i="11"/>
  <c r="Q1559" i="11"/>
  <c r="P1559" i="11"/>
  <c r="O1559" i="11"/>
  <c r="R1549" i="11"/>
  <c r="Q1549" i="11"/>
  <c r="P1549" i="11"/>
  <c r="O1549" i="11"/>
  <c r="R1548" i="11"/>
  <c r="Q1548" i="11"/>
  <c r="P1548" i="11"/>
  <c r="O1548" i="11"/>
  <c r="R1515" i="11"/>
  <c r="Q1515" i="11"/>
  <c r="P1515" i="11"/>
  <c r="O1515" i="11"/>
  <c r="R1535" i="11"/>
  <c r="Q1535" i="11"/>
  <c r="P1535" i="11"/>
  <c r="O1535" i="11"/>
  <c r="R1531" i="11"/>
  <c r="Q1531" i="11"/>
  <c r="P1531" i="11"/>
  <c r="O1531" i="11"/>
  <c r="R1530" i="11"/>
  <c r="Q1530" i="11"/>
  <c r="P1530" i="11"/>
  <c r="O1530" i="11"/>
  <c r="R1529" i="11"/>
  <c r="Q1529" i="11"/>
  <c r="P1529" i="11"/>
  <c r="O1529" i="11"/>
  <c r="R1523" i="11"/>
  <c r="Q1523" i="11"/>
  <c r="P1523" i="11"/>
  <c r="O1523" i="11"/>
  <c r="R1522" i="11"/>
  <c r="Q1522" i="11"/>
  <c r="P1522" i="11"/>
  <c r="O1522" i="11"/>
  <c r="R1517" i="11"/>
  <c r="Q1517" i="11"/>
  <c r="P1517" i="11"/>
  <c r="O1517" i="11"/>
  <c r="R1516" i="11"/>
  <c r="Q1516" i="11"/>
  <c r="P1516" i="11"/>
  <c r="O1516" i="11"/>
  <c r="R1508" i="11"/>
  <c r="Q1508" i="11"/>
  <c r="P1508" i="11"/>
  <c r="O1508" i="11"/>
  <c r="R1497" i="11"/>
  <c r="Q1497" i="11"/>
  <c r="P1497" i="11"/>
  <c r="O1497" i="11"/>
  <c r="R1496" i="11"/>
  <c r="Q1496" i="11"/>
  <c r="P1496" i="11"/>
  <c r="O1496" i="11"/>
  <c r="R1494" i="11"/>
  <c r="Q1494" i="11"/>
  <c r="P1494" i="11"/>
  <c r="O1494" i="11"/>
  <c r="R1488" i="11"/>
  <c r="Q1488" i="11"/>
  <c r="P1488" i="11"/>
  <c r="O1488" i="11"/>
  <c r="R1487" i="11"/>
  <c r="Q1487" i="11"/>
  <c r="P1487" i="11"/>
  <c r="O1487" i="11"/>
  <c r="R1481" i="11"/>
  <c r="Q1481" i="11"/>
  <c r="P1481" i="11"/>
  <c r="O1481" i="11"/>
  <c r="R1480" i="11"/>
  <c r="Q1480" i="11"/>
  <c r="P1480" i="11"/>
  <c r="O1480" i="11"/>
  <c r="R1476" i="11"/>
  <c r="Q1476" i="11"/>
  <c r="P1476" i="11"/>
  <c r="O1476" i="11"/>
  <c r="R1475" i="11"/>
  <c r="Q1475" i="11"/>
  <c r="P1475" i="11"/>
  <c r="O1475" i="11"/>
  <c r="R1463" i="11"/>
  <c r="Q1463" i="11"/>
  <c r="P1463" i="11"/>
  <c r="O1463" i="11"/>
  <c r="R1457" i="11"/>
  <c r="Q1457" i="11"/>
  <c r="P1457" i="11"/>
  <c r="O1457" i="11"/>
  <c r="R1452" i="11"/>
  <c r="Q1452" i="11"/>
  <c r="P1452" i="11"/>
  <c r="O1452" i="11"/>
  <c r="R1451" i="11"/>
  <c r="Q1451" i="11"/>
  <c r="P1451" i="11"/>
  <c r="O1451" i="11"/>
  <c r="R1443" i="11"/>
  <c r="Q1443" i="11"/>
  <c r="P1443" i="11"/>
  <c r="O1443" i="11"/>
  <c r="R1442" i="11"/>
  <c r="Q1442" i="11"/>
  <c r="P1442" i="11"/>
  <c r="O1442" i="11"/>
  <c r="R1441" i="11"/>
  <c r="Q1441" i="11"/>
  <c r="P1441" i="11"/>
  <c r="O1441" i="11"/>
  <c r="R1437" i="11"/>
  <c r="Q1437" i="11"/>
  <c r="P1437" i="11"/>
  <c r="O1437" i="11"/>
  <c r="R1432" i="11"/>
  <c r="Q1432" i="11"/>
  <c r="P1432" i="11"/>
  <c r="O1432" i="11"/>
  <c r="R1431" i="11"/>
  <c r="Q1431" i="11"/>
  <c r="P1431" i="11"/>
  <c r="O1431" i="11"/>
  <c r="R1426" i="11"/>
  <c r="Q1426" i="11"/>
  <c r="P1426" i="11"/>
  <c r="O1426" i="11"/>
  <c r="R1425" i="11"/>
  <c r="Q1425" i="11"/>
  <c r="P1425" i="11"/>
  <c r="O1425" i="11"/>
  <c r="R1413" i="11"/>
  <c r="Q1413" i="11"/>
  <c r="P1413" i="11"/>
  <c r="O1413" i="11"/>
  <c r="R1412" i="11"/>
  <c r="Q1412" i="11"/>
  <c r="P1412" i="11"/>
  <c r="O1412" i="11"/>
  <c r="R1401" i="11"/>
  <c r="Q1401" i="11"/>
  <c r="P1401" i="11"/>
  <c r="O1401" i="11"/>
  <c r="R1400" i="11"/>
  <c r="Q1400" i="11"/>
  <c r="P1400" i="11"/>
  <c r="O1400" i="11"/>
  <c r="R1388" i="11"/>
  <c r="Q1388" i="11"/>
  <c r="P1388" i="11"/>
  <c r="O1388" i="11"/>
  <c r="R1380" i="11"/>
  <c r="Q1380" i="11"/>
  <c r="P1380" i="11"/>
  <c r="O1380" i="11"/>
  <c r="R1365" i="11"/>
  <c r="Q1365" i="11"/>
  <c r="P1365" i="11"/>
  <c r="O1365" i="11"/>
  <c r="R1364" i="11"/>
  <c r="Q1364" i="11"/>
  <c r="P1364" i="11"/>
  <c r="O1364" i="11"/>
  <c r="R1362" i="11"/>
  <c r="Q1362" i="11"/>
  <c r="P1362" i="11"/>
  <c r="O1362" i="11"/>
  <c r="R1347" i="11"/>
  <c r="Q1347" i="11"/>
  <c r="P1347" i="11"/>
  <c r="O1347" i="11"/>
  <c r="R1346" i="11"/>
  <c r="Q1346" i="11"/>
  <c r="P1346" i="11"/>
  <c r="O1346" i="11"/>
  <c r="R1345" i="11"/>
  <c r="Q1345" i="11"/>
  <c r="P1345" i="11"/>
  <c r="O1345" i="11"/>
  <c r="R1172" i="11"/>
  <c r="Q1172" i="11"/>
  <c r="P1172" i="11"/>
  <c r="O1172" i="11"/>
  <c r="R1338" i="11"/>
  <c r="Q1338" i="11"/>
  <c r="P1338" i="11"/>
  <c r="O1338" i="11"/>
  <c r="R754" i="11"/>
  <c r="Q754" i="11"/>
  <c r="P754" i="11"/>
  <c r="O754" i="11"/>
  <c r="R725" i="11"/>
  <c r="Q725" i="11"/>
  <c r="P725" i="11"/>
  <c r="O725" i="11"/>
  <c r="R1331" i="11"/>
  <c r="Q1331" i="11"/>
  <c r="P1331" i="11"/>
  <c r="O1331" i="11"/>
  <c r="R1321" i="11"/>
  <c r="Q1321" i="11"/>
  <c r="P1321" i="11"/>
  <c r="O1321" i="11"/>
  <c r="R1316" i="11"/>
  <c r="Q1316" i="11"/>
  <c r="P1316" i="11"/>
  <c r="O1316" i="11"/>
  <c r="R1310" i="11"/>
  <c r="Q1310" i="11"/>
  <c r="P1310" i="11"/>
  <c r="O1310" i="11"/>
  <c r="R1279" i="11"/>
  <c r="Q1279" i="11"/>
  <c r="P1279" i="11"/>
  <c r="O1279" i="11"/>
  <c r="R1299" i="11"/>
  <c r="Q1299" i="11"/>
  <c r="P1299" i="11"/>
  <c r="O1299" i="11"/>
  <c r="R1293" i="11"/>
  <c r="Q1293" i="11"/>
  <c r="P1293" i="11"/>
  <c r="O1293" i="11"/>
  <c r="R1292" i="11"/>
  <c r="Q1292" i="11"/>
  <c r="P1292" i="11"/>
  <c r="O1292" i="11"/>
  <c r="R1283" i="11"/>
  <c r="Q1283" i="11"/>
  <c r="P1283" i="11"/>
  <c r="O1283" i="11"/>
  <c r="R1282" i="11"/>
  <c r="Q1282" i="11"/>
  <c r="P1282" i="11"/>
  <c r="O1282" i="11"/>
  <c r="R1273" i="11"/>
  <c r="Q1273" i="11"/>
  <c r="P1273" i="11"/>
  <c r="O1273" i="11"/>
  <c r="R1251" i="11"/>
  <c r="Q1251" i="11"/>
  <c r="P1251" i="11"/>
  <c r="O1251" i="11"/>
  <c r="R1266" i="11"/>
  <c r="Q1266" i="11"/>
  <c r="P1266" i="11"/>
  <c r="O1266" i="11"/>
  <c r="R1265" i="11"/>
  <c r="Q1265" i="11"/>
  <c r="P1265" i="11"/>
  <c r="O1265" i="11"/>
  <c r="R1262" i="11"/>
  <c r="Q1262" i="11"/>
  <c r="P1262" i="11"/>
  <c r="O1262" i="11"/>
  <c r="R1261" i="11"/>
  <c r="Q1261" i="11"/>
  <c r="P1261" i="11"/>
  <c r="O1261" i="11"/>
  <c r="R1260" i="11"/>
  <c r="Q1260" i="11"/>
  <c r="P1260" i="11"/>
  <c r="O1260" i="11"/>
  <c r="R1259" i="11"/>
  <c r="Q1259" i="11"/>
  <c r="P1259" i="11"/>
  <c r="O1259" i="11"/>
  <c r="R1258" i="11"/>
  <c r="Q1258" i="11"/>
  <c r="P1258" i="11"/>
  <c r="O1258" i="11"/>
  <c r="R1254" i="11"/>
  <c r="Q1254" i="11"/>
  <c r="P1254" i="11"/>
  <c r="O1254" i="11"/>
  <c r="R1253" i="11"/>
  <c r="Q1253" i="11"/>
  <c r="P1253" i="11"/>
  <c r="O1253" i="11"/>
  <c r="R1252" i="11"/>
  <c r="Q1252" i="11"/>
  <c r="P1252" i="11"/>
  <c r="O1252" i="11"/>
  <c r="R1246" i="11"/>
  <c r="Q1246" i="11"/>
  <c r="P1246" i="11"/>
  <c r="O1246" i="11"/>
  <c r="R1245" i="11"/>
  <c r="Q1245" i="11"/>
  <c r="P1245" i="11"/>
  <c r="O1245" i="11"/>
  <c r="R1244" i="11"/>
  <c r="Q1244" i="11"/>
  <c r="P1244" i="11"/>
  <c r="O1244" i="11"/>
  <c r="R1241" i="11"/>
  <c r="Q1241" i="11"/>
  <c r="P1241" i="11"/>
  <c r="O1241" i="11"/>
  <c r="R1234" i="11"/>
  <c r="Q1234" i="11"/>
  <c r="P1234" i="11"/>
  <c r="O1234" i="11"/>
  <c r="R1233" i="11"/>
  <c r="Q1233" i="11"/>
  <c r="P1233" i="11"/>
  <c r="O1233" i="11"/>
  <c r="R1227" i="11"/>
  <c r="Q1227" i="11"/>
  <c r="P1227" i="11"/>
  <c r="O1227" i="11"/>
  <c r="R1225" i="11"/>
  <c r="Q1225" i="11"/>
  <c r="P1225" i="11"/>
  <c r="O1225" i="11"/>
  <c r="R1224" i="11"/>
  <c r="Q1224" i="11"/>
  <c r="P1224" i="11"/>
  <c r="O1224" i="11"/>
  <c r="R1223" i="11"/>
  <c r="Q1223" i="11"/>
  <c r="P1223" i="11"/>
  <c r="O1223" i="11"/>
  <c r="R1222" i="11"/>
  <c r="Q1222" i="11"/>
  <c r="P1222" i="11"/>
  <c r="O1222" i="11"/>
  <c r="R1221" i="11"/>
  <c r="Q1221" i="11"/>
  <c r="P1221" i="11"/>
  <c r="O1221" i="11"/>
  <c r="R1208" i="11"/>
  <c r="Q1208" i="11"/>
  <c r="P1208" i="11"/>
  <c r="O1208" i="11"/>
  <c r="R1207" i="11"/>
  <c r="Q1207" i="11"/>
  <c r="P1207" i="11"/>
  <c r="O1207" i="11"/>
  <c r="R1203" i="11"/>
  <c r="Q1203" i="11"/>
  <c r="P1203" i="11"/>
  <c r="O1203" i="11"/>
  <c r="R1197" i="11"/>
  <c r="Q1197" i="11"/>
  <c r="P1197" i="11"/>
  <c r="O1197" i="11"/>
  <c r="R1196" i="11"/>
  <c r="Q1196" i="11"/>
  <c r="P1196" i="11"/>
  <c r="O1196" i="11"/>
  <c r="R1195" i="11"/>
  <c r="Q1195" i="11"/>
  <c r="P1195" i="11"/>
  <c r="O1195" i="11"/>
  <c r="R1190" i="11"/>
  <c r="Q1190" i="11"/>
  <c r="P1190" i="11"/>
  <c r="O1190" i="11"/>
  <c r="R1187" i="11"/>
  <c r="Q1187" i="11"/>
  <c r="P1187" i="11"/>
  <c r="O1187" i="11"/>
  <c r="R1170" i="11"/>
  <c r="Q1170" i="11"/>
  <c r="P1170" i="11"/>
  <c r="O1170" i="11"/>
  <c r="R1169" i="11"/>
  <c r="Q1169" i="11"/>
  <c r="P1169" i="11"/>
  <c r="O1169" i="11"/>
  <c r="R1166" i="11"/>
  <c r="Q1166" i="11"/>
  <c r="P1166" i="11"/>
  <c r="O1166" i="11"/>
  <c r="R1145" i="11"/>
  <c r="Q1145" i="11"/>
  <c r="P1145" i="11"/>
  <c r="O1145" i="11"/>
  <c r="R1163" i="11"/>
  <c r="Q1163" i="11"/>
  <c r="P1163" i="11"/>
  <c r="O1163" i="11"/>
  <c r="R1159" i="11"/>
  <c r="Q1159" i="11"/>
  <c r="P1159" i="11"/>
  <c r="O1159" i="11"/>
  <c r="R1158" i="11"/>
  <c r="Q1158" i="11"/>
  <c r="P1158" i="11"/>
  <c r="O1158" i="11"/>
  <c r="R247" i="11"/>
  <c r="Q247" i="11"/>
  <c r="P247" i="11"/>
  <c r="O247" i="11"/>
  <c r="R1154" i="11"/>
  <c r="Q1154" i="11"/>
  <c r="P1154" i="11"/>
  <c r="O1154" i="11"/>
  <c r="R1153" i="11"/>
  <c r="Q1153" i="11"/>
  <c r="P1153" i="11"/>
  <c r="O1153" i="11"/>
  <c r="R1148" i="11"/>
  <c r="Q1148" i="11"/>
  <c r="P1148" i="11"/>
  <c r="O1148" i="11"/>
  <c r="R1147" i="11"/>
  <c r="Q1147" i="11"/>
  <c r="P1147" i="11"/>
  <c r="O1147" i="11"/>
  <c r="R1146" i="11"/>
  <c r="Q1146" i="11"/>
  <c r="P1146" i="11"/>
  <c r="O1146" i="11"/>
  <c r="R1140" i="11"/>
  <c r="Q1140" i="11"/>
  <c r="P1140" i="11"/>
  <c r="O1140" i="11"/>
  <c r="R1139" i="11"/>
  <c r="Q1139" i="11"/>
  <c r="P1139" i="11"/>
  <c r="O1139" i="11"/>
  <c r="R1134" i="11"/>
  <c r="Q1134" i="11"/>
  <c r="P1134" i="11"/>
  <c r="O1134" i="11"/>
  <c r="R1133" i="11"/>
  <c r="Q1133" i="11"/>
  <c r="P1133" i="11"/>
  <c r="O1133" i="11"/>
  <c r="R1117" i="11"/>
  <c r="Q1117" i="11"/>
  <c r="P1117" i="11"/>
  <c r="O1117" i="11"/>
  <c r="R1113" i="11"/>
  <c r="Q1113" i="11"/>
  <c r="P1113" i="11"/>
  <c r="O1113" i="11"/>
  <c r="R1112" i="11"/>
  <c r="Q1112" i="11"/>
  <c r="P1112" i="11"/>
  <c r="O1112" i="11"/>
  <c r="R1104" i="11"/>
  <c r="Q1104" i="11"/>
  <c r="P1104" i="11"/>
  <c r="O1104" i="11"/>
  <c r="R1099" i="11"/>
  <c r="Q1099" i="11"/>
  <c r="P1099" i="11"/>
  <c r="O1099" i="11"/>
  <c r="R1098" i="11"/>
  <c r="Q1098" i="11"/>
  <c r="P1098" i="11"/>
  <c r="O1098" i="11"/>
  <c r="R1097" i="11"/>
  <c r="Q1097" i="11"/>
  <c r="P1097" i="11"/>
  <c r="O1097" i="11"/>
  <c r="R1094" i="11"/>
  <c r="Q1094" i="11"/>
  <c r="P1094" i="11"/>
  <c r="O1094" i="11"/>
  <c r="R1093" i="11"/>
  <c r="Q1093" i="11"/>
  <c r="P1093" i="11"/>
  <c r="O1093" i="11"/>
  <c r="R1092" i="11"/>
  <c r="Q1092" i="11"/>
  <c r="P1092" i="11"/>
  <c r="O1092" i="11"/>
  <c r="R1079" i="11"/>
  <c r="Q1079" i="11"/>
  <c r="P1079" i="11"/>
  <c r="O1079" i="11"/>
  <c r="R1090" i="11"/>
  <c r="Q1090" i="11"/>
  <c r="P1090" i="11"/>
  <c r="O1090" i="11"/>
  <c r="R1089" i="11"/>
  <c r="Q1089" i="11"/>
  <c r="P1089" i="11"/>
  <c r="O1089" i="11"/>
  <c r="R1084" i="11"/>
  <c r="Q1084" i="11"/>
  <c r="P1084" i="11"/>
  <c r="O1084" i="11"/>
  <c r="R1083" i="11"/>
  <c r="Q1083" i="11"/>
  <c r="P1083" i="11"/>
  <c r="O1083" i="11"/>
  <c r="R1080" i="11"/>
  <c r="Q1080" i="11"/>
  <c r="P1080" i="11"/>
  <c r="O1080" i="11"/>
  <c r="R1070" i="11"/>
  <c r="Q1070" i="11"/>
  <c r="P1070" i="11"/>
  <c r="O1070" i="11"/>
  <c r="R1063" i="11"/>
  <c r="Q1063" i="11"/>
  <c r="P1063" i="11"/>
  <c r="O1063" i="11"/>
  <c r="R1062" i="11"/>
  <c r="Q1062" i="11"/>
  <c r="P1062" i="11"/>
  <c r="O1062" i="11"/>
  <c r="R1056" i="11"/>
  <c r="Q1056" i="11"/>
  <c r="P1056" i="11"/>
  <c r="O1056" i="11"/>
  <c r="R1024" i="11"/>
  <c r="Q1024" i="11"/>
  <c r="P1024" i="11"/>
  <c r="O1024" i="11"/>
  <c r="R1045" i="11"/>
  <c r="Q1045" i="11"/>
  <c r="P1045" i="11"/>
  <c r="O1045" i="11"/>
  <c r="R1039" i="11"/>
  <c r="Q1039" i="11"/>
  <c r="P1039" i="11"/>
  <c r="O1039" i="11"/>
  <c r="R1030" i="11"/>
  <c r="Q1030" i="11"/>
  <c r="P1030" i="11"/>
  <c r="O1030" i="11"/>
  <c r="R1027" i="11"/>
  <c r="Q1027" i="11"/>
  <c r="P1027" i="11"/>
  <c r="O1027" i="11"/>
  <c r="R1026" i="11"/>
  <c r="Q1026" i="11"/>
  <c r="P1026" i="11"/>
  <c r="O1026" i="11"/>
  <c r="R1025" i="11"/>
  <c r="Q1025" i="11"/>
  <c r="P1025" i="11"/>
  <c r="O1025" i="11"/>
  <c r="R1017" i="11"/>
  <c r="Q1017" i="11"/>
  <c r="P1017" i="11"/>
  <c r="O1017" i="11"/>
  <c r="R1016" i="11"/>
  <c r="Q1016" i="11"/>
  <c r="P1016" i="11"/>
  <c r="O1016" i="11"/>
  <c r="R1009" i="11"/>
  <c r="Q1009" i="11"/>
  <c r="P1009" i="11"/>
  <c r="O1009" i="11"/>
  <c r="R649" i="11"/>
  <c r="Q649" i="11"/>
  <c r="P649" i="11"/>
  <c r="O649" i="11"/>
  <c r="R1001" i="11"/>
  <c r="Q1001" i="11"/>
  <c r="P1001" i="11"/>
  <c r="O1001" i="11"/>
  <c r="R995" i="11"/>
  <c r="Q995" i="11"/>
  <c r="P995" i="11"/>
  <c r="O995" i="11"/>
  <c r="R994" i="11"/>
  <c r="Q994" i="11"/>
  <c r="P994" i="11"/>
  <c r="O994" i="11"/>
  <c r="R991" i="11"/>
  <c r="Q991" i="11"/>
  <c r="P991" i="11"/>
  <c r="O991" i="11"/>
  <c r="R320" i="11"/>
  <c r="Q320" i="11"/>
  <c r="P320" i="11"/>
  <c r="O320" i="11"/>
  <c r="R985" i="11"/>
  <c r="Q985" i="11"/>
  <c r="P985" i="11"/>
  <c r="O985" i="11"/>
  <c r="R980" i="11"/>
  <c r="Q980" i="11"/>
  <c r="P980" i="11"/>
  <c r="O980" i="11"/>
  <c r="R979" i="11"/>
  <c r="Q979" i="11"/>
  <c r="P979" i="11"/>
  <c r="O979" i="11"/>
  <c r="R978" i="11"/>
  <c r="Q978" i="11"/>
  <c r="P978" i="11"/>
  <c r="O978" i="11"/>
  <c r="R970" i="11"/>
  <c r="Q970" i="11"/>
  <c r="P970" i="11"/>
  <c r="O970" i="11"/>
  <c r="R961" i="11"/>
  <c r="Q961" i="11"/>
  <c r="P961" i="11"/>
  <c r="O961" i="11"/>
  <c r="R960" i="11"/>
  <c r="Q960" i="11"/>
  <c r="P960" i="11"/>
  <c r="O960" i="11"/>
  <c r="R944" i="11"/>
  <c r="Q944" i="11"/>
  <c r="P944" i="11"/>
  <c r="O944" i="11"/>
  <c r="R943" i="11"/>
  <c r="Q943" i="11"/>
  <c r="P943" i="11"/>
  <c r="O943" i="11"/>
  <c r="R942" i="11"/>
  <c r="Q942" i="11"/>
  <c r="P942" i="11"/>
  <c r="O942" i="11"/>
  <c r="R939" i="11"/>
  <c r="Q939" i="11"/>
  <c r="P939" i="11"/>
  <c r="O939" i="11"/>
  <c r="R938" i="11"/>
  <c r="Q938" i="11"/>
  <c r="P938" i="11"/>
  <c r="O938" i="11"/>
  <c r="R937" i="11"/>
  <c r="Q937" i="11"/>
  <c r="P937" i="11"/>
  <c r="O937" i="11"/>
  <c r="R933" i="11"/>
  <c r="Q933" i="11"/>
  <c r="P933" i="11"/>
  <c r="O933" i="11"/>
  <c r="R932" i="11"/>
  <c r="Q932" i="11"/>
  <c r="P932" i="11"/>
  <c r="O932" i="11"/>
  <c r="R931" i="11"/>
  <c r="Q931" i="11"/>
  <c r="P931" i="11"/>
  <c r="O931" i="11"/>
  <c r="R928" i="11"/>
  <c r="Q928" i="11"/>
  <c r="P928" i="11"/>
  <c r="O928" i="11"/>
  <c r="R927" i="11"/>
  <c r="Q927" i="11"/>
  <c r="P927" i="11"/>
  <c r="O927" i="11"/>
  <c r="R926" i="11"/>
  <c r="Q926" i="11"/>
  <c r="P926" i="11"/>
  <c r="O926" i="11"/>
  <c r="R919" i="11"/>
  <c r="Q919" i="11"/>
  <c r="P919" i="11"/>
  <c r="O919" i="11"/>
  <c r="R918" i="11"/>
  <c r="Q918" i="11"/>
  <c r="P918" i="11"/>
  <c r="O918" i="11"/>
  <c r="R917" i="11"/>
  <c r="Q917" i="11"/>
  <c r="P917" i="11"/>
  <c r="O917" i="11"/>
  <c r="R916" i="11"/>
  <c r="Q916" i="11"/>
  <c r="P916" i="11"/>
  <c r="O916" i="11"/>
  <c r="R915" i="11"/>
  <c r="Q915" i="11"/>
  <c r="P915" i="11"/>
  <c r="O915" i="11"/>
  <c r="R913" i="11"/>
  <c r="Q913" i="11"/>
  <c r="P913" i="11"/>
  <c r="O913" i="11"/>
  <c r="R903" i="11"/>
  <c r="Q903" i="11"/>
  <c r="P903" i="11"/>
  <c r="O903" i="11"/>
  <c r="R902" i="11"/>
  <c r="Q902" i="11"/>
  <c r="P902" i="11"/>
  <c r="O902" i="11"/>
  <c r="R901" i="11"/>
  <c r="Q901" i="11"/>
  <c r="P901" i="11"/>
  <c r="O901" i="11"/>
  <c r="R897" i="11"/>
  <c r="Q897" i="11"/>
  <c r="P897" i="11"/>
  <c r="O897" i="11"/>
  <c r="R896" i="11"/>
  <c r="Q896" i="11"/>
  <c r="P896" i="11"/>
  <c r="O896" i="11"/>
  <c r="R895" i="11"/>
  <c r="Q895" i="11"/>
  <c r="P895" i="11"/>
  <c r="O895" i="11"/>
  <c r="R855" i="11"/>
  <c r="Q855" i="11"/>
  <c r="P855" i="11"/>
  <c r="O855" i="11"/>
  <c r="R887" i="11"/>
  <c r="Q887" i="11"/>
  <c r="P887" i="11"/>
  <c r="O887" i="11"/>
  <c r="R886" i="11"/>
  <c r="Q886" i="11"/>
  <c r="P886" i="11"/>
  <c r="O886" i="11"/>
  <c r="R885" i="11"/>
  <c r="Q885" i="11"/>
  <c r="P885" i="11"/>
  <c r="O885" i="11"/>
  <c r="R884" i="11"/>
  <c r="Q884" i="11"/>
  <c r="P884" i="11"/>
  <c r="O884" i="11"/>
  <c r="R883" i="11"/>
  <c r="Q883" i="11"/>
  <c r="P883" i="11"/>
  <c r="O883" i="11"/>
  <c r="R880" i="11"/>
  <c r="Q880" i="11"/>
  <c r="P880" i="11"/>
  <c r="O880" i="11"/>
  <c r="R874" i="11"/>
  <c r="Q874" i="11"/>
  <c r="P874" i="11"/>
  <c r="O874" i="11"/>
  <c r="R873" i="11"/>
  <c r="Q873" i="11"/>
  <c r="P873" i="11"/>
  <c r="O873" i="11"/>
  <c r="R866" i="11"/>
  <c r="Q866" i="11"/>
  <c r="P866" i="11"/>
  <c r="O866" i="11"/>
  <c r="R865" i="11"/>
  <c r="Q865" i="11"/>
  <c r="P865" i="11"/>
  <c r="O865" i="11"/>
  <c r="R864" i="11"/>
  <c r="Q864" i="11"/>
  <c r="P864" i="11"/>
  <c r="O864" i="11"/>
  <c r="R856" i="11"/>
  <c r="Q856" i="11"/>
  <c r="P856" i="11"/>
  <c r="O856" i="11"/>
  <c r="R844" i="11"/>
  <c r="Q844" i="11"/>
  <c r="P844" i="11"/>
  <c r="O844" i="11"/>
  <c r="R640" i="11"/>
  <c r="Q640" i="11"/>
  <c r="P640" i="11"/>
  <c r="O640" i="11"/>
  <c r="R835" i="11"/>
  <c r="Q835" i="11"/>
  <c r="P835" i="11"/>
  <c r="O835" i="11"/>
  <c r="R827" i="11"/>
  <c r="Q827" i="11"/>
  <c r="P827" i="11"/>
  <c r="O827" i="11"/>
  <c r="R823" i="11"/>
  <c r="Q823" i="11"/>
  <c r="P823" i="11"/>
  <c r="O823" i="11"/>
  <c r="R822" i="11"/>
  <c r="Q822" i="11"/>
  <c r="P822" i="11"/>
  <c r="O822" i="11"/>
  <c r="R821" i="11"/>
  <c r="Q821" i="11"/>
  <c r="P821" i="11"/>
  <c r="O821" i="11"/>
  <c r="R814" i="11"/>
  <c r="Q814" i="11"/>
  <c r="P814" i="11"/>
  <c r="O814" i="11"/>
  <c r="R808" i="11"/>
  <c r="Q808" i="11"/>
  <c r="P808" i="11"/>
  <c r="O808" i="11"/>
  <c r="R173" i="11"/>
  <c r="Q173" i="11"/>
  <c r="P173" i="11"/>
  <c r="O173" i="11"/>
  <c r="R807" i="11"/>
  <c r="Q807" i="11"/>
  <c r="P807" i="11"/>
  <c r="O807" i="11"/>
  <c r="R806" i="11"/>
  <c r="Q806" i="11"/>
  <c r="P806" i="11"/>
  <c r="O806" i="11"/>
  <c r="R804" i="11"/>
  <c r="Q804" i="11"/>
  <c r="P804" i="11"/>
  <c r="O804" i="11"/>
  <c r="R803" i="11"/>
  <c r="Q803" i="11"/>
  <c r="P803" i="11"/>
  <c r="O803" i="11"/>
  <c r="R802" i="11"/>
  <c r="Q802" i="11"/>
  <c r="P802" i="11"/>
  <c r="O802" i="11"/>
  <c r="R797" i="11"/>
  <c r="Q797" i="11"/>
  <c r="P797" i="11"/>
  <c r="O797" i="11"/>
  <c r="R796" i="11"/>
  <c r="Q796" i="11"/>
  <c r="P796" i="11"/>
  <c r="O796" i="11"/>
  <c r="R789" i="11"/>
  <c r="Q789" i="11"/>
  <c r="P789" i="11"/>
  <c r="O789" i="11"/>
  <c r="R784" i="11"/>
  <c r="Q784" i="11"/>
  <c r="P784" i="11"/>
  <c r="O784" i="11"/>
  <c r="R783" i="11"/>
  <c r="Q783" i="11"/>
  <c r="P783" i="11"/>
  <c r="O783" i="11"/>
  <c r="R777" i="11"/>
  <c r="Q777" i="11"/>
  <c r="P777" i="11"/>
  <c r="O777" i="11"/>
  <c r="R776" i="11"/>
  <c r="Q776" i="11"/>
  <c r="P776" i="11"/>
  <c r="O776" i="11"/>
  <c r="R775" i="11"/>
  <c r="Q775" i="11"/>
  <c r="P775" i="11"/>
  <c r="O775" i="11"/>
  <c r="R772" i="11"/>
  <c r="Q772" i="11"/>
  <c r="P772" i="11"/>
  <c r="O772" i="11"/>
  <c r="R771" i="11"/>
  <c r="Q771" i="11"/>
  <c r="P771" i="11"/>
  <c r="O771" i="11"/>
  <c r="R768" i="11"/>
  <c r="Q768" i="11"/>
  <c r="P768" i="11"/>
  <c r="O768" i="11"/>
  <c r="R767" i="11"/>
  <c r="Q767" i="11"/>
  <c r="P767" i="11"/>
  <c r="O767" i="11"/>
  <c r="R760" i="11"/>
  <c r="Q760" i="11"/>
  <c r="P760" i="11"/>
  <c r="O760" i="11"/>
  <c r="R747" i="11"/>
  <c r="Q747" i="11"/>
  <c r="P747" i="11"/>
  <c r="O747" i="11"/>
  <c r="R746" i="11"/>
  <c r="Q746" i="11"/>
  <c r="P746" i="11"/>
  <c r="O746" i="11"/>
  <c r="R741" i="11"/>
  <c r="Q741" i="11"/>
  <c r="P741" i="11"/>
  <c r="O741" i="11"/>
  <c r="R740" i="11"/>
  <c r="Q740" i="11"/>
  <c r="P740" i="11"/>
  <c r="O740" i="11"/>
  <c r="R739" i="11"/>
  <c r="Q739" i="11"/>
  <c r="P739" i="11"/>
  <c r="O739" i="11"/>
  <c r="R738" i="11"/>
  <c r="Q738" i="11"/>
  <c r="P738" i="11"/>
  <c r="O738" i="11"/>
  <c r="R726" i="11"/>
  <c r="Q726" i="11"/>
  <c r="P726" i="11"/>
  <c r="O726" i="11"/>
  <c r="R718" i="11"/>
  <c r="Q718" i="11"/>
  <c r="P718" i="11"/>
  <c r="O718" i="11"/>
  <c r="R717" i="11"/>
  <c r="Q717" i="11"/>
  <c r="P717" i="11"/>
  <c r="O717" i="11"/>
  <c r="R711" i="11"/>
  <c r="Q711" i="11"/>
  <c r="P711" i="11"/>
  <c r="O711" i="11"/>
  <c r="R709" i="11"/>
  <c r="Q709" i="11"/>
  <c r="P709" i="11"/>
  <c r="O709" i="11"/>
  <c r="R700" i="11"/>
  <c r="Q700" i="11"/>
  <c r="P700" i="11"/>
  <c r="O700" i="11"/>
  <c r="R693" i="11"/>
  <c r="Q693" i="11"/>
  <c r="P693" i="11"/>
  <c r="O693" i="11"/>
  <c r="R681" i="11"/>
  <c r="Q681" i="11"/>
  <c r="P681" i="11"/>
  <c r="O681" i="11"/>
  <c r="R680" i="11"/>
  <c r="Q680" i="11"/>
  <c r="P680" i="11"/>
  <c r="O680" i="11"/>
  <c r="R675" i="11"/>
  <c r="Q675" i="11"/>
  <c r="P675" i="11"/>
  <c r="O675" i="11"/>
  <c r="R674" i="11"/>
  <c r="Q674" i="11"/>
  <c r="P674" i="11"/>
  <c r="O674" i="11"/>
  <c r="R673" i="11"/>
  <c r="Q673" i="11"/>
  <c r="P673" i="11"/>
  <c r="O673" i="11"/>
  <c r="R672" i="11"/>
  <c r="Q672" i="11"/>
  <c r="P672" i="11"/>
  <c r="O672" i="11"/>
  <c r="R669" i="11"/>
  <c r="Q669" i="11"/>
  <c r="P669" i="11"/>
  <c r="O669" i="11"/>
  <c r="R668" i="11"/>
  <c r="Q668" i="11"/>
  <c r="P668" i="11"/>
  <c r="O668" i="11"/>
  <c r="R662" i="11"/>
  <c r="Q662" i="11"/>
  <c r="P662" i="11"/>
  <c r="O662" i="11"/>
  <c r="R655" i="11"/>
  <c r="Q655" i="11"/>
  <c r="P655" i="11"/>
  <c r="O655" i="11"/>
  <c r="R654" i="11"/>
  <c r="Q654" i="11"/>
  <c r="P654" i="11"/>
  <c r="O654" i="11"/>
  <c r="R650" i="11"/>
  <c r="Q650" i="11"/>
  <c r="P650" i="11"/>
  <c r="O650" i="11"/>
  <c r="R641" i="11"/>
  <c r="Q641" i="11"/>
  <c r="P641" i="11"/>
  <c r="O641" i="11"/>
  <c r="R636" i="11"/>
  <c r="Q636" i="11"/>
  <c r="P636" i="11"/>
  <c r="O636" i="11"/>
  <c r="R629" i="11"/>
  <c r="Q629" i="11"/>
  <c r="P629" i="11"/>
  <c r="O629" i="11"/>
  <c r="R622" i="11"/>
  <c r="Q622" i="11"/>
  <c r="P622" i="11"/>
  <c r="O622" i="11"/>
  <c r="R621" i="11"/>
  <c r="Q621" i="11"/>
  <c r="P621" i="11"/>
  <c r="O621" i="11"/>
  <c r="R620" i="11"/>
  <c r="Q620" i="11"/>
  <c r="P620" i="11"/>
  <c r="O620" i="11"/>
  <c r="R619" i="11"/>
  <c r="Q619" i="11"/>
  <c r="P619" i="11"/>
  <c r="O619" i="11"/>
  <c r="R613" i="11"/>
  <c r="Q613" i="11"/>
  <c r="P613" i="11"/>
  <c r="O613" i="11"/>
  <c r="R611" i="11"/>
  <c r="Q611" i="11"/>
  <c r="P611" i="11"/>
  <c r="O611" i="11"/>
  <c r="R610" i="11"/>
  <c r="Q610" i="11"/>
  <c r="P610" i="11"/>
  <c r="O610" i="11"/>
  <c r="R604" i="11"/>
  <c r="Q604" i="11"/>
  <c r="P604" i="11"/>
  <c r="O604" i="11"/>
  <c r="R603" i="11"/>
  <c r="Q603" i="11"/>
  <c r="P603" i="11"/>
  <c r="O603" i="11"/>
  <c r="R593" i="11"/>
  <c r="Q593" i="11"/>
  <c r="P593" i="11"/>
  <c r="O593" i="11"/>
  <c r="R592" i="11"/>
  <c r="Q592" i="11"/>
  <c r="P592" i="11"/>
  <c r="O592" i="11"/>
  <c r="R591" i="11"/>
  <c r="Q591" i="11"/>
  <c r="P591" i="11"/>
  <c r="O591" i="11"/>
  <c r="R577" i="11"/>
  <c r="Q577" i="11"/>
  <c r="P577" i="11"/>
  <c r="O577" i="11"/>
  <c r="R574" i="11"/>
  <c r="Q574" i="11"/>
  <c r="P574" i="11"/>
  <c r="O574" i="11"/>
  <c r="R567" i="11"/>
  <c r="Q567" i="11"/>
  <c r="P567" i="11"/>
  <c r="O567" i="11"/>
  <c r="R565" i="11"/>
  <c r="Q565" i="11"/>
  <c r="P565" i="11"/>
  <c r="O565" i="11"/>
  <c r="R564" i="11"/>
  <c r="Q564" i="11"/>
  <c r="P564" i="11"/>
  <c r="O564" i="11"/>
  <c r="R558" i="11"/>
  <c r="Q558" i="11"/>
  <c r="P558" i="11"/>
  <c r="O558" i="11"/>
  <c r="R526" i="11"/>
  <c r="Q526" i="11"/>
  <c r="P526" i="11"/>
  <c r="O526" i="11"/>
  <c r="R534" i="11"/>
  <c r="Q534" i="11"/>
  <c r="P534" i="11"/>
  <c r="O534" i="11"/>
  <c r="R533" i="11"/>
  <c r="Q533" i="11"/>
  <c r="P533" i="11"/>
  <c r="O533" i="11"/>
  <c r="R509" i="11"/>
  <c r="Q509" i="11"/>
  <c r="P509" i="11"/>
  <c r="O509" i="11"/>
  <c r="R527" i="11"/>
  <c r="Q527" i="11"/>
  <c r="P527" i="11"/>
  <c r="O527" i="11"/>
  <c r="R525" i="11"/>
  <c r="Q525" i="11"/>
  <c r="P525" i="11"/>
  <c r="O525" i="11"/>
  <c r="R515" i="11"/>
  <c r="Q515" i="11"/>
  <c r="P515" i="11"/>
  <c r="O515" i="11"/>
  <c r="R500" i="11"/>
  <c r="Q500" i="11"/>
  <c r="P500" i="11"/>
  <c r="O500" i="11"/>
  <c r="R479" i="11"/>
  <c r="Q479" i="11"/>
  <c r="P479" i="11"/>
  <c r="O479" i="11"/>
  <c r="R460" i="11"/>
  <c r="Q460" i="11"/>
  <c r="P460" i="11"/>
  <c r="O460" i="11"/>
  <c r="R449" i="11"/>
  <c r="Q449" i="11"/>
  <c r="P449" i="11"/>
  <c r="O449" i="11"/>
  <c r="R440" i="11"/>
  <c r="Q440" i="11"/>
  <c r="P440" i="11"/>
  <c r="O440" i="11"/>
  <c r="R439" i="11"/>
  <c r="Q439" i="11"/>
  <c r="P439" i="11"/>
  <c r="O439" i="11"/>
  <c r="R410" i="11"/>
  <c r="Q410" i="11"/>
  <c r="P410" i="11"/>
  <c r="O410" i="11"/>
  <c r="R435" i="11"/>
  <c r="Q435" i="11"/>
  <c r="P435" i="11"/>
  <c r="O435" i="11"/>
  <c r="R434" i="11"/>
  <c r="Q434" i="11"/>
  <c r="P434" i="11"/>
  <c r="O434" i="11"/>
  <c r="R433" i="11"/>
  <c r="Q433" i="11"/>
  <c r="P433" i="11"/>
  <c r="O433" i="11"/>
  <c r="R427" i="11"/>
  <c r="Q427" i="11"/>
  <c r="P427" i="11"/>
  <c r="O427" i="11"/>
  <c r="R426" i="11"/>
  <c r="Q426" i="11"/>
  <c r="P426" i="11"/>
  <c r="O426" i="11"/>
  <c r="R425" i="11"/>
  <c r="Q425" i="11"/>
  <c r="P425" i="11"/>
  <c r="O425" i="11"/>
  <c r="R421" i="11"/>
  <c r="Q421" i="11"/>
  <c r="P421" i="11"/>
  <c r="O421" i="11"/>
  <c r="R414" i="11"/>
  <c r="Q414" i="11"/>
  <c r="P414" i="11"/>
  <c r="O414" i="11"/>
  <c r="R411" i="11"/>
  <c r="Q411" i="11"/>
  <c r="P411" i="11"/>
  <c r="O411" i="11"/>
  <c r="R402" i="11"/>
  <c r="Q402" i="11"/>
  <c r="P402" i="11"/>
  <c r="O402" i="11"/>
  <c r="R401" i="11"/>
  <c r="Q401" i="11"/>
  <c r="P401" i="11"/>
  <c r="O401" i="11"/>
  <c r="R398" i="11"/>
  <c r="Q398" i="11"/>
  <c r="P398" i="11"/>
  <c r="O398" i="11"/>
  <c r="R382" i="11"/>
  <c r="Q382" i="11"/>
  <c r="P382" i="11"/>
  <c r="O382" i="11"/>
  <c r="R378" i="11"/>
  <c r="Q378" i="11"/>
  <c r="P378" i="11"/>
  <c r="O378" i="11"/>
  <c r="R377" i="11"/>
  <c r="Q377" i="11"/>
  <c r="P377" i="11"/>
  <c r="O377" i="11"/>
  <c r="R376" i="11"/>
  <c r="Q376" i="11"/>
  <c r="P376" i="11"/>
  <c r="O376" i="11"/>
  <c r="R375" i="11"/>
  <c r="Q375" i="11"/>
  <c r="P375" i="11"/>
  <c r="O375" i="11"/>
  <c r="R366" i="11"/>
  <c r="Q366" i="11"/>
  <c r="P366" i="11"/>
  <c r="O366" i="11"/>
  <c r="R365" i="11"/>
  <c r="Q365" i="11"/>
  <c r="P365" i="11"/>
  <c r="O365" i="11"/>
  <c r="R356" i="11"/>
  <c r="Q356" i="11"/>
  <c r="P356" i="11"/>
  <c r="O356" i="11"/>
  <c r="R350" i="11"/>
  <c r="Q350" i="11"/>
  <c r="P350" i="11"/>
  <c r="O350" i="11"/>
  <c r="R338" i="11"/>
  <c r="Q338" i="11"/>
  <c r="P338" i="11"/>
  <c r="O338" i="11"/>
  <c r="R337" i="11"/>
  <c r="Q337" i="11"/>
  <c r="P337" i="11"/>
  <c r="O337" i="11"/>
  <c r="R330" i="11"/>
  <c r="Q330" i="11"/>
  <c r="P330" i="11"/>
  <c r="O330" i="11"/>
  <c r="R326" i="11"/>
  <c r="Q326" i="11"/>
  <c r="P326" i="11"/>
  <c r="O326" i="11"/>
  <c r="R321" i="11"/>
  <c r="Q321" i="11"/>
  <c r="P321" i="11"/>
  <c r="O321" i="11"/>
  <c r="R313" i="11"/>
  <c r="Q313" i="11"/>
  <c r="P313" i="11"/>
  <c r="O313" i="11"/>
  <c r="R312" i="11"/>
  <c r="Q312" i="11"/>
  <c r="P312" i="11"/>
  <c r="O312" i="11"/>
  <c r="R311" i="11"/>
  <c r="Q311" i="11"/>
  <c r="P311" i="11"/>
  <c r="O311" i="11"/>
  <c r="R307" i="11"/>
  <c r="Q307" i="11"/>
  <c r="P307" i="11"/>
  <c r="O307" i="11"/>
  <c r="R305" i="11"/>
  <c r="Q305" i="11"/>
  <c r="P305" i="11"/>
  <c r="O305" i="11"/>
  <c r="R304" i="11"/>
  <c r="Q304" i="11"/>
  <c r="P304" i="11"/>
  <c r="O304" i="11"/>
  <c r="R294" i="11"/>
  <c r="Q294" i="11"/>
  <c r="P294" i="11"/>
  <c r="O294" i="11"/>
  <c r="R291" i="11"/>
  <c r="Q291" i="11"/>
  <c r="P291" i="11"/>
  <c r="O291" i="11"/>
  <c r="R290" i="11"/>
  <c r="Q290" i="11"/>
  <c r="P290" i="11"/>
  <c r="O290" i="11"/>
  <c r="R281" i="11"/>
  <c r="Q281" i="11"/>
  <c r="P281" i="11"/>
  <c r="O281" i="11"/>
  <c r="R280" i="11"/>
  <c r="Q280" i="11"/>
  <c r="P280" i="11"/>
  <c r="O280" i="11"/>
  <c r="R275" i="11"/>
  <c r="Q275" i="11"/>
  <c r="P275" i="11"/>
  <c r="O275" i="11"/>
  <c r="R258" i="11"/>
  <c r="Q258" i="11"/>
  <c r="P258" i="11"/>
  <c r="O258" i="11"/>
  <c r="R257" i="11"/>
  <c r="Q257" i="11"/>
  <c r="P257" i="11"/>
  <c r="O257" i="11"/>
  <c r="R256" i="11"/>
  <c r="Q256" i="11"/>
  <c r="P256" i="11"/>
  <c r="O256" i="11"/>
  <c r="R253" i="11"/>
  <c r="Q253" i="11"/>
  <c r="P253" i="11"/>
  <c r="O253" i="11"/>
  <c r="R252" i="11"/>
  <c r="Q252" i="11"/>
  <c r="P252" i="11"/>
  <c r="O252" i="11"/>
  <c r="R248" i="11"/>
  <c r="Q248" i="11"/>
  <c r="P248" i="11"/>
  <c r="O248" i="11"/>
  <c r="R242" i="11"/>
  <c r="Q242" i="11"/>
  <c r="P242" i="11"/>
  <c r="O242" i="11"/>
  <c r="R241" i="11"/>
  <c r="Q241" i="11"/>
  <c r="P241" i="11"/>
  <c r="O241" i="11"/>
  <c r="R234" i="11"/>
  <c r="Q234" i="11"/>
  <c r="P234" i="11"/>
  <c r="O234" i="11"/>
  <c r="R225" i="11"/>
  <c r="Q225" i="11"/>
  <c r="P225" i="11"/>
  <c r="O225" i="11"/>
  <c r="R218" i="11"/>
  <c r="Q218" i="11"/>
  <c r="P218" i="11"/>
  <c r="O218" i="11"/>
  <c r="R203" i="11"/>
  <c r="Q203" i="11"/>
  <c r="P203" i="11"/>
  <c r="O203" i="11"/>
  <c r="R202" i="11"/>
  <c r="Q202" i="11"/>
  <c r="P202" i="11"/>
  <c r="O202" i="11"/>
  <c r="R197" i="11"/>
  <c r="Q197" i="11"/>
  <c r="P197" i="11"/>
  <c r="O197" i="11"/>
  <c r="R196" i="11"/>
  <c r="Q196" i="11"/>
  <c r="P196" i="11"/>
  <c r="O196" i="11"/>
  <c r="R186" i="11"/>
  <c r="Q186" i="11"/>
  <c r="P186" i="11"/>
  <c r="O186" i="11"/>
  <c r="R179" i="11"/>
  <c r="Q179" i="11"/>
  <c r="P179" i="11"/>
  <c r="O179" i="11"/>
  <c r="R178" i="11"/>
  <c r="Q178" i="11"/>
  <c r="P178" i="11"/>
  <c r="O178" i="11"/>
  <c r="R177" i="11"/>
  <c r="Q177" i="11"/>
  <c r="P177" i="11"/>
  <c r="O177" i="11"/>
  <c r="R176" i="11"/>
  <c r="Q176" i="11"/>
  <c r="P176" i="11"/>
  <c r="O176" i="11"/>
  <c r="R168" i="11"/>
  <c r="Q168" i="11"/>
  <c r="P168" i="11"/>
  <c r="O168" i="11"/>
  <c r="R167" i="11"/>
  <c r="Q167" i="11"/>
  <c r="P167" i="11"/>
  <c r="O167" i="11"/>
  <c r="R163" i="11"/>
  <c r="Q163" i="11"/>
  <c r="P163" i="11"/>
  <c r="O163" i="11"/>
  <c r="R156" i="11"/>
  <c r="Q156" i="11"/>
  <c r="P156" i="11"/>
  <c r="O156" i="11"/>
  <c r="R154" i="11"/>
  <c r="Q154" i="11"/>
  <c r="P154" i="11"/>
  <c r="O154" i="11"/>
  <c r="R153" i="11"/>
  <c r="Q153" i="11"/>
  <c r="P153" i="11"/>
  <c r="O153" i="11"/>
  <c r="R132" i="11"/>
  <c r="Q132" i="11"/>
  <c r="P132" i="11"/>
  <c r="O132" i="11"/>
  <c r="R150" i="11"/>
  <c r="Q150" i="11"/>
  <c r="P150" i="11"/>
  <c r="O150" i="11"/>
  <c r="R144" i="11"/>
  <c r="Q144" i="11"/>
  <c r="P144" i="11"/>
  <c r="O144" i="11"/>
  <c r="R139" i="11"/>
  <c r="Q139" i="11"/>
  <c r="P139" i="11"/>
  <c r="O139" i="11"/>
  <c r="R138" i="11"/>
  <c r="Q138" i="11"/>
  <c r="P138" i="11"/>
  <c r="O138" i="11"/>
  <c r="R133" i="11"/>
  <c r="Q133" i="11"/>
  <c r="P133" i="11"/>
  <c r="O133" i="11"/>
  <c r="R129" i="11"/>
  <c r="Q129" i="11"/>
  <c r="P129" i="11"/>
  <c r="O129" i="11"/>
  <c r="R127" i="11"/>
  <c r="Q127" i="11"/>
  <c r="P127" i="11"/>
  <c r="O127" i="11"/>
  <c r="R124" i="11"/>
  <c r="Q124" i="11"/>
  <c r="P124" i="11"/>
  <c r="O124" i="11"/>
  <c r="R119" i="11"/>
  <c r="Q119" i="11"/>
  <c r="P119" i="11"/>
  <c r="O119" i="11"/>
  <c r="R114" i="11"/>
  <c r="Q114" i="11"/>
  <c r="P114" i="11"/>
  <c r="O114" i="11"/>
  <c r="R113" i="11"/>
  <c r="Q113" i="11"/>
  <c r="P113" i="11"/>
  <c r="O113" i="11"/>
  <c r="R109" i="11"/>
  <c r="Q109" i="11"/>
  <c r="P109" i="11"/>
  <c r="O109" i="11"/>
  <c r="R108" i="11"/>
  <c r="Q108" i="11"/>
  <c r="P108" i="11"/>
  <c r="O108" i="11"/>
  <c r="R96" i="11"/>
  <c r="Q96" i="11"/>
  <c r="P96" i="11"/>
  <c r="O96" i="11"/>
  <c r="R95" i="11"/>
  <c r="Q95" i="11"/>
  <c r="P95" i="11"/>
  <c r="O95" i="11"/>
  <c r="R94" i="11"/>
  <c r="Q94" i="11"/>
  <c r="P94" i="11"/>
  <c r="O94" i="11"/>
  <c r="R93" i="11"/>
  <c r="Q93" i="11"/>
  <c r="P93" i="11"/>
  <c r="O93" i="11"/>
  <c r="R70" i="11"/>
  <c r="Q70" i="11"/>
  <c r="P70" i="11"/>
  <c r="O70" i="11"/>
  <c r="R68" i="11"/>
  <c r="Q68" i="11"/>
  <c r="P68" i="11"/>
  <c r="O68" i="11"/>
  <c r="R61" i="11"/>
  <c r="Q61" i="11"/>
  <c r="P61" i="11"/>
  <c r="O61" i="11"/>
  <c r="R52" i="11"/>
  <c r="Q52" i="11"/>
  <c r="P52" i="11"/>
  <c r="O52" i="11"/>
  <c r="R46" i="11"/>
  <c r="Q46" i="11"/>
  <c r="P46" i="11"/>
  <c r="O46" i="11"/>
  <c r="R39" i="11"/>
  <c r="Q39" i="11"/>
  <c r="P39" i="11"/>
  <c r="O39" i="11"/>
  <c r="R33" i="11"/>
  <c r="Q33" i="11"/>
  <c r="P33" i="11"/>
  <c r="O33" i="11"/>
  <c r="R18" i="11"/>
  <c r="Q18" i="11"/>
  <c r="P18" i="11"/>
  <c r="O18" i="11"/>
  <c r="R17" i="11"/>
  <c r="Q17" i="11"/>
  <c r="P17" i="11"/>
  <c r="O17" i="11"/>
  <c r="R16" i="11"/>
  <c r="Q16" i="11"/>
  <c r="P16" i="11"/>
  <c r="O16" i="11"/>
  <c r="R15" i="11"/>
  <c r="Q15" i="11"/>
  <c r="P15" i="11"/>
  <c r="O15" i="11"/>
  <c r="R12" i="11"/>
  <c r="Q12" i="11"/>
  <c r="P12" i="11"/>
  <c r="O12" i="11"/>
</calcChain>
</file>

<file path=xl/sharedStrings.xml><?xml version="1.0" encoding="utf-8"?>
<sst xmlns="http://schemas.openxmlformats.org/spreadsheetml/2006/main" count="14258" uniqueCount="4057">
  <si>
    <t xml:space="preserve"> Campaign_ID </t>
  </si>
  <si>
    <t>Campaign_Name</t>
  </si>
  <si>
    <t>Channel</t>
  </si>
  <si>
    <t>Impressions</t>
  </si>
  <si>
    <t xml:space="preserve">Clicks </t>
  </si>
  <si>
    <t>Spend</t>
  </si>
  <si>
    <t>Conversions</t>
  </si>
  <si>
    <t>Active</t>
  </si>
  <si>
    <t>Campaign_Tag</t>
  </si>
  <si>
    <t>CMP-00001</t>
  </si>
  <si>
    <t>Q4_Summer_CMP-00001</t>
  </si>
  <si>
    <t>TikTok</t>
  </si>
  <si>
    <t>CMP-00002</t>
  </si>
  <si>
    <t>Q1_Launch_CMP-00002</t>
  </si>
  <si>
    <t>Facebook</t>
  </si>
  <si>
    <t>CMP-00003</t>
  </si>
  <si>
    <t>Email</t>
  </si>
  <si>
    <t>No</t>
  </si>
  <si>
    <t>CMP-00004</t>
  </si>
  <si>
    <t>Q1_BlackFriday_CMP-00004</t>
  </si>
  <si>
    <t>CMP-00005</t>
  </si>
  <si>
    <t>Yes</t>
  </si>
  <si>
    <t>CMP-00006</t>
  </si>
  <si>
    <t>Q4_BlackFriday_CMP-00006</t>
  </si>
  <si>
    <t>Instagram</t>
  </si>
  <si>
    <t>CMP-00007</t>
  </si>
  <si>
    <t>Q3_Launch_CMP-00007</t>
  </si>
  <si>
    <t>CMP-00008</t>
  </si>
  <si>
    <t>Q4_Launch_CMP-00008</t>
  </si>
  <si>
    <t>CMP-00009</t>
  </si>
  <si>
    <t>Q4_BlackFriday_CMP-00009</t>
  </si>
  <si>
    <t>Google Ads</t>
  </si>
  <si>
    <t>CMP-00010</t>
  </si>
  <si>
    <t>CMP-00011</t>
  </si>
  <si>
    <t>Q4_Launch_CMP-00011</t>
  </si>
  <si>
    <t>CMP-00012</t>
  </si>
  <si>
    <t>Q4_Launch_CMP-00012</t>
  </si>
  <si>
    <t>CMP-00013</t>
  </si>
  <si>
    <t>Q2_Launch_CMP-00013</t>
  </si>
  <si>
    <t>CMP-00014</t>
  </si>
  <si>
    <t>Q1_Launch_CMP-00014</t>
  </si>
  <si>
    <t>CMP-00015</t>
  </si>
  <si>
    <t>Q2_Summer_CMP-00015</t>
  </si>
  <si>
    <t>CMP-00016</t>
  </si>
  <si>
    <t>Q2_BlackFriday_CMP-00016</t>
  </si>
  <si>
    <t>CMP-00017</t>
  </si>
  <si>
    <t>CMP-00018</t>
  </si>
  <si>
    <t>Q1_BlackFriday_CMP-00018</t>
  </si>
  <si>
    <t>CMP-00019</t>
  </si>
  <si>
    <t>CMP-00020</t>
  </si>
  <si>
    <t>Q1_Summer_CMP-00020</t>
  </si>
  <si>
    <t>CMP-00021</t>
  </si>
  <si>
    <t>Q3_BlackFriday_CMP-00021</t>
  </si>
  <si>
    <t>CMP-00022</t>
  </si>
  <si>
    <t>Q2_BlackFriday_CMP-00022</t>
  </si>
  <si>
    <t>CMP-00023</t>
  </si>
  <si>
    <t>CMP-00024</t>
  </si>
  <si>
    <t>CMP-00025</t>
  </si>
  <si>
    <t>CMP-00026</t>
  </si>
  <si>
    <t>CMP-00027</t>
  </si>
  <si>
    <t>CMP-00028</t>
  </si>
  <si>
    <t>Q4_Summer_CMP-00028</t>
  </si>
  <si>
    <t>CMP-00029</t>
  </si>
  <si>
    <t>Q4_BlackFriday_CMP-00029</t>
  </si>
  <si>
    <t>CMP-00030</t>
  </si>
  <si>
    <t>Q1_Summer_CMP-00030</t>
  </si>
  <si>
    <t>CMP-00031</t>
  </si>
  <si>
    <t>Q1_Launch_CMP-00031</t>
  </si>
  <si>
    <t>CMP-00032</t>
  </si>
  <si>
    <t>Q2_Summer_CMP-00032</t>
  </si>
  <si>
    <t>CMP-00033</t>
  </si>
  <si>
    <t>Q2_BlackFriday_CMP-00033</t>
  </si>
  <si>
    <t>CMP-00034</t>
  </si>
  <si>
    <t>Q2_Summer_CMP-00034</t>
  </si>
  <si>
    <t>CMP-00035</t>
  </si>
  <si>
    <t>Q2_Summer_CMP-00035</t>
  </si>
  <si>
    <t>CMP-00036</t>
  </si>
  <si>
    <t>Q1_Launch_CMP-00036</t>
  </si>
  <si>
    <t>CMP-00037</t>
  </si>
  <si>
    <t>CMP-00038</t>
  </si>
  <si>
    <t>CMP-00039</t>
  </si>
  <si>
    <t>Q3_Launch_CMP-00039</t>
  </si>
  <si>
    <t>CMP-00040</t>
  </si>
  <si>
    <t>Q4_BlackFriday_CMP-00040</t>
  </si>
  <si>
    <t>CMP-00041</t>
  </si>
  <si>
    <t>Q4_Summer_CMP-00041</t>
  </si>
  <si>
    <t>CMP-00042</t>
  </si>
  <si>
    <t>Q3_Summer_CMP-00042</t>
  </si>
  <si>
    <t>CMP-00043</t>
  </si>
  <si>
    <t>Q2_Summer_CMP-00043</t>
  </si>
  <si>
    <t>CMP-00044</t>
  </si>
  <si>
    <t>CMP-00045</t>
  </si>
  <si>
    <t>Q2_Summer_CMP-00045</t>
  </si>
  <si>
    <t>CMP-00046</t>
  </si>
  <si>
    <t>Q4_Launch_CMP-00046</t>
  </si>
  <si>
    <t>CMP-00047</t>
  </si>
  <si>
    <t>Q4_BlackFriday_CMP-00047</t>
  </si>
  <si>
    <t>CMP-00048</t>
  </si>
  <si>
    <t>CMP-00049</t>
  </si>
  <si>
    <t>CMP-00050</t>
  </si>
  <si>
    <t>Q3_Summer_CMP-00050</t>
  </si>
  <si>
    <t>CMP-00051</t>
  </si>
  <si>
    <t>CMP-00052</t>
  </si>
  <si>
    <t>Q2_Launch_CMP-00052</t>
  </si>
  <si>
    <t>CMP-00053</t>
  </si>
  <si>
    <t>CMP-00054</t>
  </si>
  <si>
    <t>CMP-00055</t>
  </si>
  <si>
    <t>Q1_Launch_CMP-00055</t>
  </si>
  <si>
    <t>CMP-00056</t>
  </si>
  <si>
    <t>Q4_BlackFriday_CMP-00056</t>
  </si>
  <si>
    <t>CMP-00057</t>
  </si>
  <si>
    <t>Q4_Launch_CMP-00057</t>
  </si>
  <si>
    <t>CMP-00058</t>
  </si>
  <si>
    <t>Q2_Summer_CMP-00058</t>
  </si>
  <si>
    <t>CMP-00059</t>
  </si>
  <si>
    <t>Q3_Launch_CMP-00059</t>
  </si>
  <si>
    <t>CMP-00060</t>
  </si>
  <si>
    <t>Q2_BlackFriday_CMP-00060</t>
  </si>
  <si>
    <t>CMP-00061</t>
  </si>
  <si>
    <t>Q1_Summer_CMP-00061</t>
  </si>
  <si>
    <t>CMP-00062</t>
  </si>
  <si>
    <t>Q1_BlackFriday_CMP-00062</t>
  </si>
  <si>
    <t>CMP-00063</t>
  </si>
  <si>
    <t>Q3_Summer_CMP-00063</t>
  </si>
  <si>
    <t>CMP-00064</t>
  </si>
  <si>
    <t>Q2_BlackFriday_CMP-00064</t>
  </si>
  <si>
    <t>CMP-00065</t>
  </si>
  <si>
    <t>Q2_Summer_CMP-00065</t>
  </si>
  <si>
    <t>CMP-00066</t>
  </si>
  <si>
    <t>CMP-00067</t>
  </si>
  <si>
    <t>Q1_BlackFriday_CMP-00067</t>
  </si>
  <si>
    <t>CMP-00068</t>
  </si>
  <si>
    <t>CMP-00069</t>
  </si>
  <si>
    <t>CMP-00070</t>
  </si>
  <si>
    <t>Q3_Summer_CMP-00070</t>
  </si>
  <si>
    <t>CMP-00071</t>
  </si>
  <si>
    <t>Q1_Launch_CMP-00071</t>
  </si>
  <si>
    <t>CMP-00072</t>
  </si>
  <si>
    <t>Q1_Summer_CMP-00072</t>
  </si>
  <si>
    <t>CMP-00073</t>
  </si>
  <si>
    <t>Q3_Summer_CMP-00073</t>
  </si>
  <si>
    <t>CMP-00074</t>
  </si>
  <si>
    <t>Q3_Summer_CMP-00074</t>
  </si>
  <si>
    <t>CMP-00075</t>
  </si>
  <si>
    <t>Q3_BlackFriday_CMP-00075</t>
  </si>
  <si>
    <t>CMP-00076</t>
  </si>
  <si>
    <t>CMP-00077</t>
  </si>
  <si>
    <t>Q3_Launch_CMP-00077</t>
  </si>
  <si>
    <t>CMP-00078</t>
  </si>
  <si>
    <t>CMP-00079</t>
  </si>
  <si>
    <t>Q1_BlackFriday_CMP-00079</t>
  </si>
  <si>
    <t>CMP-00080</t>
  </si>
  <si>
    <t>Q4_Summer_CMP-00080</t>
  </si>
  <si>
    <t>CMP-00081</t>
  </si>
  <si>
    <t>Q2_Summer_CMP-00081</t>
  </si>
  <si>
    <t>CMP-00082</t>
  </si>
  <si>
    <t>Q4_Launch_CMP-00082</t>
  </si>
  <si>
    <t>CMP-00083</t>
  </si>
  <si>
    <t>Q1_BlackFriday_CMP-00083</t>
  </si>
  <si>
    <t>CMP-00084</t>
  </si>
  <si>
    <t>CMP-00085</t>
  </si>
  <si>
    <t>Q4_Summer_CMP-00085</t>
  </si>
  <si>
    <t>CMP-00086</t>
  </si>
  <si>
    <t>CMP-00087</t>
  </si>
  <si>
    <t>CMP-00088</t>
  </si>
  <si>
    <t>Q2_BlackFriday_CMP-00088</t>
  </si>
  <si>
    <t>CMP-00089</t>
  </si>
  <si>
    <t>CMP-00090</t>
  </si>
  <si>
    <t>Q3_BlackFriday_CMP-00090</t>
  </si>
  <si>
    <t>CMP-00091</t>
  </si>
  <si>
    <t>Q3_Launch_CMP-00091</t>
  </si>
  <si>
    <t>CMP-00092</t>
  </si>
  <si>
    <t>Q1_Launch_CMP-00092</t>
  </si>
  <si>
    <t>CMP-00093</t>
  </si>
  <si>
    <t>CMP-00094</t>
  </si>
  <si>
    <t>CMP-00095</t>
  </si>
  <si>
    <t>Q4_Summer_CMP-00095</t>
  </si>
  <si>
    <t>CMP-00096</t>
  </si>
  <si>
    <t>CMP-00097</t>
  </si>
  <si>
    <t>Q3_Summer_CMP-00097</t>
  </si>
  <si>
    <t>CMP-00098</t>
  </si>
  <si>
    <t>Q4_Summer_CMP-00098</t>
  </si>
  <si>
    <t>CMP-00099</t>
  </si>
  <si>
    <t>Q4_BlackFriday_CMP-00099</t>
  </si>
  <si>
    <t>CMP-00100</t>
  </si>
  <si>
    <t>Q2_BlackFriday_CMP-00100</t>
  </si>
  <si>
    <t>CMP-00101</t>
  </si>
  <si>
    <t>Q2_Summer_CMP-00101</t>
  </si>
  <si>
    <t>CMP-00102</t>
  </si>
  <si>
    <t>Q3_BlackFriday_CMP-00102</t>
  </si>
  <si>
    <t>CMP-00103</t>
  </si>
  <si>
    <t>Q3_Summer_CMP-00103</t>
  </si>
  <si>
    <t>CMP-00104</t>
  </si>
  <si>
    <t>CMP-00105</t>
  </si>
  <si>
    <t>Q4_BlackFriday_CMP-00105</t>
  </si>
  <si>
    <t>CMP-00106</t>
  </si>
  <si>
    <t>Q4_BlackFriday_CMP-00106</t>
  </si>
  <si>
    <t>CMP-00107</t>
  </si>
  <si>
    <t>CMP-00108</t>
  </si>
  <si>
    <t>Q1_Launch_CMP-00108</t>
  </si>
  <si>
    <t>CMP-00109</t>
  </si>
  <si>
    <t>Q1_BlackFriday_CMP-00109</t>
  </si>
  <si>
    <t>CMP-00110</t>
  </si>
  <si>
    <t>Q3_Launch_CMP-00110</t>
  </si>
  <si>
    <t>CMP-00111</t>
  </si>
  <si>
    <t>CMP-00112</t>
  </si>
  <si>
    <t>Q4_BlackFriday_CMP-00112</t>
  </si>
  <si>
    <t>CMP-00113</t>
  </si>
  <si>
    <t>Q3_BlackFriday_CMP-00113</t>
  </si>
  <si>
    <t>CMP-00114</t>
  </si>
  <si>
    <t>Q1_Launch_CMP-00114</t>
  </si>
  <si>
    <t>CMP-00115</t>
  </si>
  <si>
    <t>Q4_BlackFriday_CMP-00115</t>
  </si>
  <si>
    <t>CMP-00116</t>
  </si>
  <si>
    <t>Q1_Summer_CMP-00116</t>
  </si>
  <si>
    <t>CMP-00117</t>
  </si>
  <si>
    <t>Q2_Summer_CMP-00117</t>
  </si>
  <si>
    <t>CMP-00118</t>
  </si>
  <si>
    <t>Q2_Summer_CMP-00118</t>
  </si>
  <si>
    <t>CMP-00119</t>
  </si>
  <si>
    <t>Q3_Launch_CMP-00119</t>
  </si>
  <si>
    <t>CMP-00120</t>
  </si>
  <si>
    <t>Q2_Launch_CMP-00120</t>
  </si>
  <si>
    <t>CMP-00121</t>
  </si>
  <si>
    <t>CMP-00122</t>
  </si>
  <si>
    <t>Q4_Launch_CMP-00122</t>
  </si>
  <si>
    <t>CMP-00123</t>
  </si>
  <si>
    <t>Q1_BlackFriday_CMP-00123</t>
  </si>
  <si>
    <t>CMP-00124</t>
  </si>
  <si>
    <t>Q4_Launch_CMP-00124</t>
  </si>
  <si>
    <t>CMP-00125</t>
  </si>
  <si>
    <t>Q4_Summer_CMP-00125</t>
  </si>
  <si>
    <t>CMP-00126</t>
  </si>
  <si>
    <t>CMP-00127</t>
  </si>
  <si>
    <t>Q1_Launch_CMP-00127</t>
  </si>
  <si>
    <t>CMP-00128</t>
  </si>
  <si>
    <t>CMP-00129</t>
  </si>
  <si>
    <t>Q4_BlackFriday_CMP-00129</t>
  </si>
  <si>
    <t>CMP-00130</t>
  </si>
  <si>
    <t>Q1_BlackFriday_CMP-00130</t>
  </si>
  <si>
    <t>CMP-00131</t>
  </si>
  <si>
    <t>Q3_Launch_CMP-00131</t>
  </si>
  <si>
    <t>CMP-00132</t>
  </si>
  <si>
    <t>Q2_Launch_CMP-00132</t>
  </si>
  <si>
    <t>CMP-00133</t>
  </si>
  <si>
    <t>Q1_BlackFriday_CMP-00133</t>
  </si>
  <si>
    <t>CMP-00134</t>
  </si>
  <si>
    <t>Q4_Summer_CMP-00134</t>
  </si>
  <si>
    <t>CMP-00135</t>
  </si>
  <si>
    <t>Q2_Launch_CMP-00135</t>
  </si>
  <si>
    <t>CMP-00136</t>
  </si>
  <si>
    <t>CMP-00137</t>
  </si>
  <si>
    <t>Q3_Summer_CMP-00137</t>
  </si>
  <si>
    <t>CMP-00138</t>
  </si>
  <si>
    <t>Q4_Summer_CMP-00138</t>
  </si>
  <si>
    <t>CMP-00139</t>
  </si>
  <si>
    <t>Q3_Launch_CMP-00139</t>
  </si>
  <si>
    <t>CMP-00140</t>
  </si>
  <si>
    <t>CMP-00141</t>
  </si>
  <si>
    <t>CMP-00142</t>
  </si>
  <si>
    <t>Q1_Launch_CMP-00142</t>
  </si>
  <si>
    <t>CMP-00143</t>
  </si>
  <si>
    <t>Q3_BlackFriday_CMP-00143</t>
  </si>
  <si>
    <t>CMP-00144</t>
  </si>
  <si>
    <t>Q2_Summer_CMP-00144</t>
  </si>
  <si>
    <t>CMP-00145</t>
  </si>
  <si>
    <t>Q2_Summer_CMP-00145</t>
  </si>
  <si>
    <t>CMP-00146</t>
  </si>
  <si>
    <t>Q3_Launch_CMP-00146</t>
  </si>
  <si>
    <t>CMP-00147</t>
  </si>
  <si>
    <t>Q1_BlackFriday_CMP-00147</t>
  </si>
  <si>
    <t>CMP-00148</t>
  </si>
  <si>
    <t>Q4_Launch_CMP-00148</t>
  </si>
  <si>
    <t>CMP-00149</t>
  </si>
  <si>
    <t>Q2_BlackFriday_CMP-00149</t>
  </si>
  <si>
    <t>CMP-00150</t>
  </si>
  <si>
    <t>Q2_Summer_CMP-00150</t>
  </si>
  <si>
    <t>CMP-00151</t>
  </si>
  <si>
    <t>Q1_Launch_CMP-00151</t>
  </si>
  <si>
    <t>CMP-00152</t>
  </si>
  <si>
    <t>Q3_BlackFriday_CMP-00152</t>
  </si>
  <si>
    <t>CMP-00153</t>
  </si>
  <si>
    <t>CMP-00154</t>
  </si>
  <si>
    <t>Q3_Launch_CMP-00154</t>
  </si>
  <si>
    <t>CMP-00155</t>
  </si>
  <si>
    <t>Q4_Launch_CMP-00155</t>
  </si>
  <si>
    <t>CMP-00156</t>
  </si>
  <si>
    <t>Q2_Launch_CMP-00156</t>
  </si>
  <si>
    <t>CMP-00157</t>
  </si>
  <si>
    <t>Q3_Launch_CMP-00157</t>
  </si>
  <si>
    <t>CMP-00158</t>
  </si>
  <si>
    <t>CMP-00159</t>
  </si>
  <si>
    <t>CMP-00160</t>
  </si>
  <si>
    <t>Q3_BlackFriday_CMP-00160</t>
  </si>
  <si>
    <t>CMP-00161</t>
  </si>
  <si>
    <t>CMP-00162</t>
  </si>
  <si>
    <t>CMP-00163</t>
  </si>
  <si>
    <t>Q4_BlackFriday_CMP-00163</t>
  </si>
  <si>
    <t>CMP-00164</t>
  </si>
  <si>
    <t>Q1_Launch_CMP-00164</t>
  </si>
  <si>
    <t>CMP-00165</t>
  </si>
  <si>
    <t>Q3_Summer_CMP-00165</t>
  </si>
  <si>
    <t>CMP-00166</t>
  </si>
  <si>
    <t>CMP-00167</t>
  </si>
  <si>
    <t>Q4_Summer_CMP-00167</t>
  </si>
  <si>
    <t>CMP-00168</t>
  </si>
  <si>
    <t>CMP-00169</t>
  </si>
  <si>
    <t>Q2_Launch_CMP-00169</t>
  </si>
  <si>
    <t>CMP-00170</t>
  </si>
  <si>
    <t>Q2_Launch_CMP-00170</t>
  </si>
  <si>
    <t>CMP-00171</t>
  </si>
  <si>
    <t>Q2_BlackFriday_CMP-00171</t>
  </si>
  <si>
    <t>CMP-00172</t>
  </si>
  <si>
    <t>CMP-00173</t>
  </si>
  <si>
    <t>Q1_BlackFriday_CMP-00173</t>
  </si>
  <si>
    <t>CMP-00174</t>
  </si>
  <si>
    <t>Q3_Summer_CMP-00174</t>
  </si>
  <si>
    <t>CMP-00175</t>
  </si>
  <si>
    <t>Q3_BlackFriday_CMP-00175</t>
  </si>
  <si>
    <t>CMP-00176</t>
  </si>
  <si>
    <t>Q1_Launch_CMP-00176</t>
  </si>
  <si>
    <t>CMP-00177</t>
  </si>
  <si>
    <t>Q4_Launch_CMP-00177</t>
  </si>
  <si>
    <t>CMP-00178</t>
  </si>
  <si>
    <t>Q4_BlackFriday_CMP-00178</t>
  </si>
  <si>
    <t>CMP-00179</t>
  </si>
  <si>
    <t>Q3_Launch_CMP-00179</t>
  </si>
  <si>
    <t>CMP-00180</t>
  </si>
  <si>
    <t>Q3_Summer_CMP-00180</t>
  </si>
  <si>
    <t>CMP-00181</t>
  </si>
  <si>
    <t>Q2_Launch_CMP-00181</t>
  </si>
  <si>
    <t>CMP-00182</t>
  </si>
  <si>
    <t>Q4_BlackFriday_CMP-00182</t>
  </si>
  <si>
    <t>CMP-00183</t>
  </si>
  <si>
    <t>CMP-00184</t>
  </si>
  <si>
    <t>Q4_Launch_CMP-00184</t>
  </si>
  <si>
    <t>CMP-00185</t>
  </si>
  <si>
    <t>Q3_Launch_CMP-00185</t>
  </si>
  <si>
    <t>CMP-00186</t>
  </si>
  <si>
    <t>Q3_Summer_CMP-00186</t>
  </si>
  <si>
    <t>CMP-00187</t>
  </si>
  <si>
    <t>Q1_Summer_CMP-00187</t>
  </si>
  <si>
    <t>CMP-00188</t>
  </si>
  <si>
    <t>Q1_Summer_CMP-00188</t>
  </si>
  <si>
    <t>CMP-00189</t>
  </si>
  <si>
    <t>Q4_Summer_CMP-00189</t>
  </si>
  <si>
    <t>CMP-00190</t>
  </si>
  <si>
    <t>Q4_Summer_CMP-00190</t>
  </si>
  <si>
    <t>CMP-00191</t>
  </si>
  <si>
    <t>Q4_Summer_CMP-00191</t>
  </si>
  <si>
    <t>CMP-00192</t>
  </si>
  <si>
    <t>Q3_Launch_CMP-00192</t>
  </si>
  <si>
    <t>CMP-00193</t>
  </si>
  <si>
    <t>CMP-00194</t>
  </si>
  <si>
    <t>Q4_Launch_CMP-00194</t>
  </si>
  <si>
    <t>CMP-00195</t>
  </si>
  <si>
    <t>CMP-00196</t>
  </si>
  <si>
    <t>Q4_Summer_CMP-00196</t>
  </si>
  <si>
    <t>CMP-00197</t>
  </si>
  <si>
    <t>Q3_Launch_CMP-00197</t>
  </si>
  <si>
    <t>CMP-00198</t>
  </si>
  <si>
    <t>Q4_Launch_CMP-00198</t>
  </si>
  <si>
    <t>CMP-00199</t>
  </si>
  <si>
    <t>Q1_BlackFriday_CMP-00199</t>
  </si>
  <si>
    <t>CMP-00200</t>
  </si>
  <si>
    <t>Q2_BlackFriday_CMP-00200</t>
  </si>
  <si>
    <t>CMP-00201</t>
  </si>
  <si>
    <t>Q3_BlackFriday_CMP-00201</t>
  </si>
  <si>
    <t>CMP-00202</t>
  </si>
  <si>
    <t>Q3_Launch_CMP-00202</t>
  </si>
  <si>
    <t>CMP-00203</t>
  </si>
  <si>
    <t>Q2_Summer_CMP-00203</t>
  </si>
  <si>
    <t>CMP-00204</t>
  </si>
  <si>
    <t>Q4_Summer_CMP-00204</t>
  </si>
  <si>
    <t>CMP-00205</t>
  </si>
  <si>
    <t>Q1_Summer_CMP-00205</t>
  </si>
  <si>
    <t>CMP-00206</t>
  </si>
  <si>
    <t>Q2_BlackFriday_CMP-00206</t>
  </si>
  <si>
    <t>CMP-00207</t>
  </si>
  <si>
    <t>Q3_BlackFriday_CMP-00207</t>
  </si>
  <si>
    <t>CMP-00208</t>
  </si>
  <si>
    <t>Q2_Launch_CMP-00208</t>
  </si>
  <si>
    <t>CMP-00209</t>
  </si>
  <si>
    <t>Q2_Launch_CMP-00209</t>
  </si>
  <si>
    <t>CMP-00210</t>
  </si>
  <si>
    <t>Q2_Launch_CMP-00210</t>
  </si>
  <si>
    <t>CMP-00211</t>
  </si>
  <si>
    <t>Q1_Launch_CMP-00211</t>
  </si>
  <si>
    <t>CMP-00212</t>
  </si>
  <si>
    <t>Q2_Launch_CMP-00212</t>
  </si>
  <si>
    <t>CMP-00213</t>
  </si>
  <si>
    <t>Q2_Launch_CMP-00213</t>
  </si>
  <si>
    <t>CMP-00214</t>
  </si>
  <si>
    <t>CMP-00215</t>
  </si>
  <si>
    <t>CMP-00216</t>
  </si>
  <si>
    <t>CMP-00217</t>
  </si>
  <si>
    <t>Q1_Launch_CMP-00217</t>
  </si>
  <si>
    <t>CMP-00218</t>
  </si>
  <si>
    <t>CMP-00219</t>
  </si>
  <si>
    <t>CMP-00220</t>
  </si>
  <si>
    <t>Q1_Summer_CMP-00220</t>
  </si>
  <si>
    <t>CMP-00221</t>
  </si>
  <si>
    <t>Q1_Launch_CMP-00221</t>
  </si>
  <si>
    <t>CMP-00222</t>
  </si>
  <si>
    <t>CMP-00223</t>
  </si>
  <si>
    <t>Q1_Summer_CMP-00223</t>
  </si>
  <si>
    <t>CMP-00224</t>
  </si>
  <si>
    <t>Q4_Summer_CMP-00224</t>
  </si>
  <si>
    <t>CMP-00225</t>
  </si>
  <si>
    <t>Q2_Launch_CMP-00225</t>
  </si>
  <si>
    <t>CMP-00226</t>
  </si>
  <si>
    <t>CMP-00227</t>
  </si>
  <si>
    <t>CMP-00228</t>
  </si>
  <si>
    <t>CMP-00229</t>
  </si>
  <si>
    <t>Q2_Launch_CMP-00229</t>
  </si>
  <si>
    <t>CMP-00230</t>
  </si>
  <si>
    <t>Q3_Summer_CMP-00230</t>
  </si>
  <si>
    <t>CMP-00231</t>
  </si>
  <si>
    <t>Q3_Summer_CMP-00231</t>
  </si>
  <si>
    <t>CMP-00232</t>
  </si>
  <si>
    <t>Q2_Summer_CMP-00232</t>
  </si>
  <si>
    <t>CMP-00233</t>
  </si>
  <si>
    <t>Q1_Summer_CMP-00233</t>
  </si>
  <si>
    <t>CMP-00234</t>
  </si>
  <si>
    <t>Q4_Summer_CMP-00234</t>
  </si>
  <si>
    <t>CMP-00235</t>
  </si>
  <si>
    <t>CMP-00236</t>
  </si>
  <si>
    <t>Q3_BlackFriday_CMP-00236</t>
  </si>
  <si>
    <t>CMP-00237</t>
  </si>
  <si>
    <t>Q2_Summer_CMP-00237</t>
  </si>
  <si>
    <t>CMP-00238</t>
  </si>
  <si>
    <t>Q1_Launch_CMP-00238</t>
  </si>
  <si>
    <t>CMP-00239</t>
  </si>
  <si>
    <t>CMP-00240</t>
  </si>
  <si>
    <t>Q4_Summer_CMP-00240</t>
  </si>
  <si>
    <t>CMP-00241</t>
  </si>
  <si>
    <t>Q4_Summer_CMP-00241</t>
  </si>
  <si>
    <t>CMP-00242</t>
  </si>
  <si>
    <t>Q4_Summer_CMP-00242</t>
  </si>
  <si>
    <t>CMP-00243</t>
  </si>
  <si>
    <t>Q4_Summer_CMP-00243</t>
  </si>
  <si>
    <t>CMP-00244</t>
  </si>
  <si>
    <t>Q2_Launch_CMP-00244</t>
  </si>
  <si>
    <t>CMP-00245</t>
  </si>
  <si>
    <t>Q4_BlackFriday_CMP-00245</t>
  </si>
  <si>
    <t>CMP-00246</t>
  </si>
  <si>
    <t>CMP-00247</t>
  </si>
  <si>
    <t>Q2_BlackFriday_CMP-00247</t>
  </si>
  <si>
    <t>CMP-00248</t>
  </si>
  <si>
    <t>CMP-00249</t>
  </si>
  <si>
    <t>Q1_Summer_CMP-00249</t>
  </si>
  <si>
    <t>CMP-00250</t>
  </si>
  <si>
    <t>Q3_BlackFriday_CMP-00250</t>
  </si>
  <si>
    <t>CMP-00251</t>
  </si>
  <si>
    <t>Q4_Summer_CMP-00251</t>
  </si>
  <si>
    <t>CMP-00252</t>
  </si>
  <si>
    <t>Q2_BlackFriday_CMP-00252</t>
  </si>
  <si>
    <t>CMP-00253</t>
  </si>
  <si>
    <t>CMP-00254</t>
  </si>
  <si>
    <t>Q1_Summer_CMP-00254</t>
  </si>
  <si>
    <t>CMP-00255</t>
  </si>
  <si>
    <t>CMP-00256</t>
  </si>
  <si>
    <t>Q3_Summer_CMP-00256</t>
  </si>
  <si>
    <t>CMP-00257</t>
  </si>
  <si>
    <t>Q2_Summer_CMP-00257</t>
  </si>
  <si>
    <t>CMP-00258</t>
  </si>
  <si>
    <t>CMP-00259</t>
  </si>
  <si>
    <t>Q2_Summer_CMP-00259</t>
  </si>
  <si>
    <t>CMP-00260</t>
  </si>
  <si>
    <t>Q2_BlackFriday_CMP-00260</t>
  </si>
  <si>
    <t>CMP-00261</t>
  </si>
  <si>
    <t>Q3_Launch_CMP-00261</t>
  </si>
  <si>
    <t>CMP-00262</t>
  </si>
  <si>
    <t>Q2_Summer_CMP-00262</t>
  </si>
  <si>
    <t>CMP-00263</t>
  </si>
  <si>
    <t>Q3_BlackFriday_CMP-00263</t>
  </si>
  <si>
    <t>CMP-00264</t>
  </si>
  <si>
    <t>Q4_Launch_CMP-00264</t>
  </si>
  <si>
    <t>CMP-00265</t>
  </si>
  <si>
    <t>Q4_Launch_CMP-00265</t>
  </si>
  <si>
    <t>CMP-00266</t>
  </si>
  <si>
    <t>Q2_BlackFriday_CMP-00266</t>
  </si>
  <si>
    <t>CMP-00267</t>
  </si>
  <si>
    <t>CMP-00268</t>
  </si>
  <si>
    <t>Q3_Launch_CMP-00268</t>
  </si>
  <si>
    <t>CMP-00269</t>
  </si>
  <si>
    <t>Q1_BlackFriday_CMP-00269</t>
  </si>
  <si>
    <t>CMP-00270</t>
  </si>
  <si>
    <t>CMP-00271</t>
  </si>
  <si>
    <t>Q4_Launch_CMP-00271</t>
  </si>
  <si>
    <t>CMP-00272</t>
  </si>
  <si>
    <t>Q4_Launch_CMP-00272</t>
  </si>
  <si>
    <t>CMP-00273</t>
  </si>
  <si>
    <t>Q3_BlackFriday_CMP-00273</t>
  </si>
  <si>
    <t>CMP-00274</t>
  </si>
  <si>
    <t>Q1_Launch_CMP-00274</t>
  </si>
  <si>
    <t>CMP-00275</t>
  </si>
  <si>
    <t>CMP-00276</t>
  </si>
  <si>
    <t>Q3_BlackFriday_CMP-00276</t>
  </si>
  <si>
    <t>CMP-00277</t>
  </si>
  <si>
    <t>Q1_Launch_CMP-00277</t>
  </si>
  <si>
    <t>CMP-00278</t>
  </si>
  <si>
    <t>Q2_Summer_CMP-00278</t>
  </si>
  <si>
    <t>CMP-00279</t>
  </si>
  <si>
    <t>Q3_Launch_CMP-00279</t>
  </si>
  <si>
    <t>CMP-00280</t>
  </si>
  <si>
    <t>Q3_BlackFriday_CMP-00280</t>
  </si>
  <si>
    <t>CMP-00281</t>
  </si>
  <si>
    <t>Q4_Summer_CMP-00281</t>
  </si>
  <si>
    <t>CMP-00282</t>
  </si>
  <si>
    <t>CMP-00283</t>
  </si>
  <si>
    <t>Q3_Launch_CMP-00283</t>
  </si>
  <si>
    <t>CMP-00284</t>
  </si>
  <si>
    <t>Q2_BlackFriday_CMP-00284</t>
  </si>
  <si>
    <t>CMP-00285</t>
  </si>
  <si>
    <t>Q2_Summer_CMP-00285</t>
  </si>
  <si>
    <t>CMP-00286</t>
  </si>
  <si>
    <t>Q2_BlackFriday_CMP-00286</t>
  </si>
  <si>
    <t>CMP-00287</t>
  </si>
  <si>
    <t>CMP-00288</t>
  </si>
  <si>
    <t>Q3_Summer_CMP-00288</t>
  </si>
  <si>
    <t>CMP-00289</t>
  </si>
  <si>
    <t>Q1_BlackFriday_CMP-00289</t>
  </si>
  <si>
    <t>CMP-00290</t>
  </si>
  <si>
    <t>Q1_BlackFriday_CMP-00290</t>
  </si>
  <si>
    <t>CMP-00291</t>
  </si>
  <si>
    <t>Q2_Launch_CMP-00291</t>
  </si>
  <si>
    <t>CMP-00292</t>
  </si>
  <si>
    <t>CMP-00293</t>
  </si>
  <si>
    <t>Q1_Launch_CMP-00293</t>
  </si>
  <si>
    <t>CMP-00294</t>
  </si>
  <si>
    <t>CMP-00295</t>
  </si>
  <si>
    <t>Q2_Summer_CMP-00295</t>
  </si>
  <si>
    <t>CMP-00296</t>
  </si>
  <si>
    <t>Q3_Summer_CMP-00296</t>
  </si>
  <si>
    <t>CMP-00297</t>
  </si>
  <si>
    <t>Q4_Launch_CMP-00297</t>
  </si>
  <si>
    <t>CMP-00298</t>
  </si>
  <si>
    <t>Q3_BlackFriday_CMP-00298</t>
  </si>
  <si>
    <t>CMP-00299</t>
  </si>
  <si>
    <t>CMP-00300</t>
  </si>
  <si>
    <t>Q1_Launch_CMP-00300</t>
  </si>
  <si>
    <t>CMP-00301</t>
  </si>
  <si>
    <t>Q4_Summer_CMP-00301</t>
  </si>
  <si>
    <t>CMP-00302</t>
  </si>
  <si>
    <t>Q3_Launch_CMP-00302</t>
  </si>
  <si>
    <t>CMP-00303</t>
  </si>
  <si>
    <t>Q1_Summer_CMP-00303</t>
  </si>
  <si>
    <t>CMP-00304</t>
  </si>
  <si>
    <t>CMP-00305</t>
  </si>
  <si>
    <t>Q3_Launch_CMP-00305</t>
  </si>
  <si>
    <t>CMP-00306</t>
  </si>
  <si>
    <t>Q2_Summer_CMP-00306</t>
  </si>
  <si>
    <t>CMP-00307</t>
  </si>
  <si>
    <t>Q3_Summer_CMP-00307</t>
  </si>
  <si>
    <t>CMP-00308</t>
  </si>
  <si>
    <t>Q1_Launch_CMP-00308</t>
  </si>
  <si>
    <t>CMP-00309</t>
  </si>
  <si>
    <t>CMP-00310</t>
  </si>
  <si>
    <t>Q4_Summer_CMP-00310</t>
  </si>
  <si>
    <t>CMP-00311</t>
  </si>
  <si>
    <t>Q1_BlackFriday_CMP-00311</t>
  </si>
  <si>
    <t>CMP-00312</t>
  </si>
  <si>
    <t>Q1_Summer_CMP-00312</t>
  </si>
  <si>
    <t>CMP-00313</t>
  </si>
  <si>
    <t>Q4_Summer_CMP-00313</t>
  </si>
  <si>
    <t>CMP-00314</t>
  </si>
  <si>
    <t>Q4_BlackFriday_CMP-00314</t>
  </si>
  <si>
    <t>CMP-00315</t>
  </si>
  <si>
    <t>Q3_BlackFriday_CMP-00315</t>
  </si>
  <si>
    <t>CMP-00316</t>
  </si>
  <si>
    <t>Q3_Launch_CMP-00316</t>
  </si>
  <si>
    <t>CMP-00317</t>
  </si>
  <si>
    <t>Q1_BlackFriday_CMP-00317</t>
  </si>
  <si>
    <t>CMP-00318</t>
  </si>
  <si>
    <t>Q4_Summer_CMP-00318</t>
  </si>
  <si>
    <t>CMP-00319</t>
  </si>
  <si>
    <t>Q4_BlackFriday_CMP-00319</t>
  </si>
  <si>
    <t>CMP-00320</t>
  </si>
  <si>
    <t>Q4_Launch_CMP-00320</t>
  </si>
  <si>
    <t>CMP-00321</t>
  </si>
  <si>
    <t>Q1_BlackFriday_CMP-00321</t>
  </si>
  <si>
    <t>CMP-00322</t>
  </si>
  <si>
    <t>Q1_Summer_CMP-00322</t>
  </si>
  <si>
    <t>CMP-00323</t>
  </si>
  <si>
    <t>Q2_Summer_CMP-00323</t>
  </si>
  <si>
    <t>CMP-00324</t>
  </si>
  <si>
    <t>CMP-00325</t>
  </si>
  <si>
    <t>Q1_BlackFriday_CMP-00325</t>
  </si>
  <si>
    <t>CMP-00326</t>
  </si>
  <si>
    <t>CMP-00327</t>
  </si>
  <si>
    <t>Q2_Summer_CMP-00327</t>
  </si>
  <si>
    <t>CMP-00328</t>
  </si>
  <si>
    <t>Q2_BlackFriday_CMP-00328</t>
  </si>
  <si>
    <t>CMP-00329</t>
  </si>
  <si>
    <t>Q1_Summer_CMP-00329</t>
  </si>
  <si>
    <t>CMP-00330</t>
  </si>
  <si>
    <t>Q3_Summer_CMP-00330</t>
  </si>
  <si>
    <t>CMP-00331</t>
  </si>
  <si>
    <t>Q1_Summer_CMP-00331</t>
  </si>
  <si>
    <t>CMP-00332</t>
  </si>
  <si>
    <t>Q3_Summer_CMP-00332</t>
  </si>
  <si>
    <t>CMP-00333</t>
  </si>
  <si>
    <t>Q3_BlackFriday_CMP-00333</t>
  </si>
  <si>
    <t>CMP-00334</t>
  </si>
  <si>
    <t>Q4_BlackFriday_CMP-00334</t>
  </si>
  <si>
    <t>CMP-00335</t>
  </si>
  <si>
    <t>CMP-00336</t>
  </si>
  <si>
    <t>Q4_Summer_CMP-00336</t>
  </si>
  <si>
    <t>CMP-00337</t>
  </si>
  <si>
    <t>Q2_BlackFriday_CMP-00337</t>
  </si>
  <si>
    <t>CMP-00338</t>
  </si>
  <si>
    <t>Q2_Launch_CMP-00338</t>
  </si>
  <si>
    <t>CMP-00339</t>
  </si>
  <si>
    <t>Q4_Summer_CMP-00339</t>
  </si>
  <si>
    <t>CMP-00340</t>
  </si>
  <si>
    <t>Q2_Launch_CMP-00340</t>
  </si>
  <si>
    <t>CMP-00341</t>
  </si>
  <si>
    <t>Q4_BlackFriday_CMP-00341</t>
  </si>
  <si>
    <t>CMP-00342</t>
  </si>
  <si>
    <t>Q3_Launch_CMP-00342</t>
  </si>
  <si>
    <t>CMP-00343</t>
  </si>
  <si>
    <t>Q2_Summer_CMP-00343</t>
  </si>
  <si>
    <t>CMP-00344</t>
  </si>
  <si>
    <t>Q3_BlackFriday_CMP-00344</t>
  </si>
  <si>
    <t>CMP-00345</t>
  </si>
  <si>
    <t>Q1_BlackFriday_CMP-00345</t>
  </si>
  <si>
    <t>CMP-00346</t>
  </si>
  <si>
    <t>CMP-00347</t>
  </si>
  <si>
    <t>Q1_Summer_CMP-00347</t>
  </si>
  <si>
    <t>CMP-00348</t>
  </si>
  <si>
    <t>Q4_Summer_CMP-00348</t>
  </si>
  <si>
    <t>CMP-00349</t>
  </si>
  <si>
    <t>Q2_Summer_CMP-00349</t>
  </si>
  <si>
    <t>CMP-00350</t>
  </si>
  <si>
    <t>Q2_Launch_CMP-00350</t>
  </si>
  <si>
    <t>CMP-00351</t>
  </si>
  <si>
    <t>CMP-00352</t>
  </si>
  <si>
    <t>Q4_Summer_CMP-00352</t>
  </si>
  <si>
    <t>CMP-00353</t>
  </si>
  <si>
    <t>CMP-00354</t>
  </si>
  <si>
    <t>Q3_BlackFriday_CMP-00354</t>
  </si>
  <si>
    <t>CMP-00355</t>
  </si>
  <si>
    <t>CMP-00356</t>
  </si>
  <si>
    <t>CMP-00357</t>
  </si>
  <si>
    <t>Q2_BlackFriday_CMP-00357</t>
  </si>
  <si>
    <t>CMP-00358</t>
  </si>
  <si>
    <t>Q4_Launch_CMP-00358</t>
  </si>
  <si>
    <t>CMP-00359</t>
  </si>
  <si>
    <t>Q2_Launch_CMP-00359</t>
  </si>
  <si>
    <t>CMP-00360</t>
  </si>
  <si>
    <t>Q2_Summer_CMP-00360</t>
  </si>
  <si>
    <t>CMP-00361</t>
  </si>
  <si>
    <t>Q3_Launch_CMP-00361</t>
  </si>
  <si>
    <t>CMP-00362</t>
  </si>
  <si>
    <t>Q2_BlackFriday_CMP-00362</t>
  </si>
  <si>
    <t>CMP-00363</t>
  </si>
  <si>
    <t>CMP-00364</t>
  </si>
  <si>
    <t>Q4_Summer_CMP-00364</t>
  </si>
  <si>
    <t>CMP-00365</t>
  </si>
  <si>
    <t>CMP-00366</t>
  </si>
  <si>
    <t>Q1_Launch_CMP-00366</t>
  </si>
  <si>
    <t>CMP-00367</t>
  </si>
  <si>
    <t>Q2_BlackFriday_CMP-00367</t>
  </si>
  <si>
    <t>CMP-00368</t>
  </si>
  <si>
    <t>Q1_Launch_CMP-00368</t>
  </si>
  <si>
    <t>CMP-00369</t>
  </si>
  <si>
    <t>Q4_BlackFriday_CMP-00369</t>
  </si>
  <si>
    <t>CMP-00370</t>
  </si>
  <si>
    <t>Q3_Summer_CMP-00370</t>
  </si>
  <si>
    <t>CMP-00371</t>
  </si>
  <si>
    <t>Q1_BlackFriday_CMP-00371</t>
  </si>
  <si>
    <t>CMP-00372</t>
  </si>
  <si>
    <t>CMP-00373</t>
  </si>
  <si>
    <t>Q2_Launch_CMP-00373</t>
  </si>
  <si>
    <t>CMP-00374</t>
  </si>
  <si>
    <t>Q4_BlackFriday_CMP-00374</t>
  </si>
  <si>
    <t>CMP-00375</t>
  </si>
  <si>
    <t>Q1_Launch_CMP-00375</t>
  </si>
  <si>
    <t>CMP-00376</t>
  </si>
  <si>
    <t>Q3_BlackFriday_CMP-00376</t>
  </si>
  <si>
    <t>CMP-00377</t>
  </si>
  <si>
    <t>Q1_Summer_CMP-00377</t>
  </si>
  <si>
    <t>CMP-00378</t>
  </si>
  <si>
    <t>Q4_Launch_CMP-00378</t>
  </si>
  <si>
    <t>CMP-00379</t>
  </si>
  <si>
    <t>Q2_BlackFriday_CMP-00379</t>
  </si>
  <si>
    <t>CMP-00380</t>
  </si>
  <si>
    <t>Q2_Launch_CMP-00380</t>
  </si>
  <si>
    <t>CMP-00381</t>
  </si>
  <si>
    <t>Q2_BlackFriday_CMP-00381</t>
  </si>
  <si>
    <t>CMP-00382</t>
  </si>
  <si>
    <t>Q4_Launch_CMP-00382</t>
  </si>
  <si>
    <t>CMP-00383</t>
  </si>
  <si>
    <t>Q1_Summer_CMP-00383</t>
  </si>
  <si>
    <t>CMP-00384</t>
  </si>
  <si>
    <t>Q2_Summer_CMP-00384</t>
  </si>
  <si>
    <t>CMP-00385</t>
  </si>
  <si>
    <t>Q2_Summer_CMP-00385</t>
  </si>
  <si>
    <t>CMP-00386</t>
  </si>
  <si>
    <t>Q1_Summer_CMP-00386</t>
  </si>
  <si>
    <t>CMP-00387</t>
  </si>
  <si>
    <t>CMP-00388</t>
  </si>
  <si>
    <t>Q1_Summer_CMP-00388</t>
  </si>
  <si>
    <t>CMP-00389</t>
  </si>
  <si>
    <t>CMP-00390</t>
  </si>
  <si>
    <t>Q4_Launch_CMP-00390</t>
  </si>
  <si>
    <t>CMP-00391</t>
  </si>
  <si>
    <t>Q4_Summer_CMP-00391</t>
  </si>
  <si>
    <t>CMP-00392</t>
  </si>
  <si>
    <t>Q2_BlackFriday_CMP-00392</t>
  </si>
  <si>
    <t>CMP-00393</t>
  </si>
  <si>
    <t>CMP-00394</t>
  </si>
  <si>
    <t>CMP-00395</t>
  </si>
  <si>
    <t>Q3_BlackFriday_CMP-00395</t>
  </si>
  <si>
    <t>CMP-00396</t>
  </si>
  <si>
    <t>Q3_Summer_CMP-00396</t>
  </si>
  <si>
    <t>CMP-00397</t>
  </si>
  <si>
    <t>CMP-00398</t>
  </si>
  <si>
    <t>Q4_BlackFriday_CMP-00398</t>
  </si>
  <si>
    <t>CMP-00399</t>
  </si>
  <si>
    <t>CMP-00400</t>
  </si>
  <si>
    <t>Q3_Summer_CMP-00400</t>
  </si>
  <si>
    <t>CMP-00401</t>
  </si>
  <si>
    <t>CMP-00402</t>
  </si>
  <si>
    <t>Q3_Launch_CMP-00402</t>
  </si>
  <si>
    <t>CMP-00403</t>
  </si>
  <si>
    <t>Q2_Summer_CMP-00403</t>
  </si>
  <si>
    <t>CMP-00404</t>
  </si>
  <si>
    <t>Q4_Launch_CMP-00404</t>
  </si>
  <si>
    <t>CMP-00405</t>
  </si>
  <si>
    <t>Q3_Summer_CMP-00405</t>
  </si>
  <si>
    <t>CMP-00406</t>
  </si>
  <si>
    <t>Q2_BlackFriday_CMP-00406</t>
  </si>
  <si>
    <t>CMP-00407</t>
  </si>
  <si>
    <t>CMP-00408</t>
  </si>
  <si>
    <t>Q1_BlackFriday_CMP-00408</t>
  </si>
  <si>
    <t>CMP-00409</t>
  </si>
  <si>
    <t>Q4_Summer_CMP-00409</t>
  </si>
  <si>
    <t>CMP-00410</t>
  </si>
  <si>
    <t>CMP-00411</t>
  </si>
  <si>
    <t>Q4_Summer_CMP-00411</t>
  </si>
  <si>
    <t>CMP-00412</t>
  </si>
  <si>
    <t>Q1_Summer_CMP-00412</t>
  </si>
  <si>
    <t>CMP-00413</t>
  </si>
  <si>
    <t>CMP-00414</t>
  </si>
  <si>
    <t>CMP-00415</t>
  </si>
  <si>
    <t>Q1_Summer_CMP-00415</t>
  </si>
  <si>
    <t>CMP-00416</t>
  </si>
  <si>
    <t>Q3_BlackFriday_CMP-00416</t>
  </si>
  <si>
    <t>CMP-00417</t>
  </si>
  <si>
    <t>Q4_Launch_CMP-00417</t>
  </si>
  <si>
    <t>CMP-00418</t>
  </si>
  <si>
    <t>Q3_BlackFriday_CMP-00418</t>
  </si>
  <si>
    <t>CMP-00419</t>
  </si>
  <si>
    <t>Q4_BlackFriday_CMP-00419</t>
  </si>
  <si>
    <t>CMP-00420</t>
  </si>
  <si>
    <t>Q3_Launch_CMP-00420</t>
  </si>
  <si>
    <t>CMP-00421</t>
  </si>
  <si>
    <t>Q1_BlackFriday_CMP-00421</t>
  </si>
  <si>
    <t>CMP-00422</t>
  </si>
  <si>
    <t>Q3_BlackFriday_CMP-00422</t>
  </si>
  <si>
    <t>CMP-00423</t>
  </si>
  <si>
    <t>Q4_Summer_CMP-00423</t>
  </si>
  <si>
    <t>CMP-00424</t>
  </si>
  <si>
    <t>Q3_Summer_CMP-00424</t>
  </si>
  <si>
    <t>CMP-00425</t>
  </si>
  <si>
    <t>Q2_Launch_CMP-00425</t>
  </si>
  <si>
    <t>CMP-00426</t>
  </si>
  <si>
    <t>CMP-00427</t>
  </si>
  <si>
    <t>Q3_Launch_CMP-00427</t>
  </si>
  <si>
    <t>CMP-00428</t>
  </si>
  <si>
    <t>CMP-00429</t>
  </si>
  <si>
    <t>Q4_BlackFriday_CMP-00429</t>
  </si>
  <si>
    <t>CMP-00430</t>
  </si>
  <si>
    <t>Q2_Summer_CMP-00430</t>
  </si>
  <si>
    <t>CMP-00431</t>
  </si>
  <si>
    <t>Q2_Launch_CMP-00431</t>
  </si>
  <si>
    <t>CMP-00432</t>
  </si>
  <si>
    <t>Q1_BlackFriday_CMP-00432</t>
  </si>
  <si>
    <t>CMP-00433</t>
  </si>
  <si>
    <t>CMP-00434</t>
  </si>
  <si>
    <t>Q3_BlackFriday_CMP-00434</t>
  </si>
  <si>
    <t>CMP-00435</t>
  </si>
  <si>
    <t>Q3_Launch_CMP-00435</t>
  </si>
  <si>
    <t>CMP-00436</t>
  </si>
  <si>
    <t>Q4_BlackFriday_CMP-00436</t>
  </si>
  <si>
    <t>CMP-00437</t>
  </si>
  <si>
    <t>CMP-00438</t>
  </si>
  <si>
    <t>Q1_BlackFriday_CMP-00438</t>
  </si>
  <si>
    <t>CMP-00439</t>
  </si>
  <si>
    <t>Q1_Launch_CMP-00439</t>
  </si>
  <si>
    <t>CMP-00440</t>
  </si>
  <si>
    <t>Q4_BlackFriday_CMP-00440</t>
  </si>
  <si>
    <t>CMP-00441</t>
  </si>
  <si>
    <t>Q3_Summer_CMP-00441</t>
  </si>
  <si>
    <t>CMP-00442</t>
  </si>
  <si>
    <t>Q1_Launch_CMP-00442</t>
  </si>
  <si>
    <t>CMP-00443</t>
  </si>
  <si>
    <t>Q2_Launch_CMP-00443</t>
  </si>
  <si>
    <t>CMP-00444</t>
  </si>
  <si>
    <t>Q2_BlackFriday_CMP-00444</t>
  </si>
  <si>
    <t>CMP-00445</t>
  </si>
  <si>
    <t>Q2_BlackFriday_CMP-00445</t>
  </si>
  <si>
    <t>CMP-00446</t>
  </si>
  <si>
    <t>Q4_BlackFriday_CMP-00446</t>
  </si>
  <si>
    <t>CMP-00447</t>
  </si>
  <si>
    <t>Q1_BlackFriday_CMP-00447</t>
  </si>
  <si>
    <t>CMP-00448</t>
  </si>
  <si>
    <t>Q1_Launch_CMP-00448</t>
  </si>
  <si>
    <t>CMP-00449</t>
  </si>
  <si>
    <t>CMP-00450</t>
  </si>
  <si>
    <t>Q3_Summer_CMP-00450</t>
  </si>
  <si>
    <t>CMP-00451</t>
  </si>
  <si>
    <t>Q1_Launch_CMP-00451</t>
  </si>
  <si>
    <t>CMP-00452</t>
  </si>
  <si>
    <t>Q3_Summer_CMP-00452</t>
  </si>
  <si>
    <t>CMP-00453</t>
  </si>
  <si>
    <t>Q4_BlackFriday_CMP-00453</t>
  </si>
  <si>
    <t>CMP-00454</t>
  </si>
  <si>
    <t>Q1_Summer_CMP-00454</t>
  </si>
  <si>
    <t>CMP-00455</t>
  </si>
  <si>
    <t>CMP-00456</t>
  </si>
  <si>
    <t>Q3_BlackFriday_CMP-00456</t>
  </si>
  <si>
    <t>CMP-00457</t>
  </si>
  <si>
    <t>Q2_Summer_CMP-00457</t>
  </si>
  <si>
    <t>CMP-00458</t>
  </si>
  <si>
    <t>CMP-00459</t>
  </si>
  <si>
    <t>Q2_Launch_CMP-00459</t>
  </si>
  <si>
    <t>CMP-00460</t>
  </si>
  <si>
    <t>Q1_BlackFriday_CMP-00460</t>
  </si>
  <si>
    <t>CMP-00461</t>
  </si>
  <si>
    <t>Q2_Summer_CMP-00461</t>
  </si>
  <si>
    <t>CMP-00462</t>
  </si>
  <si>
    <t>Q4_BlackFriday_CMP-00462</t>
  </si>
  <si>
    <t>CMP-00463</t>
  </si>
  <si>
    <t>Q2_Launch_CMP-00463</t>
  </si>
  <si>
    <t>CMP-00464</t>
  </si>
  <si>
    <t>Q4_Launch_CMP-00464</t>
  </si>
  <si>
    <t>CMP-00465</t>
  </si>
  <si>
    <t>Q1_BlackFriday_CMP-00465</t>
  </si>
  <si>
    <t>CMP-00466</t>
  </si>
  <si>
    <t>Q3_BlackFriday_CMP-00466</t>
  </si>
  <si>
    <t>CMP-00467</t>
  </si>
  <si>
    <t>Q2_Launch_CMP-00467</t>
  </si>
  <si>
    <t>CMP-00468</t>
  </si>
  <si>
    <t>CMP-00469</t>
  </si>
  <si>
    <t>Q2_BlackFriday_CMP-00469</t>
  </si>
  <si>
    <t>CMP-00470</t>
  </si>
  <si>
    <t>Q2_Launch_CMP-00470</t>
  </si>
  <si>
    <t>CMP-00471</t>
  </si>
  <si>
    <t>Q2_BlackFriday_CMP-00471</t>
  </si>
  <si>
    <t>CMP-00472</t>
  </si>
  <si>
    <t>Q3_Summer_CMP-00472</t>
  </si>
  <si>
    <t>CMP-00473</t>
  </si>
  <si>
    <t>Q3_Launch_CMP-00473</t>
  </si>
  <si>
    <t>CMP-00474</t>
  </si>
  <si>
    <t>Q2_Launch_CMP-00474</t>
  </si>
  <si>
    <t>CMP-00475</t>
  </si>
  <si>
    <t>Q4_Summer_CMP-00475</t>
  </si>
  <si>
    <t>CMP-00476</t>
  </si>
  <si>
    <t>Q2_Launch_CMP-00476</t>
  </si>
  <si>
    <t>CMP-00477</t>
  </si>
  <si>
    <t>Q3_BlackFriday_CMP-00477</t>
  </si>
  <si>
    <t>CMP-00478</t>
  </si>
  <si>
    <t>Q4_BlackFriday_CMP-00478</t>
  </si>
  <si>
    <t>CMP-00479</t>
  </si>
  <si>
    <t>Q4_Launch_CMP-00479</t>
  </si>
  <si>
    <t>CMP-00480</t>
  </si>
  <si>
    <t>Q4_Launch_CMP-00480</t>
  </si>
  <si>
    <t>CMP-00481</t>
  </si>
  <si>
    <t>Q4_Summer_CMP-00481</t>
  </si>
  <si>
    <t>CMP-00482</t>
  </si>
  <si>
    <t>Q1_Launch_CMP-00482</t>
  </si>
  <si>
    <t>CMP-00483</t>
  </si>
  <si>
    <t>CMP-00484</t>
  </si>
  <si>
    <t>CMP-00485</t>
  </si>
  <si>
    <t>CMP-00486</t>
  </si>
  <si>
    <t>Q3_Summer_CMP-00486</t>
  </si>
  <si>
    <t>CMP-00487</t>
  </si>
  <si>
    <t>CMP-00488</t>
  </si>
  <si>
    <t>Q4_Summer_CMP-00488</t>
  </si>
  <si>
    <t>CMP-00489</t>
  </si>
  <si>
    <t>Q4_Launch_CMP-00489</t>
  </si>
  <si>
    <t>CMP-00490</t>
  </si>
  <si>
    <t>Q1_Summer_CMP-00490</t>
  </si>
  <si>
    <t>CMP-00491</t>
  </si>
  <si>
    <t>Q1_BlackFriday_CMP-00491</t>
  </si>
  <si>
    <t>CMP-00492</t>
  </si>
  <si>
    <t>Q1_BlackFriday_CMP-00492</t>
  </si>
  <si>
    <t>CMP-00493</t>
  </si>
  <si>
    <t>Q1_BlackFriday_CMP-00493</t>
  </si>
  <si>
    <t>CMP-00494</t>
  </si>
  <si>
    <t>Q4_BlackFriday_CMP-00494</t>
  </si>
  <si>
    <t>CMP-00495</t>
  </si>
  <si>
    <t>Q1_Summer_CMP-00495</t>
  </si>
  <si>
    <t>CMP-00496</t>
  </si>
  <si>
    <t>CMP-00497</t>
  </si>
  <si>
    <t>Q2_Launch_CMP-00497</t>
  </si>
  <si>
    <t>CMP-00498</t>
  </si>
  <si>
    <t>CMP-00499</t>
  </si>
  <si>
    <t>Q2_BlackFriday_CMP-00499</t>
  </si>
  <si>
    <t>CMP-00500</t>
  </si>
  <si>
    <t>Q3_Summer_CMP-00500</t>
  </si>
  <si>
    <t>CMP-00501</t>
  </si>
  <si>
    <t>CMP-00502</t>
  </si>
  <si>
    <t>Q1_Summer_CMP-00502</t>
  </si>
  <si>
    <t>CMP-00503</t>
  </si>
  <si>
    <t>CMP-00504</t>
  </si>
  <si>
    <t>Q1_Summer_CMP-00504</t>
  </si>
  <si>
    <t>CMP-00505</t>
  </si>
  <si>
    <t>CMP-00506</t>
  </si>
  <si>
    <t>Q1_Launch_CMP-00506</t>
  </si>
  <si>
    <t>CMP-00507</t>
  </si>
  <si>
    <t>Q1_Launch_CMP-00507</t>
  </si>
  <si>
    <t>CMP-00508</t>
  </si>
  <si>
    <t>Q4_Summer_CMP-00508</t>
  </si>
  <si>
    <t>CMP-00509</t>
  </si>
  <si>
    <t>Q1_BlackFriday_CMP-00509</t>
  </si>
  <si>
    <t>CMP-00510</t>
  </si>
  <si>
    <t>Q4_Launch_CMP-00510</t>
  </si>
  <si>
    <t>CMP-00511</t>
  </si>
  <si>
    <t>CMP-00512</t>
  </si>
  <si>
    <t>Q3_Launch_CMP-00512</t>
  </si>
  <si>
    <t>CMP-00513</t>
  </si>
  <si>
    <t>Q1_Launch_CMP-00513</t>
  </si>
  <si>
    <t>CMP-00514</t>
  </si>
  <si>
    <t>Q2_Summer_CMP-00514</t>
  </si>
  <si>
    <t>CMP-00515</t>
  </si>
  <si>
    <t>CMP-00516</t>
  </si>
  <si>
    <t>CMP-00517</t>
  </si>
  <si>
    <t>Q2_Launch_CMP-00517</t>
  </si>
  <si>
    <t>CMP-00518</t>
  </si>
  <si>
    <t>Q4_BlackFriday_CMP-00518</t>
  </si>
  <si>
    <t>CMP-00519</t>
  </si>
  <si>
    <t>Q3_Summer_CMP-00519</t>
  </si>
  <si>
    <t>CMP-00520</t>
  </si>
  <si>
    <t>Q4_BlackFriday_CMP-00520</t>
  </si>
  <si>
    <t>CMP-00521</t>
  </si>
  <si>
    <t>Q3_Launch_CMP-00521</t>
  </si>
  <si>
    <t>CMP-00522</t>
  </si>
  <si>
    <t>Q4_Summer_CMP-00522</t>
  </si>
  <si>
    <t>CMP-00523</t>
  </si>
  <si>
    <t>Q4_Launch_CMP-00523</t>
  </si>
  <si>
    <t>CMP-00524</t>
  </si>
  <si>
    <t>CMP-00525</t>
  </si>
  <si>
    <t>Q1_BlackFriday_CMP-00525</t>
  </si>
  <si>
    <t>CMP-00526</t>
  </si>
  <si>
    <t>Q4_Summer_CMP-00526</t>
  </si>
  <si>
    <t>CMP-00527</t>
  </si>
  <si>
    <t>Q4_Summer_CMP-00527</t>
  </si>
  <si>
    <t>CMP-00528</t>
  </si>
  <si>
    <t>Q3_Summer_CMP-00528</t>
  </si>
  <si>
    <t>CMP-00529</t>
  </si>
  <si>
    <t>Q4_Summer_CMP-00529</t>
  </si>
  <si>
    <t>CMP-00530</t>
  </si>
  <si>
    <t>CMP-00531</t>
  </si>
  <si>
    <t>Q4_Launch_CMP-00531</t>
  </si>
  <si>
    <t>CMP-00532</t>
  </si>
  <si>
    <t>Q3_Summer_CMP-00532</t>
  </si>
  <si>
    <t>CMP-00533</t>
  </si>
  <si>
    <t>Q2_BlackFriday_CMP-00533</t>
  </si>
  <si>
    <t>CMP-00534</t>
  </si>
  <si>
    <t>Q2_BlackFriday_CMP-00534</t>
  </si>
  <si>
    <t>CMP-00535</t>
  </si>
  <si>
    <t>Q4_Summer_CMP-00535</t>
  </si>
  <si>
    <t>CMP-00536</t>
  </si>
  <si>
    <t>CMP-00537</t>
  </si>
  <si>
    <t>Q3_BlackFriday_CMP-00537</t>
  </si>
  <si>
    <t>CMP-00538</t>
  </si>
  <si>
    <t>CMP-00539</t>
  </si>
  <si>
    <t>Q3_BlackFriday_CMP-00539</t>
  </si>
  <si>
    <t>CMP-00540</t>
  </si>
  <si>
    <t>Q4_Summer_CMP-00540</t>
  </si>
  <si>
    <t>CMP-00541</t>
  </si>
  <si>
    <t>Q4_Launch_CMP-00541</t>
  </si>
  <si>
    <t>CMP-00542</t>
  </si>
  <si>
    <t>CMP-00543</t>
  </si>
  <si>
    <t>CMP-00544</t>
  </si>
  <si>
    <t>Q3_BlackFriday_CMP-00544</t>
  </si>
  <si>
    <t>CMP-00545</t>
  </si>
  <si>
    <t>Q4_Summer_CMP-00545</t>
  </si>
  <si>
    <t>CMP-00546</t>
  </si>
  <si>
    <t>Q1_Summer_CMP-00546</t>
  </si>
  <si>
    <t>CMP-00547</t>
  </si>
  <si>
    <t>CMP-00548</t>
  </si>
  <si>
    <t>Q1_Summer_CMP-00548</t>
  </si>
  <si>
    <t>CMP-00549</t>
  </si>
  <si>
    <t>Q4_Launch_CMP-00549</t>
  </si>
  <si>
    <t>CMP-00550</t>
  </si>
  <si>
    <t>CMP-00551</t>
  </si>
  <si>
    <t>Q2_Summer_CMP-00551</t>
  </si>
  <si>
    <t>CMP-00552</t>
  </si>
  <si>
    <t>Q2_Launch_CMP-00552</t>
  </si>
  <si>
    <t>CMP-00553</t>
  </si>
  <si>
    <t>Q4_Summer_CMP-00553</t>
  </si>
  <si>
    <t>CMP-00554</t>
  </si>
  <si>
    <t>Q1_BlackFriday_CMP-00554</t>
  </si>
  <si>
    <t>CMP-00555</t>
  </si>
  <si>
    <t>Q1_Summer_CMP-00555</t>
  </si>
  <si>
    <t>CMP-00556</t>
  </si>
  <si>
    <t>Q1_Launch_CMP-00556</t>
  </si>
  <si>
    <t>CMP-00557</t>
  </si>
  <si>
    <t>Q3_Summer_CMP-00557</t>
  </si>
  <si>
    <t>CMP-00558</t>
  </si>
  <si>
    <t>Q2_BlackFriday_CMP-00558</t>
  </si>
  <si>
    <t>CMP-00559</t>
  </si>
  <si>
    <t>Q1_Launch_CMP-00559</t>
  </si>
  <si>
    <t>CMP-00560</t>
  </si>
  <si>
    <t>CMP-00561</t>
  </si>
  <si>
    <t>CMP-00562</t>
  </si>
  <si>
    <t>Q3_Launch_CMP-00562</t>
  </si>
  <si>
    <t>CMP-00563</t>
  </si>
  <si>
    <t>Q4_BlackFriday_CMP-00563</t>
  </si>
  <si>
    <t>CMP-00564</t>
  </si>
  <si>
    <t>CMP-00565</t>
  </si>
  <si>
    <t>Q2_Launch_CMP-00565</t>
  </si>
  <si>
    <t>CMP-00566</t>
  </si>
  <si>
    <t>Q2_Summer_CMP-00566</t>
  </si>
  <si>
    <t>CMP-00567</t>
  </si>
  <si>
    <t>Q1_Summer_CMP-00567</t>
  </si>
  <si>
    <t>CMP-00568</t>
  </si>
  <si>
    <t>Q2_Summer_CMP-00568</t>
  </si>
  <si>
    <t>CMP-00569</t>
  </si>
  <si>
    <t>Q2_Summer_CMP-00569</t>
  </si>
  <si>
    <t>CMP-00570</t>
  </si>
  <si>
    <t>Q3_Launch_CMP-00570</t>
  </si>
  <si>
    <t>CMP-00571</t>
  </si>
  <si>
    <t>Q1_BlackFriday_CMP-00571</t>
  </si>
  <si>
    <t>CMP-00572</t>
  </si>
  <si>
    <t>Q2_Launch_CMP-00572</t>
  </si>
  <si>
    <t>CMP-00573</t>
  </si>
  <si>
    <t>CMP-00574</t>
  </si>
  <si>
    <t>Q4_BlackFriday_CMP-00574</t>
  </si>
  <si>
    <t>CMP-00575</t>
  </si>
  <si>
    <t>CMP-00576</t>
  </si>
  <si>
    <t>Q1_Launch_CMP-00576</t>
  </si>
  <si>
    <t>CMP-00577</t>
  </si>
  <si>
    <t>Q4_Launch_CMP-00577</t>
  </si>
  <si>
    <t>CMP-00578</t>
  </si>
  <si>
    <t>Q1_Summer_CMP-00578</t>
  </si>
  <si>
    <t>CMP-00579</t>
  </si>
  <si>
    <t>Q2_BlackFriday_CMP-00579</t>
  </si>
  <si>
    <t>CMP-00580</t>
  </si>
  <si>
    <t>Q1_Summer_CMP-00580</t>
  </si>
  <si>
    <t>CMP-00581</t>
  </si>
  <si>
    <t>CMP-00582</t>
  </si>
  <si>
    <t>Q1_BlackFriday_CMP-00582</t>
  </si>
  <si>
    <t>CMP-00583</t>
  </si>
  <si>
    <t>CMP-00584</t>
  </si>
  <si>
    <t>Q3_BlackFriday_CMP-00584</t>
  </si>
  <si>
    <t>CMP-00585</t>
  </si>
  <si>
    <t>Q4_BlackFriday_CMP-00585</t>
  </si>
  <si>
    <t>CMP-00586</t>
  </si>
  <si>
    <t>CMP-00587</t>
  </si>
  <si>
    <t>Q3_Summer_CMP-00587</t>
  </si>
  <si>
    <t>CMP-00588</t>
  </si>
  <si>
    <t>Q2_BlackFriday_CMP-00588</t>
  </si>
  <si>
    <t>CMP-00589</t>
  </si>
  <si>
    <t>Q4_Summer_CMP-00589</t>
  </si>
  <si>
    <t>CMP-00590</t>
  </si>
  <si>
    <t>Q1_Launch_CMP-00590</t>
  </si>
  <si>
    <t>CMP-00591</t>
  </si>
  <si>
    <t>Q3_Summer_CMP-00591</t>
  </si>
  <si>
    <t>CMP-00592</t>
  </si>
  <si>
    <t>Q1_BlackFriday_CMP-00592</t>
  </si>
  <si>
    <t>CMP-00593</t>
  </si>
  <si>
    <t>Q4_BlackFriday_CMP-00593</t>
  </si>
  <si>
    <t>CMP-00594</t>
  </si>
  <si>
    <t>Q2_BlackFriday_CMP-00594</t>
  </si>
  <si>
    <t>CMP-00595</t>
  </si>
  <si>
    <t>CMP-00596</t>
  </si>
  <si>
    <t>Q2_BlackFriday_CMP-00596</t>
  </si>
  <si>
    <t>CMP-00597</t>
  </si>
  <si>
    <t>CMP-00598</t>
  </si>
  <si>
    <t>Q4_Summer_CMP-00598</t>
  </si>
  <si>
    <t>CMP-00599</t>
  </si>
  <si>
    <t>Q1_BlackFriday_CMP-00599</t>
  </si>
  <si>
    <t>CMP-00600</t>
  </si>
  <si>
    <t>Q1_Launch_CMP-00600</t>
  </si>
  <si>
    <t>CMP-00601</t>
  </si>
  <si>
    <t>Q1_Launch_CMP-00601</t>
  </si>
  <si>
    <t>CMP-00602</t>
  </si>
  <si>
    <t>Q2_BlackFriday_CMP-00602</t>
  </si>
  <si>
    <t>CMP-00603</t>
  </si>
  <si>
    <t>Q1_Summer_CMP-00603</t>
  </si>
  <si>
    <t>CMP-00604</t>
  </si>
  <si>
    <t>Q1_Launch_CMP-00604</t>
  </si>
  <si>
    <t>CMP-00605</t>
  </si>
  <si>
    <t>Q2_BlackFriday_CMP-00605</t>
  </si>
  <si>
    <t>CMP-00606</t>
  </si>
  <si>
    <t>Q4_Launch_CMP-00606</t>
  </si>
  <si>
    <t>CMP-00607</t>
  </si>
  <si>
    <t>CMP-00608</t>
  </si>
  <si>
    <t>Q1_Summer_CMP-00608</t>
  </si>
  <si>
    <t>CMP-00609</t>
  </si>
  <si>
    <t>CMP-00610</t>
  </si>
  <si>
    <t>Q4_Summer_CMP-00610</t>
  </si>
  <si>
    <t>CMP-00611</t>
  </si>
  <si>
    <t>Q4_Summer_CMP-00611</t>
  </si>
  <si>
    <t>CMP-00612</t>
  </si>
  <si>
    <t>Q4_Launch_CMP-00612</t>
  </si>
  <si>
    <t>CMP-00613</t>
  </si>
  <si>
    <t>Q2_Launch_CMP-00613</t>
  </si>
  <si>
    <t>CMP-00614</t>
  </si>
  <si>
    <t>CMP-00615</t>
  </si>
  <si>
    <t>Q1_Launch_CMP-00615</t>
  </si>
  <si>
    <t>CMP-00616</t>
  </si>
  <si>
    <t>Q1_BlackFriday_CMP-00616</t>
  </si>
  <si>
    <t>CMP-00617</t>
  </si>
  <si>
    <t>CMP-00618</t>
  </si>
  <si>
    <t>Q3_Launch_CMP-00618</t>
  </si>
  <si>
    <t>CMP-00619</t>
  </si>
  <si>
    <t>CMP-00620</t>
  </si>
  <si>
    <t>Q2_Summer_CMP-00620</t>
  </si>
  <si>
    <t>CMP-00621</t>
  </si>
  <si>
    <t>CMP-00622</t>
  </si>
  <si>
    <t>Q4_Summer_CMP-00622</t>
  </si>
  <si>
    <t>CMP-00623</t>
  </si>
  <si>
    <t>CMP-00624</t>
  </si>
  <si>
    <t>Q1_Summer_CMP-00624</t>
  </si>
  <si>
    <t>CMP-00625</t>
  </si>
  <si>
    <t>CMP-00626</t>
  </si>
  <si>
    <t>CMP-00627</t>
  </si>
  <si>
    <t>Q3_Summer_CMP-00627</t>
  </si>
  <si>
    <t>CMP-00628</t>
  </si>
  <si>
    <t>Q3_BlackFriday_CMP-00628</t>
  </si>
  <si>
    <t>CMP-00629</t>
  </si>
  <si>
    <t>Q2_BlackFriday_CMP-00629</t>
  </si>
  <si>
    <t>CMP-00630</t>
  </si>
  <si>
    <t>Q2_Launch_CMP-00630</t>
  </si>
  <si>
    <t>CMP-00631</t>
  </si>
  <si>
    <t>Q4_Summer_CMP-00631</t>
  </si>
  <si>
    <t>CMP-00632</t>
  </si>
  <si>
    <t>Q1_Summer_CMP-00632</t>
  </si>
  <si>
    <t>CMP-00633</t>
  </si>
  <si>
    <t>CMP-00634</t>
  </si>
  <si>
    <t>Q4_BlackFriday_CMP-00634</t>
  </si>
  <si>
    <t>CMP-00635</t>
  </si>
  <si>
    <t>Q2_Launch_CMP-00635</t>
  </si>
  <si>
    <t>CMP-00636</t>
  </si>
  <si>
    <t>Q3_BlackFriday_CMP-00636</t>
  </si>
  <si>
    <t>CMP-00637</t>
  </si>
  <si>
    <t>CMP-00638</t>
  </si>
  <si>
    <t>Q3_BlackFriday_CMP-00638</t>
  </si>
  <si>
    <t>CMP-00639</t>
  </si>
  <si>
    <t>Q1_Summer_CMP-00639</t>
  </si>
  <si>
    <t>CMP-00640</t>
  </si>
  <si>
    <t>Q3_Launch_CMP-00640</t>
  </si>
  <si>
    <t>CMP-00641</t>
  </si>
  <si>
    <t>Q4_BlackFriday_CMP-00641</t>
  </si>
  <si>
    <t>CMP-00642</t>
  </si>
  <si>
    <t>CMP-00643</t>
  </si>
  <si>
    <t>CMP-00644</t>
  </si>
  <si>
    <t>CMP-00645</t>
  </si>
  <si>
    <t>Q1_BlackFriday_CMP-00645</t>
  </si>
  <si>
    <t>CMP-00646</t>
  </si>
  <si>
    <t>Q2_Summer_CMP-00646</t>
  </si>
  <si>
    <t>CMP-00647</t>
  </si>
  <si>
    <t>Q2_Launch_CMP-00647</t>
  </si>
  <si>
    <t>CMP-00648</t>
  </si>
  <si>
    <t>Q4_Summer_CMP-00648</t>
  </si>
  <si>
    <t>CMP-00649</t>
  </si>
  <si>
    <t>Q1_Launch_CMP-00649</t>
  </si>
  <si>
    <t>CMP-00650</t>
  </si>
  <si>
    <t>Q1_BlackFriday_CMP-00650</t>
  </si>
  <si>
    <t>CMP-00651</t>
  </si>
  <si>
    <t>Q3_Launch_CMP-00651</t>
  </si>
  <si>
    <t>CMP-00652</t>
  </si>
  <si>
    <t>Q3_Summer_CMP-00652</t>
  </si>
  <si>
    <t>CMP-00653</t>
  </si>
  <si>
    <t>Q1_BlackFriday_CMP-00653</t>
  </si>
  <si>
    <t>CMP-00654</t>
  </si>
  <si>
    <t>Q4_Launch_CMP-00654</t>
  </si>
  <si>
    <t>CMP-00655</t>
  </si>
  <si>
    <t>Q1_Launch_CMP-00655</t>
  </si>
  <si>
    <t>CMP-00656</t>
  </si>
  <si>
    <t>Q4_Launch_CMP-00656</t>
  </si>
  <si>
    <t>CMP-00657</t>
  </si>
  <si>
    <t>CMP-00658</t>
  </si>
  <si>
    <t>Q2_Launch_CMP-00658</t>
  </si>
  <si>
    <t>CMP-00659</t>
  </si>
  <si>
    <t>Q2_Launch_CMP-00659</t>
  </si>
  <si>
    <t>CMP-00660</t>
  </si>
  <si>
    <t>Q1_BlackFriday_CMP-00660</t>
  </si>
  <si>
    <t>CMP-00661</t>
  </si>
  <si>
    <t>Q1_BlackFriday_CMP-00661</t>
  </si>
  <si>
    <t>CMP-00662</t>
  </si>
  <si>
    <t>Q1_BlackFriday_CMP-00662</t>
  </si>
  <si>
    <t>CMP-00663</t>
  </si>
  <si>
    <t>CMP-00664</t>
  </si>
  <si>
    <t>Q1_BlackFriday_CMP-00664</t>
  </si>
  <si>
    <t>CMP-00665</t>
  </si>
  <si>
    <t>Q4_Launch_CMP-00665</t>
  </si>
  <si>
    <t>CMP-00666</t>
  </si>
  <si>
    <t>Q1_Summer_CMP-00666</t>
  </si>
  <si>
    <t>CMP-00667</t>
  </si>
  <si>
    <t>Q4_BlackFriday_CMP-00667</t>
  </si>
  <si>
    <t>CMP-00668</t>
  </si>
  <si>
    <t>Q4_Launch_CMP-00668</t>
  </si>
  <si>
    <t>CMP-00669</t>
  </si>
  <si>
    <t>CMP-00670</t>
  </si>
  <si>
    <t>Q4_Launch_CMP-00670</t>
  </si>
  <si>
    <t>CMP-00671</t>
  </si>
  <si>
    <t>CMP-00672</t>
  </si>
  <si>
    <t>Q1_BlackFriday_CMP-00672</t>
  </si>
  <si>
    <t>CMP-00673</t>
  </si>
  <si>
    <t>Q3_Summer_CMP-00673</t>
  </si>
  <si>
    <t>CMP-00674</t>
  </si>
  <si>
    <t>Q2_BlackFriday_CMP-00674</t>
  </si>
  <si>
    <t>CMP-00675</t>
  </si>
  <si>
    <t>Q3_Launch_CMP-00675</t>
  </si>
  <si>
    <t>CMP-00676</t>
  </si>
  <si>
    <t>Q1_BlackFriday_CMP-00676</t>
  </si>
  <si>
    <t>CMP-00677</t>
  </si>
  <si>
    <t>Q3_BlackFriday_CMP-00677</t>
  </si>
  <si>
    <t>CMP-00678</t>
  </si>
  <si>
    <t>Q3_Summer_CMP-00678</t>
  </si>
  <si>
    <t>CMP-00679</t>
  </si>
  <si>
    <t>Q1_BlackFriday_CMP-00679</t>
  </si>
  <si>
    <t>CMP-00680</t>
  </si>
  <si>
    <t>Q3_BlackFriday_CMP-00680</t>
  </si>
  <si>
    <t>CMP-00681</t>
  </si>
  <si>
    <t>Q2_Launch_CMP-00681</t>
  </si>
  <si>
    <t>CMP-00682</t>
  </si>
  <si>
    <t>Q4_Summer_CMP-00682</t>
  </si>
  <si>
    <t>CMP-00683</t>
  </si>
  <si>
    <t>Q4_Summer_CMP-00683</t>
  </si>
  <si>
    <t>CMP-00684</t>
  </si>
  <si>
    <t>Q4_Summer_CMP-00684</t>
  </si>
  <si>
    <t>CMP-00685</t>
  </si>
  <si>
    <t>Q3_Launch_CMP-00685</t>
  </si>
  <si>
    <t>CMP-00686</t>
  </si>
  <si>
    <t>Q2_Launch_CMP-00686</t>
  </si>
  <si>
    <t>CMP-00687</t>
  </si>
  <si>
    <t>Q1_Summer_CMP-00687</t>
  </si>
  <si>
    <t>CMP-00688</t>
  </si>
  <si>
    <t>Q3_BlackFriday_CMP-00688</t>
  </si>
  <si>
    <t>CMP-00689</t>
  </si>
  <si>
    <t>Q1_Launch_CMP-00689</t>
  </si>
  <si>
    <t>CMP-00690</t>
  </si>
  <si>
    <t>Q2_BlackFriday_CMP-00690</t>
  </si>
  <si>
    <t>CMP-00691</t>
  </si>
  <si>
    <t>Q3_BlackFriday_CMP-00691</t>
  </si>
  <si>
    <t>CMP-00692</t>
  </si>
  <si>
    <t>CMP-00693</t>
  </si>
  <si>
    <t>CMP-00694</t>
  </si>
  <si>
    <t>Q2_Summer_CMP-00694</t>
  </si>
  <si>
    <t>CMP-00695</t>
  </si>
  <si>
    <t>Q2_Summer_CMP-00695</t>
  </si>
  <si>
    <t>CMP-00696</t>
  </si>
  <si>
    <t>CMP-00697</t>
  </si>
  <si>
    <t>Q4_BlackFriday_CMP-00697</t>
  </si>
  <si>
    <t>CMP-00698</t>
  </si>
  <si>
    <t>CMP-00699</t>
  </si>
  <si>
    <t>Q1_BlackFriday_CMP-00699</t>
  </si>
  <si>
    <t>CMP-00700</t>
  </si>
  <si>
    <t>Q3_Summer_CMP-00700</t>
  </si>
  <si>
    <t>CMP-00701</t>
  </si>
  <si>
    <t>Q3_Summer_CMP-00701</t>
  </si>
  <si>
    <t>CMP-00702</t>
  </si>
  <si>
    <t>Q2_BlackFriday_CMP-00702</t>
  </si>
  <si>
    <t>CMP-00703</t>
  </si>
  <si>
    <t>Q1_Summer_CMP-00703</t>
  </si>
  <si>
    <t>CMP-00704</t>
  </si>
  <si>
    <t>Q4_Summer_CMP-00704</t>
  </si>
  <si>
    <t>CMP-00705</t>
  </si>
  <si>
    <t>CMP-00706</t>
  </si>
  <si>
    <t>Q2_BlackFriday_CMP-00706</t>
  </si>
  <si>
    <t>CMP-00707</t>
  </si>
  <si>
    <t>Q3_Launch_CMP-00707</t>
  </si>
  <si>
    <t>CMP-00708</t>
  </si>
  <si>
    <t>Q1_Launch_CMP-00708</t>
  </si>
  <si>
    <t>CMP-00709</t>
  </si>
  <si>
    <t>CMP-00710</t>
  </si>
  <si>
    <t>Q1_BlackFriday_CMP-00710</t>
  </si>
  <si>
    <t>CMP-00711</t>
  </si>
  <si>
    <t>Q3_BlackFriday_CMP-00711</t>
  </si>
  <si>
    <t>CMP-00712</t>
  </si>
  <si>
    <t>Q4_BlackFriday_CMP-00712</t>
  </si>
  <si>
    <t>CMP-00713</t>
  </si>
  <si>
    <t>Q4_BlackFriday_CMP-00713</t>
  </si>
  <si>
    <t>CMP-00714</t>
  </si>
  <si>
    <t>CMP-00715</t>
  </si>
  <si>
    <t>Q3_Summer_CMP-00715</t>
  </si>
  <si>
    <t>CMP-00716</t>
  </si>
  <si>
    <t>CMP-00717</t>
  </si>
  <si>
    <t>Q1_Summer_CMP-00717</t>
  </si>
  <si>
    <t>CMP-00718</t>
  </si>
  <si>
    <t>Q2_BlackFriday_CMP-00718</t>
  </si>
  <si>
    <t>CMP-00719</t>
  </si>
  <si>
    <t>CMP-00720</t>
  </si>
  <si>
    <t>Q4_Summer_CMP-00720</t>
  </si>
  <si>
    <t>CMP-00721</t>
  </si>
  <si>
    <t>Q2_Launch_CMP-00721</t>
  </si>
  <si>
    <t>CMP-00722</t>
  </si>
  <si>
    <t>Q1_Summer_CMP-00722</t>
  </si>
  <si>
    <t>CMP-00723</t>
  </si>
  <si>
    <t>Q2_Launch_CMP-00723</t>
  </si>
  <si>
    <t>CMP-00724</t>
  </si>
  <si>
    <t>Q1_Summer_CMP-00724</t>
  </si>
  <si>
    <t>CMP-00725</t>
  </si>
  <si>
    <t>Q4_Launch_CMP-00725</t>
  </si>
  <si>
    <t>CMP-00726</t>
  </si>
  <si>
    <t>Q3_BlackFriday_CMP-00726</t>
  </si>
  <si>
    <t>CMP-00727</t>
  </si>
  <si>
    <t>Q2_BlackFriday_CMP-00727</t>
  </si>
  <si>
    <t>CMP-00728</t>
  </si>
  <si>
    <t>Q2_BlackFriday_CMP-00728</t>
  </si>
  <si>
    <t>CMP-00729</t>
  </si>
  <si>
    <t>Q2_BlackFriday_CMP-00729</t>
  </si>
  <si>
    <t>CMP-00730</t>
  </si>
  <si>
    <t>Q2_Launch_CMP-00730</t>
  </si>
  <si>
    <t>CMP-00731</t>
  </si>
  <si>
    <t>Q3_Summer_CMP-00731</t>
  </si>
  <si>
    <t>CMP-00732</t>
  </si>
  <si>
    <t>Q2_Launch_CMP-00732</t>
  </si>
  <si>
    <t>CMP-00733</t>
  </si>
  <si>
    <t>Q4_BlackFriday_CMP-00733</t>
  </si>
  <si>
    <t>CMP-00734</t>
  </si>
  <si>
    <t>Q1_BlackFriday_CMP-00734</t>
  </si>
  <si>
    <t>CMP-00735</t>
  </si>
  <si>
    <t>Q1_BlackFriday_CMP-00735</t>
  </si>
  <si>
    <t>CMP-00736</t>
  </si>
  <si>
    <t>CMP-00737</t>
  </si>
  <si>
    <t>Q4_Launch_CMP-00737</t>
  </si>
  <si>
    <t>CMP-00738</t>
  </si>
  <si>
    <t>CMP-00739</t>
  </si>
  <si>
    <t>Q2_Launch_CMP-00739</t>
  </si>
  <si>
    <t>CMP-00740</t>
  </si>
  <si>
    <t>Q2_BlackFriday_CMP-00740</t>
  </si>
  <si>
    <t>CMP-00741</t>
  </si>
  <si>
    <t>Q3_BlackFriday_CMP-00741</t>
  </si>
  <si>
    <t>CMP-00742</t>
  </si>
  <si>
    <t>Q3_Summer_CMP-00742</t>
  </si>
  <si>
    <t>CMP-00743</t>
  </si>
  <si>
    <t>Q1_Launch_CMP-00743</t>
  </si>
  <si>
    <t>CMP-00744</t>
  </si>
  <si>
    <t>CMP-00745</t>
  </si>
  <si>
    <t>CMP-00746</t>
  </si>
  <si>
    <t>Q2_Launch_CMP-00746</t>
  </si>
  <si>
    <t>CMP-00747</t>
  </si>
  <si>
    <t>CMP-00748</t>
  </si>
  <si>
    <t>Q1_Launch_CMP-00748</t>
  </si>
  <si>
    <t>CMP-00749</t>
  </si>
  <si>
    <t>Q3_Launch_CMP-00749</t>
  </si>
  <si>
    <t>CMP-00750</t>
  </si>
  <si>
    <t>CMP-00751</t>
  </si>
  <si>
    <t>Q1_Launch_CMP-00751</t>
  </si>
  <si>
    <t>CMP-00752</t>
  </si>
  <si>
    <t>CMP-00753</t>
  </si>
  <si>
    <t>CMP-00754</t>
  </si>
  <si>
    <t>Q4_Launch_CMP-00754</t>
  </si>
  <si>
    <t>CMP-00755</t>
  </si>
  <si>
    <t>CMP-00756</t>
  </si>
  <si>
    <t>CMP-00757</t>
  </si>
  <si>
    <t>Q3_Summer_CMP-00757</t>
  </si>
  <si>
    <t>CMP-00758</t>
  </si>
  <si>
    <t>Q3_BlackFriday_CMP-00758</t>
  </si>
  <si>
    <t>CMP-00759</t>
  </si>
  <si>
    <t>Q1_Summer_CMP-00759</t>
  </si>
  <si>
    <t>CMP-00760</t>
  </si>
  <si>
    <t>Q1_BlackFriday_CMP-00760</t>
  </si>
  <si>
    <t>CMP-00761</t>
  </si>
  <si>
    <t>Q4_Launch_CMP-00761</t>
  </si>
  <si>
    <t>CMP-00762</t>
  </si>
  <si>
    <t>Q4_Launch_CMP-00762</t>
  </si>
  <si>
    <t>CMP-00763</t>
  </si>
  <si>
    <t>Q3_Launch_CMP-00763</t>
  </si>
  <si>
    <t>CMP-00764</t>
  </si>
  <si>
    <t>CMP-00765</t>
  </si>
  <si>
    <t>CMP-00766</t>
  </si>
  <si>
    <t>Q1_BlackFriday_CMP-00766</t>
  </si>
  <si>
    <t>CMP-00767</t>
  </si>
  <si>
    <t>Q4_Launch_CMP-00767</t>
  </si>
  <si>
    <t>CMP-00768</t>
  </si>
  <si>
    <t>Q3_Launch_CMP-00768</t>
  </si>
  <si>
    <t>CMP-00769</t>
  </si>
  <si>
    <t>Q2_BlackFriday_CMP-00769</t>
  </si>
  <si>
    <t>CMP-00770</t>
  </si>
  <si>
    <t>CMP-00771</t>
  </si>
  <si>
    <t>Q3_Launch_CMP-00771</t>
  </si>
  <si>
    <t>CMP-00772</t>
  </si>
  <si>
    <t>Q3_Summer_CMP-00772</t>
  </si>
  <si>
    <t>CMP-00773</t>
  </si>
  <si>
    <t>Q4_BlackFriday_CMP-00773</t>
  </si>
  <si>
    <t>CMP-00774</t>
  </si>
  <si>
    <t>Q3_Launch_CMP-00774</t>
  </si>
  <si>
    <t>CMP-00775</t>
  </si>
  <si>
    <t>CMP-00776</t>
  </si>
  <si>
    <t>Q2_Summer_CMP-00776</t>
  </si>
  <si>
    <t>CMP-00777</t>
  </si>
  <si>
    <t>Q2_Launch_CMP-00777</t>
  </si>
  <si>
    <t>CMP-00778</t>
  </si>
  <si>
    <t>Q3_BlackFriday_CMP-00778</t>
  </si>
  <si>
    <t>CMP-00779</t>
  </si>
  <si>
    <t>Q1_BlackFriday_CMP-00779</t>
  </si>
  <si>
    <t>CMP-00780</t>
  </si>
  <si>
    <t>CMP-00781</t>
  </si>
  <si>
    <t>Q1_BlackFriday_CMP-00781</t>
  </si>
  <si>
    <t>CMP-00782</t>
  </si>
  <si>
    <t>Q3_Launch_CMP-00782</t>
  </si>
  <si>
    <t>CMP-00783</t>
  </si>
  <si>
    <t>CMP-00784</t>
  </si>
  <si>
    <t>Q2_BlackFriday_CMP-00784</t>
  </si>
  <si>
    <t>CMP-00785</t>
  </si>
  <si>
    <t>Q3_Summer_CMP-00785</t>
  </si>
  <si>
    <t>CMP-00786</t>
  </si>
  <si>
    <t>Q2_BlackFriday_CMP-00786</t>
  </si>
  <si>
    <t>CMP-00787</t>
  </si>
  <si>
    <t>Q2_Summer_CMP-00787</t>
  </si>
  <si>
    <t>CMP-00788</t>
  </si>
  <si>
    <t>CMP-00789</t>
  </si>
  <si>
    <t>Q1_Summer_CMP-00789</t>
  </si>
  <si>
    <t>CMP-00790</t>
  </si>
  <si>
    <t>Q2_Summer_CMP-00790</t>
  </si>
  <si>
    <t>CMP-00791</t>
  </si>
  <si>
    <t>Q4_Summer_CMP-00791</t>
  </si>
  <si>
    <t>CMP-00792</t>
  </si>
  <si>
    <t>CMP-00793</t>
  </si>
  <si>
    <t>Q3_Launch_CMP-00793</t>
  </si>
  <si>
    <t>CMP-00794</t>
  </si>
  <si>
    <t>CMP-00795</t>
  </si>
  <si>
    <t>Q4_BlackFriday_CMP-00795</t>
  </si>
  <si>
    <t>CMP-00796</t>
  </si>
  <si>
    <t>Q1_Summer_CMP-00796</t>
  </si>
  <si>
    <t>CMP-00797</t>
  </si>
  <si>
    <t>Q4_Launch_CMP-00797</t>
  </si>
  <si>
    <t>CMP-00798</t>
  </si>
  <si>
    <t>Q4_BlackFriday_CMP-00798</t>
  </si>
  <si>
    <t>CMP-00799</t>
  </si>
  <si>
    <t>CMP-00800</t>
  </si>
  <si>
    <t>Q3_Summer_CMP-00800</t>
  </si>
  <si>
    <t>CMP-00801</t>
  </si>
  <si>
    <t>Q3_Summer_CMP-00801</t>
  </si>
  <si>
    <t>CMP-00802</t>
  </si>
  <si>
    <t>Q2_Summer_CMP-00802</t>
  </si>
  <si>
    <t>CMP-00803</t>
  </si>
  <si>
    <t>CMP-00804</t>
  </si>
  <si>
    <t>Q3_BlackFriday_CMP-00804</t>
  </si>
  <si>
    <t>CMP-00805</t>
  </si>
  <si>
    <t>Q4_Summer_CMP-00805</t>
  </si>
  <si>
    <t>CMP-00806</t>
  </si>
  <si>
    <t>Q3_Summer_CMP-00806</t>
  </si>
  <si>
    <t>CMP-00807</t>
  </si>
  <si>
    <t>Q4_Summer_CMP-00807</t>
  </si>
  <si>
    <t>CMP-00808</t>
  </si>
  <si>
    <t>CMP-00809</t>
  </si>
  <si>
    <t>Q1_Summer_CMP-00809</t>
  </si>
  <si>
    <t>CMP-00810</t>
  </si>
  <si>
    <t>CMP-00811</t>
  </si>
  <si>
    <t>CMP-00812</t>
  </si>
  <si>
    <t>Q2_BlackFriday_CMP-00812</t>
  </si>
  <si>
    <t>CMP-00813</t>
  </si>
  <si>
    <t>CMP-00814</t>
  </si>
  <si>
    <t>CMP-00815</t>
  </si>
  <si>
    <t>Q4_BlackFriday_CMP-00815</t>
  </si>
  <si>
    <t>CMP-00816</t>
  </si>
  <si>
    <t>CMP-00817</t>
  </si>
  <si>
    <t>CMP-00818</t>
  </si>
  <si>
    <t>Q1_Launch_CMP-00818</t>
  </si>
  <si>
    <t>CMP-00819</t>
  </si>
  <si>
    <t>Q1_Launch_CMP-00819</t>
  </si>
  <si>
    <t>CMP-00820</t>
  </si>
  <si>
    <t>CMP-00821</t>
  </si>
  <si>
    <t>Q1_Launch_CMP-00821</t>
  </si>
  <si>
    <t>CMP-00822</t>
  </si>
  <si>
    <t>Q3_Launch_CMP-00822</t>
  </si>
  <si>
    <t>CMP-00823</t>
  </si>
  <si>
    <t>Q2_BlackFriday_CMP-00823</t>
  </si>
  <si>
    <t>CMP-00824</t>
  </si>
  <si>
    <t>CMP-00825</t>
  </si>
  <si>
    <t>CMP-00826</t>
  </si>
  <si>
    <t>Q3_Launch_CMP-00826</t>
  </si>
  <si>
    <t>CMP-00827</t>
  </si>
  <si>
    <t>Q4_Launch_CMP-00827</t>
  </si>
  <si>
    <t>CMP-00828</t>
  </si>
  <si>
    <t>Q3_Launch_CMP-00828</t>
  </si>
  <si>
    <t>CMP-00829</t>
  </si>
  <si>
    <t>Q3_Summer_CMP-00829</t>
  </si>
  <si>
    <t>CMP-00830</t>
  </si>
  <si>
    <t>Q2_Summer_CMP-00830</t>
  </si>
  <si>
    <t>CMP-00831</t>
  </si>
  <si>
    <t>Q3_Launch_CMP-00831</t>
  </si>
  <si>
    <t>CMP-00832</t>
  </si>
  <si>
    <t>Q4_BlackFriday_CMP-00832</t>
  </si>
  <si>
    <t>CMP-00833</t>
  </si>
  <si>
    <t>Q2_Launch_CMP-00833</t>
  </si>
  <si>
    <t>CMP-00834</t>
  </si>
  <si>
    <t>CMP-00835</t>
  </si>
  <si>
    <t>Q4_BlackFriday_CMP-00835</t>
  </si>
  <si>
    <t>CMP-00836</t>
  </si>
  <si>
    <t>Q1_BlackFriday_CMP-00836</t>
  </si>
  <si>
    <t>CMP-00837</t>
  </si>
  <si>
    <t>CMP-00838</t>
  </si>
  <si>
    <t>Q4_Launch_CMP-00838</t>
  </si>
  <si>
    <t>CMP-00839</t>
  </si>
  <si>
    <t>CMP-00840</t>
  </si>
  <si>
    <t>Q1_BlackFriday_CMP-00840</t>
  </si>
  <si>
    <t>CMP-00841</t>
  </si>
  <si>
    <t>CMP-00842</t>
  </si>
  <si>
    <t>Q4_Summer_CMP-00842</t>
  </si>
  <si>
    <t>CMP-00843</t>
  </si>
  <si>
    <t>Q3_BlackFriday_CMP-00843</t>
  </si>
  <si>
    <t>CMP-00844</t>
  </si>
  <si>
    <t>Q3_Launch_CMP-00844</t>
  </si>
  <si>
    <t>CMP-00845</t>
  </si>
  <si>
    <t>Q4_Launch_CMP-00845</t>
  </si>
  <si>
    <t>CMP-00846</t>
  </si>
  <si>
    <t>Q4_Launch_CMP-00846</t>
  </si>
  <si>
    <t>CMP-00847</t>
  </si>
  <si>
    <t>Q3_Summer_CMP-00847</t>
  </si>
  <si>
    <t>CMP-00848</t>
  </si>
  <si>
    <t>Q3_Launch_CMP-00848</t>
  </si>
  <si>
    <t>CMP-00849</t>
  </si>
  <si>
    <t>Q2_BlackFriday_CMP-00849</t>
  </si>
  <si>
    <t>CMP-00850</t>
  </si>
  <si>
    <t>Q1_BlackFriday_CMP-00850</t>
  </si>
  <si>
    <t>CMP-00851</t>
  </si>
  <si>
    <t>Q4_Launch_CMP-00851</t>
  </si>
  <si>
    <t>CMP-00852</t>
  </si>
  <si>
    <t>CMP-00853</t>
  </si>
  <si>
    <t>Q2_Summer_CMP-00853</t>
  </si>
  <si>
    <t>CMP-00854</t>
  </si>
  <si>
    <t>CMP-00855</t>
  </si>
  <si>
    <t>Q1_Summer_CMP-00855</t>
  </si>
  <si>
    <t>CMP-00856</t>
  </si>
  <si>
    <t>Q4_Summer_CMP-00856</t>
  </si>
  <si>
    <t>CMP-00857</t>
  </si>
  <si>
    <t>Q3_BlackFriday_CMP-00857</t>
  </si>
  <si>
    <t>CMP-00858</t>
  </si>
  <si>
    <t>Q1_Summer_CMP-00858</t>
  </si>
  <si>
    <t>CMP-00859</t>
  </si>
  <si>
    <t>Q2_BlackFriday_CMP-00859</t>
  </si>
  <si>
    <t>CMP-00860</t>
  </si>
  <si>
    <t>CMP-00861</t>
  </si>
  <si>
    <t>CMP-00862</t>
  </si>
  <si>
    <t>CMP-00863</t>
  </si>
  <si>
    <t>Q3_BlackFriday_CMP-00863</t>
  </si>
  <si>
    <t>CMP-00864</t>
  </si>
  <si>
    <t>CMP-00865</t>
  </si>
  <si>
    <t>Q2_Summer_CMP-00865</t>
  </si>
  <si>
    <t>CMP-00866</t>
  </si>
  <si>
    <t>Q1_Summer_CMP-00866</t>
  </si>
  <si>
    <t>CMP-00867</t>
  </si>
  <si>
    <t>Q1_Launch_CMP-00867</t>
  </si>
  <si>
    <t>CMP-00868</t>
  </si>
  <si>
    <t>Q4_Summer_CMP-00868</t>
  </si>
  <si>
    <t>CMP-00869</t>
  </si>
  <si>
    <t>Q2_BlackFriday_CMP-00869</t>
  </si>
  <si>
    <t>CMP-00870</t>
  </si>
  <si>
    <t>Q3_Summer_CMP-00870</t>
  </si>
  <si>
    <t>CMP-00871</t>
  </si>
  <si>
    <t>CMP-00872</t>
  </si>
  <si>
    <t>Q1_BlackFriday_CMP-00872</t>
  </si>
  <si>
    <t>CMP-00873</t>
  </si>
  <si>
    <t>Q1_Launch_CMP-00873</t>
  </si>
  <si>
    <t>CMP-00874</t>
  </si>
  <si>
    <t>CMP-00875</t>
  </si>
  <si>
    <t>Q3_Summer_CMP-00875</t>
  </si>
  <si>
    <t>CMP-00876</t>
  </si>
  <si>
    <t>Q1_Summer_CMP-00876</t>
  </si>
  <si>
    <t>CMP-00877</t>
  </si>
  <si>
    <t>Q4_Summer_CMP-00877</t>
  </si>
  <si>
    <t>CMP-00878</t>
  </si>
  <si>
    <t>CMP-00879</t>
  </si>
  <si>
    <t>Q1_Launch_CMP-00879</t>
  </si>
  <si>
    <t>CMP-00880</t>
  </si>
  <si>
    <t>Q2_BlackFriday_CMP-00880</t>
  </si>
  <si>
    <t>CMP-00881</t>
  </si>
  <si>
    <t>Q3_Launch_CMP-00881</t>
  </si>
  <si>
    <t>CMP-00882</t>
  </si>
  <si>
    <t>Q1_BlackFriday_CMP-00882</t>
  </si>
  <si>
    <t>CMP-00883</t>
  </si>
  <si>
    <t>Q3_Launch_CMP-00883</t>
  </si>
  <si>
    <t>CMP-00884</t>
  </si>
  <si>
    <t>Q2_Summer_CMP-00884</t>
  </si>
  <si>
    <t>CMP-00885</t>
  </si>
  <si>
    <t>Q3_Launch_CMP-00885</t>
  </si>
  <si>
    <t>CMP-00886</t>
  </si>
  <si>
    <t>Q4_BlackFriday_CMP-00886</t>
  </si>
  <si>
    <t>CMP-00887</t>
  </si>
  <si>
    <t>Q4_Summer_CMP-00887</t>
  </si>
  <si>
    <t>CMP-00888</t>
  </si>
  <si>
    <t>Q2_Launch_CMP-00888</t>
  </si>
  <si>
    <t>CMP-00889</t>
  </si>
  <si>
    <t>Q3_Launch_CMP-00889</t>
  </si>
  <si>
    <t>CMP-00890</t>
  </si>
  <si>
    <t>CMP-00891</t>
  </si>
  <si>
    <t>Q4_Summer_CMP-00891</t>
  </si>
  <si>
    <t>CMP-00892</t>
  </si>
  <si>
    <t>Q4_Launch_CMP-00892</t>
  </si>
  <si>
    <t>CMP-00893</t>
  </si>
  <si>
    <t>Q3_Summer_CMP-00893</t>
  </si>
  <si>
    <t>CMP-00894</t>
  </si>
  <si>
    <t>CMP-00895</t>
  </si>
  <si>
    <t>Q1_Launch_CMP-00895</t>
  </si>
  <si>
    <t>CMP-00896</t>
  </si>
  <si>
    <t>Q2_Launch_CMP-00896</t>
  </si>
  <si>
    <t>CMP-00897</t>
  </si>
  <si>
    <t>Q3_Launch_CMP-00897</t>
  </si>
  <si>
    <t>CMP-00898</t>
  </si>
  <si>
    <t>Q1_BlackFriday_CMP-00898</t>
  </si>
  <si>
    <t>CMP-00899</t>
  </si>
  <si>
    <t>CMP-00900</t>
  </si>
  <si>
    <t>Q1_Summer_CMP-00900</t>
  </si>
  <si>
    <t>CMP-00901</t>
  </si>
  <si>
    <t>CMP-00902</t>
  </si>
  <si>
    <t>CMP-00903</t>
  </si>
  <si>
    <t>CMP-00904</t>
  </si>
  <si>
    <t>Q4_Launch_CMP-00904</t>
  </si>
  <si>
    <t>CMP-00905</t>
  </si>
  <si>
    <t>Q2_Summer_CMP-00905</t>
  </si>
  <si>
    <t>CMP-00906</t>
  </si>
  <si>
    <t>Q4_BlackFriday_CMP-00906</t>
  </si>
  <si>
    <t>CMP-00907</t>
  </si>
  <si>
    <t>Q4_BlackFriday_CMP-00907</t>
  </si>
  <si>
    <t>CMP-00908</t>
  </si>
  <si>
    <t>CMP-00909</t>
  </si>
  <si>
    <t>Q1_BlackFriday_CMP-00909</t>
  </si>
  <si>
    <t>CMP-00910</t>
  </si>
  <si>
    <t>Q4_Summer_CMP-00910</t>
  </si>
  <si>
    <t>CMP-00911</t>
  </si>
  <si>
    <t>CMP-00912</t>
  </si>
  <si>
    <t>Q4_Launch_CMP-00912</t>
  </si>
  <si>
    <t>CMP-00913</t>
  </si>
  <si>
    <t>CMP-00914</t>
  </si>
  <si>
    <t>Q3_Launch_CMP-00914</t>
  </si>
  <si>
    <t>CMP-00915</t>
  </si>
  <si>
    <t>Q4_Summer_CMP-00915</t>
  </si>
  <si>
    <t>CMP-00916</t>
  </si>
  <si>
    <t>Q1_Launch_CMP-00916</t>
  </si>
  <si>
    <t>CMP-00917</t>
  </si>
  <si>
    <t>Q1_Launch_CMP-00917</t>
  </si>
  <si>
    <t>CMP-00918</t>
  </si>
  <si>
    <t>Q2_Summer_CMP-00918</t>
  </si>
  <si>
    <t>CMP-00919</t>
  </si>
  <si>
    <t>Q2_Summer_CMP-00919</t>
  </si>
  <si>
    <t>CMP-00920</t>
  </si>
  <si>
    <t>CMP-00921</t>
  </si>
  <si>
    <t>Q4_Summer_CMP-00921</t>
  </si>
  <si>
    <t>CMP-00922</t>
  </si>
  <si>
    <t>Q1_Launch_CMP-00922</t>
  </si>
  <si>
    <t>CMP-00923</t>
  </si>
  <si>
    <t>CMP-00924</t>
  </si>
  <si>
    <t>CMP-00925</t>
  </si>
  <si>
    <t>Q4_Launch_CMP-00925</t>
  </si>
  <si>
    <t>CMP-00926</t>
  </si>
  <si>
    <t>Q1_BlackFriday_CMP-00926</t>
  </si>
  <si>
    <t>CMP-00927</t>
  </si>
  <si>
    <t>Q1_Launch_CMP-00927</t>
  </si>
  <si>
    <t>CMP-00928</t>
  </si>
  <si>
    <t>Q3_BlackFriday_CMP-00928</t>
  </si>
  <si>
    <t>CMP-00929</t>
  </si>
  <si>
    <t>Q3_BlackFriday_CMP-00929</t>
  </si>
  <si>
    <t>CMP-00930</t>
  </si>
  <si>
    <t>CMP-00931</t>
  </si>
  <si>
    <t>CMP-00932</t>
  </si>
  <si>
    <t>Q3_BlackFriday_CMP-00932</t>
  </si>
  <si>
    <t>CMP-00933</t>
  </si>
  <si>
    <t>Q4_Launch_CMP-00933</t>
  </si>
  <si>
    <t>CMP-00934</t>
  </si>
  <si>
    <t>Q2_BlackFriday_CMP-00934</t>
  </si>
  <si>
    <t>CMP-00935</t>
  </si>
  <si>
    <t>CMP-00936</t>
  </si>
  <si>
    <t>Q4_Summer_CMP-00936</t>
  </si>
  <si>
    <t>CMP-00937</t>
  </si>
  <si>
    <t>Q3_Launch_CMP-00937</t>
  </si>
  <si>
    <t>CMP-00938</t>
  </si>
  <si>
    <t>CMP-00939</t>
  </si>
  <si>
    <t>Q4_Summer_CMP-00939</t>
  </si>
  <si>
    <t>CMP-00940</t>
  </si>
  <si>
    <t>Q1_BlackFriday_CMP-00940</t>
  </si>
  <si>
    <t>CMP-00941</t>
  </si>
  <si>
    <t>CMP-00942</t>
  </si>
  <si>
    <t>Q1_Launch_CMP-00942</t>
  </si>
  <si>
    <t>CMP-00943</t>
  </si>
  <si>
    <t>Q3_Summer_CMP-00943</t>
  </si>
  <si>
    <t>CMP-00944</t>
  </si>
  <si>
    <t>Q1_Launch_CMP-00944</t>
  </si>
  <si>
    <t>CMP-00945</t>
  </si>
  <si>
    <t>Q2_Summer_CMP-00945</t>
  </si>
  <si>
    <t>CMP-00946</t>
  </si>
  <si>
    <t>CMP-00947</t>
  </si>
  <si>
    <t>Q3_Summer_CMP-00947</t>
  </si>
  <si>
    <t>CMP-00948</t>
  </si>
  <si>
    <t>Q2_BlackFriday_CMP-00948</t>
  </si>
  <si>
    <t>CMP-00949</t>
  </si>
  <si>
    <t>Q3_Launch_CMP-00949</t>
  </si>
  <si>
    <t>CMP-00950</t>
  </si>
  <si>
    <t>Q3_BlackFriday_CMP-00950</t>
  </si>
  <si>
    <t>CMP-00951</t>
  </si>
  <si>
    <t>Q4_BlackFriday_CMP-00951</t>
  </si>
  <si>
    <t>CMP-00952</t>
  </si>
  <si>
    <t>Q2_Summer_CMP-00952</t>
  </si>
  <si>
    <t>CMP-00953</t>
  </si>
  <si>
    <t>Q2_Summer_CMP-00953</t>
  </si>
  <si>
    <t>CMP-00954</t>
  </si>
  <si>
    <t>Q2_BlackFriday_CMP-00954</t>
  </si>
  <si>
    <t>CMP-00955</t>
  </si>
  <si>
    <t>Q2_BlackFriday_CMP-00955</t>
  </si>
  <si>
    <t>CMP-00956</t>
  </si>
  <si>
    <t>CMP-00957</t>
  </si>
  <si>
    <t>Q4_BlackFriday_CMP-00957</t>
  </si>
  <si>
    <t>CMP-00958</t>
  </si>
  <si>
    <t>Q3_Launch_CMP-00958</t>
  </si>
  <si>
    <t>CMP-00959</t>
  </si>
  <si>
    <t>CMP-00960</t>
  </si>
  <si>
    <t>CMP-00961</t>
  </si>
  <si>
    <t>Q2_Summer_CMP-00961</t>
  </si>
  <si>
    <t>CMP-00962</t>
  </si>
  <si>
    <t>CMP-00963</t>
  </si>
  <si>
    <t>Q2_Launch_CMP-00963</t>
  </si>
  <si>
    <t>CMP-00964</t>
  </si>
  <si>
    <t>Q1_BlackFriday_CMP-00964</t>
  </si>
  <si>
    <t>CMP-00965</t>
  </si>
  <si>
    <t>Q1_Summer_CMP-00965</t>
  </si>
  <si>
    <t>CMP-00966</t>
  </si>
  <si>
    <t>Q2_Launch_CMP-00966</t>
  </si>
  <si>
    <t>CMP-00967</t>
  </si>
  <si>
    <t>Q4_Launch_CMP-00967</t>
  </si>
  <si>
    <t>CMP-00968</t>
  </si>
  <si>
    <t>Q3_BlackFriday_CMP-00968</t>
  </si>
  <si>
    <t>CMP-00969</t>
  </si>
  <si>
    <t>CMP-00970</t>
  </si>
  <si>
    <t>Q4_Launch_CMP-00970</t>
  </si>
  <si>
    <t>CMP-00971</t>
  </si>
  <si>
    <t>Q4_Launch_CMP-00971</t>
  </si>
  <si>
    <t>CMP-00972</t>
  </si>
  <si>
    <t>Q3_BlackFriday_CMP-00972</t>
  </si>
  <si>
    <t>CMP-00973</t>
  </si>
  <si>
    <t>Q3_Summer_CMP-00973</t>
  </si>
  <si>
    <t>CMP-00974</t>
  </si>
  <si>
    <t>CMP-00975</t>
  </si>
  <si>
    <t>CMP-00976</t>
  </si>
  <si>
    <t>Q4_Launch_CMP-00976</t>
  </si>
  <si>
    <t>CMP-00977</t>
  </si>
  <si>
    <t>Q4_BlackFriday_CMP-00977</t>
  </si>
  <si>
    <t>CMP-00978</t>
  </si>
  <si>
    <t>Q1_Launch_CMP-00978</t>
  </si>
  <si>
    <t>CMP-00979</t>
  </si>
  <si>
    <t>CMP-00980</t>
  </si>
  <si>
    <t>Q1_BlackFriday_CMP-00980</t>
  </si>
  <si>
    <t>CMP-00981</t>
  </si>
  <si>
    <t>Q4_BlackFriday_CMP-00981</t>
  </si>
  <si>
    <t>CMP-00982</t>
  </si>
  <si>
    <t>CMP-00983</t>
  </si>
  <si>
    <t>Q2_Launch_CMP-00983</t>
  </si>
  <si>
    <t>CMP-00984</t>
  </si>
  <si>
    <t>CMP-00985</t>
  </si>
  <si>
    <t>CMP-00986</t>
  </si>
  <si>
    <t>Q4_BlackFriday_CMP-00986</t>
  </si>
  <si>
    <t>CMP-00987</t>
  </si>
  <si>
    <t>Q2_Summer_CMP-00987</t>
  </si>
  <si>
    <t>CMP-00988</t>
  </si>
  <si>
    <t>Q3_BlackFriday_CMP-00988</t>
  </si>
  <si>
    <t>CMP-00989</t>
  </si>
  <si>
    <t>Q1_BlackFriday_CMP-00989</t>
  </si>
  <si>
    <t>CMP-00990</t>
  </si>
  <si>
    <t>Q3_Summer_CMP-00990</t>
  </si>
  <si>
    <t>CMP-00991</t>
  </si>
  <si>
    <t>Q3_Summer_CMP-00991</t>
  </si>
  <si>
    <t>CMP-00992</t>
  </si>
  <si>
    <t>Q3_Launch_CMP-00992</t>
  </si>
  <si>
    <t>CMP-00993</t>
  </si>
  <si>
    <t>Q4_Summer_CMP-00993</t>
  </si>
  <si>
    <t>CMP-00994</t>
  </si>
  <si>
    <t>Q3_BlackFriday_CMP-00994</t>
  </si>
  <si>
    <t>CMP-00995</t>
  </si>
  <si>
    <t>Q1_Summer_CMP-00995</t>
  </si>
  <si>
    <t>CMP-00996</t>
  </si>
  <si>
    <t>Q4_Launch_CMP-00996</t>
  </si>
  <si>
    <t>CMP-00997</t>
  </si>
  <si>
    <t>CMP-00998</t>
  </si>
  <si>
    <t>Q4_Summer_CMP-00998</t>
  </si>
  <si>
    <t>CMP-00999</t>
  </si>
  <si>
    <t>Q1_BlackFriday_CMP-00999</t>
  </si>
  <si>
    <t>CMP-01000</t>
  </si>
  <si>
    <t>CMP-01001</t>
  </si>
  <si>
    <t>CMP-01002</t>
  </si>
  <si>
    <t>Q1_Launch_CMP-01002</t>
  </si>
  <si>
    <t>CMP-01003</t>
  </si>
  <si>
    <t>Q1_Summer_CMP-01003</t>
  </si>
  <si>
    <t>CMP-01004</t>
  </si>
  <si>
    <t>Q4_Summer_CMP-01004</t>
  </si>
  <si>
    <t>CMP-01005</t>
  </si>
  <si>
    <t>Q3_Summer_CMP-01005</t>
  </si>
  <si>
    <t>CMP-01006</t>
  </si>
  <si>
    <t>CMP-01007</t>
  </si>
  <si>
    <t>Q1_BlackFriday_CMP-01007</t>
  </si>
  <si>
    <t>CMP-01008</t>
  </si>
  <si>
    <t>CMP-01009</t>
  </si>
  <si>
    <t>Q3_Summer_CMP-01009</t>
  </si>
  <si>
    <t>CMP-01010</t>
  </si>
  <si>
    <t>Q4_Launch_CMP-01010</t>
  </si>
  <si>
    <t>CMP-01011</t>
  </si>
  <si>
    <t>Q1_Summer_CMP-01011</t>
  </si>
  <si>
    <t>CMP-01012</t>
  </si>
  <si>
    <t>CMP-01013</t>
  </si>
  <si>
    <t>Q3_Summer_CMP-01013</t>
  </si>
  <si>
    <t>CMP-01014</t>
  </si>
  <si>
    <t>Q2_Launch_CMP-01014</t>
  </si>
  <si>
    <t>CMP-01015</t>
  </si>
  <si>
    <t>Q1_BlackFriday_CMP-01015</t>
  </si>
  <si>
    <t>CMP-01016</t>
  </si>
  <si>
    <t>Q2_Launch_CMP-01016</t>
  </si>
  <si>
    <t>CMP-01017</t>
  </si>
  <si>
    <t>Q2_Summer_CMP-01017</t>
  </si>
  <si>
    <t>CMP-01018</t>
  </si>
  <si>
    <t>Q3_BlackFriday_CMP-01018</t>
  </si>
  <si>
    <t>CMP-01019</t>
  </si>
  <si>
    <t>Q3_Summer_CMP-01019</t>
  </si>
  <si>
    <t>CMP-01020</t>
  </si>
  <si>
    <t>Q3_Launch_CMP-01020</t>
  </si>
  <si>
    <t>CMP-01021</t>
  </si>
  <si>
    <t>Q1_Launch_CMP-01021</t>
  </si>
  <si>
    <t>CMP-01022</t>
  </si>
  <si>
    <t>Q1_Summer_CMP-01022</t>
  </si>
  <si>
    <t>CMP-01023</t>
  </si>
  <si>
    <t>CMP-01024</t>
  </si>
  <si>
    <t>CMP-01025</t>
  </si>
  <si>
    <t>Q3_Summer_CMP-01025</t>
  </si>
  <si>
    <t>CMP-01026</t>
  </si>
  <si>
    <t>Q2_Summer_CMP-01026</t>
  </si>
  <si>
    <t>CMP-01027</t>
  </si>
  <si>
    <t>Q2_BlackFriday_CMP-01027</t>
  </si>
  <si>
    <t>CMP-01028</t>
  </si>
  <si>
    <t>Q4_Summer_CMP-01028</t>
  </si>
  <si>
    <t>CMP-01029</t>
  </si>
  <si>
    <t>Q2_BlackFriday_CMP-01029</t>
  </si>
  <si>
    <t>CMP-01030</t>
  </si>
  <si>
    <t>CMP-01031</t>
  </si>
  <si>
    <t>Q3_Summer_CMP-01031</t>
  </si>
  <si>
    <t>CMP-01032</t>
  </si>
  <si>
    <t>Q4_BlackFriday_CMP-01032</t>
  </si>
  <si>
    <t>CMP-01033</t>
  </si>
  <si>
    <t>Q2_BlackFriday_CMP-01033</t>
  </si>
  <si>
    <t>CMP-01034</t>
  </si>
  <si>
    <t>Q2_BlackFriday_CMP-01034</t>
  </si>
  <si>
    <t>CMP-01035</t>
  </si>
  <si>
    <t>CMP-01036</t>
  </si>
  <si>
    <t>Q2_BlackFriday_CMP-01036</t>
  </si>
  <si>
    <t>CMP-01037</t>
  </si>
  <si>
    <t>CMP-01038</t>
  </si>
  <si>
    <t>Q3_BlackFriday_CMP-01038</t>
  </si>
  <si>
    <t>CMP-01039</t>
  </si>
  <si>
    <t>Q4_BlackFriday_CMP-01039</t>
  </si>
  <si>
    <t>CMP-01040</t>
  </si>
  <si>
    <t>Q1_Launch_CMP-01040</t>
  </si>
  <si>
    <t>CMP-01041</t>
  </si>
  <si>
    <t>Q3_BlackFriday_CMP-01041</t>
  </si>
  <si>
    <t>CMP-01042</t>
  </si>
  <si>
    <t>Q3_Launch_CMP-01042</t>
  </si>
  <si>
    <t>CMP-01043</t>
  </si>
  <si>
    <t>Q2_Summer_CMP-01043</t>
  </si>
  <si>
    <t>CMP-01044</t>
  </si>
  <si>
    <t>CMP-01045</t>
  </si>
  <si>
    <t>Q2_Launch_CMP-01045</t>
  </si>
  <si>
    <t>CMP-01046</t>
  </si>
  <si>
    <t>Q3_BlackFriday_CMP-01046</t>
  </si>
  <si>
    <t>CMP-01047</t>
  </si>
  <si>
    <t>Q2_BlackFriday_CMP-01047</t>
  </si>
  <si>
    <t>CMP-01048</t>
  </si>
  <si>
    <t>Q3_Summer_CMP-01048</t>
  </si>
  <si>
    <t>CMP-01049</t>
  </si>
  <si>
    <t>Q2_BlackFriday_CMP-01049</t>
  </si>
  <si>
    <t>CMP-01050</t>
  </si>
  <si>
    <t>Q2_Launch_CMP-01050</t>
  </si>
  <si>
    <t>CMP-01051</t>
  </si>
  <si>
    <t>Q3_Summer_CMP-01051</t>
  </si>
  <si>
    <t>CMP-01052</t>
  </si>
  <si>
    <t>CMP-01053</t>
  </si>
  <si>
    <t>CMP-01054</t>
  </si>
  <si>
    <t>Q4_BlackFriday_CMP-01054</t>
  </si>
  <si>
    <t>CMP-01055</t>
  </si>
  <si>
    <t>Q3_Launch_CMP-01055</t>
  </si>
  <si>
    <t>CMP-01056</t>
  </si>
  <si>
    <t>Q1_BlackFriday_CMP-01056</t>
  </si>
  <si>
    <t>CMP-01057</t>
  </si>
  <si>
    <t>Q1_BlackFriday_CMP-01057</t>
  </si>
  <si>
    <t>CMP-01058</t>
  </si>
  <si>
    <t>CMP-01059</t>
  </si>
  <si>
    <t>Q4_Launch_CMP-01059</t>
  </si>
  <si>
    <t>CMP-01060</t>
  </si>
  <si>
    <t>Q3_BlackFriday_CMP-01060</t>
  </si>
  <si>
    <t>CMP-01061</t>
  </si>
  <si>
    <t>CMP-01062</t>
  </si>
  <si>
    <t>Q3_BlackFriday_CMP-01062</t>
  </si>
  <si>
    <t>CMP-01063</t>
  </si>
  <si>
    <t>Q2_Launch_CMP-01063</t>
  </si>
  <si>
    <t>CMP-01064</t>
  </si>
  <si>
    <t>Q2_Summer_CMP-01064</t>
  </si>
  <si>
    <t>CMP-01065</t>
  </si>
  <si>
    <t>Q4_Launch_CMP-01065</t>
  </si>
  <si>
    <t>CMP-01066</t>
  </si>
  <si>
    <t>Q4_Launch_CMP-01066</t>
  </si>
  <si>
    <t>CMP-01067</t>
  </si>
  <si>
    <t>CMP-01068</t>
  </si>
  <si>
    <t>Q3_BlackFriday_CMP-01068</t>
  </si>
  <si>
    <t>CMP-01069</t>
  </si>
  <si>
    <t>Q3_Launch_CMP-01069</t>
  </si>
  <si>
    <t>CMP-01070</t>
  </si>
  <si>
    <t>Q4_BlackFriday_CMP-01070</t>
  </si>
  <si>
    <t>CMP-01071</t>
  </si>
  <si>
    <t>CMP-01072</t>
  </si>
  <si>
    <t>Q1_Launch_CMP-01072</t>
  </si>
  <si>
    <t>CMP-01073</t>
  </si>
  <si>
    <t>Q4_BlackFriday_CMP-01073</t>
  </si>
  <si>
    <t>CMP-01074</t>
  </si>
  <si>
    <t>Q4_Summer_CMP-01074</t>
  </si>
  <si>
    <t>CMP-01075</t>
  </si>
  <si>
    <t>CMP-01076</t>
  </si>
  <si>
    <t>CMP-01077</t>
  </si>
  <si>
    <t>CMP-01078</t>
  </si>
  <si>
    <t>Q3_Summer_CMP-01078</t>
  </si>
  <si>
    <t>CMP-01079</t>
  </si>
  <si>
    <t>Q1_BlackFriday_CMP-01079</t>
  </si>
  <si>
    <t>CMP-01080</t>
  </si>
  <si>
    <t>Q2_BlackFriday_CMP-01080</t>
  </si>
  <si>
    <t>CMP-01081</t>
  </si>
  <si>
    <t>Q4_Launch_CMP-01081</t>
  </si>
  <si>
    <t>CMP-01082</t>
  </si>
  <si>
    <t>Q2_Launch_CMP-01082</t>
  </si>
  <si>
    <t>CMP-01083</t>
  </si>
  <si>
    <t>CMP-01084</t>
  </si>
  <si>
    <t>CMP-01085</t>
  </si>
  <si>
    <t>Q3_BlackFriday_CMP-01085</t>
  </si>
  <si>
    <t>CMP-01086</t>
  </si>
  <si>
    <t>CMP-01087</t>
  </si>
  <si>
    <t>CMP-01088</t>
  </si>
  <si>
    <t>Q4_Summer_CMP-01088</t>
  </si>
  <si>
    <t>CMP-01089</t>
  </si>
  <si>
    <t>CMP-01090</t>
  </si>
  <si>
    <t>Q3_Summer_CMP-01090</t>
  </si>
  <si>
    <t>CMP-01091</t>
  </si>
  <si>
    <t>CMP-01092</t>
  </si>
  <si>
    <t>Q3_Summer_CMP-01092</t>
  </si>
  <si>
    <t>CMP-01093</t>
  </si>
  <si>
    <t>Q4_Launch_CMP-01093</t>
  </si>
  <si>
    <t>CMP-01094</t>
  </si>
  <si>
    <t>Q2_Launch_CMP-01094</t>
  </si>
  <si>
    <t>CMP-01095</t>
  </si>
  <si>
    <t>Q4_Launch_CMP-01095</t>
  </si>
  <si>
    <t>CMP-01096</t>
  </si>
  <si>
    <t>Q2_Summer_CMP-01096</t>
  </si>
  <si>
    <t>CMP-01097</t>
  </si>
  <si>
    <t>CMP-01098</t>
  </si>
  <si>
    <t>CMP-01099</t>
  </si>
  <si>
    <t>Q4_BlackFriday_CMP-01099</t>
  </si>
  <si>
    <t>CMP-01100</t>
  </si>
  <si>
    <t>Q3_Launch_CMP-01100</t>
  </si>
  <si>
    <t>CMP-01101</t>
  </si>
  <si>
    <t>Q4_Summer_CMP-01101</t>
  </si>
  <si>
    <t>CMP-01102</t>
  </si>
  <si>
    <t>Q3_Launch_CMP-01102</t>
  </si>
  <si>
    <t>CMP-01103</t>
  </si>
  <si>
    <t>CMP-01104</t>
  </si>
  <si>
    <t>CMP-01105</t>
  </si>
  <si>
    <t>Q3_BlackFriday_CMP-01105</t>
  </si>
  <si>
    <t>CMP-01106</t>
  </si>
  <si>
    <t>Q3_Summer_CMP-01106</t>
  </si>
  <si>
    <t>CMP-01107</t>
  </si>
  <si>
    <t>Q4_Summer_CMP-01107</t>
  </si>
  <si>
    <t>CMP-01108</t>
  </si>
  <si>
    <t>CMP-01109</t>
  </si>
  <si>
    <t>CMP-01110</t>
  </si>
  <si>
    <t>CMP-01111</t>
  </si>
  <si>
    <t>Q3_Launch_CMP-01111</t>
  </si>
  <si>
    <t>CMP-01112</t>
  </si>
  <si>
    <t>Q1_BlackFriday_CMP-01112</t>
  </si>
  <si>
    <t>CMP-01113</t>
  </si>
  <si>
    <t>CMP-01114</t>
  </si>
  <si>
    <t>CMP-01115</t>
  </si>
  <si>
    <t>Q3_BlackFriday_CMP-01115</t>
  </si>
  <si>
    <t>CMP-01116</t>
  </si>
  <si>
    <t>Q4_Launch_CMP-01116</t>
  </si>
  <si>
    <t>CMP-01117</t>
  </si>
  <si>
    <t>Q1_BlackFriday_CMP-01117</t>
  </si>
  <si>
    <t>CMP-01118</t>
  </si>
  <si>
    <t>CMP-01119</t>
  </si>
  <si>
    <t>Q2_Launch_CMP-01119</t>
  </si>
  <si>
    <t>CMP-01120</t>
  </si>
  <si>
    <t>Q1_Launch_CMP-01120</t>
  </si>
  <si>
    <t>CMP-01121</t>
  </si>
  <si>
    <t>Q1_BlackFriday_CMP-01121</t>
  </si>
  <si>
    <t>CMP-01122</t>
  </si>
  <si>
    <t>Q1_Launch_CMP-01122</t>
  </si>
  <si>
    <t>CMP-01123</t>
  </si>
  <si>
    <t>CMP-01124</t>
  </si>
  <si>
    <t>CMP-01125</t>
  </si>
  <si>
    <t>Q4_Launch_CMP-01125</t>
  </si>
  <si>
    <t>CMP-01126</t>
  </si>
  <si>
    <t>Q1_Launch_CMP-01126</t>
  </si>
  <si>
    <t>CMP-01127</t>
  </si>
  <si>
    <t>Q4_Launch_CMP-01127</t>
  </si>
  <si>
    <t>CMP-01128</t>
  </si>
  <si>
    <t>Q1_BlackFriday_CMP-01128</t>
  </si>
  <si>
    <t>CMP-01129</t>
  </si>
  <si>
    <t>Q4_BlackFriday_CMP-01129</t>
  </si>
  <si>
    <t>CMP-01130</t>
  </si>
  <si>
    <t>Q1_Launch_CMP-01130</t>
  </si>
  <si>
    <t>CMP-01131</t>
  </si>
  <si>
    <t>Q3_Launch_CMP-01131</t>
  </si>
  <si>
    <t>CMP-01132</t>
  </si>
  <si>
    <t>Q3_BlackFriday_CMP-01132</t>
  </si>
  <si>
    <t>CMP-01133</t>
  </si>
  <si>
    <t>CMP-01134</t>
  </si>
  <si>
    <t>Q4_Launch_CMP-01134</t>
  </si>
  <si>
    <t>CMP-01135</t>
  </si>
  <si>
    <t>CMP-01136</t>
  </si>
  <si>
    <t>Q1_BlackFriday_CMP-01136</t>
  </si>
  <si>
    <t>CMP-01137</t>
  </si>
  <si>
    <t>CMP-01138</t>
  </si>
  <si>
    <t>Q4_Launch_CMP-01138</t>
  </si>
  <si>
    <t>CMP-01139</t>
  </si>
  <si>
    <t>Q1_Launch_CMP-01139</t>
  </si>
  <si>
    <t>CMP-01140</t>
  </si>
  <si>
    <t>Q3_Summer_CMP-01140</t>
  </si>
  <si>
    <t>CMP-01141</t>
  </si>
  <si>
    <t>Q1_Launch_CMP-01141</t>
  </si>
  <si>
    <t>CMP-01142</t>
  </si>
  <si>
    <t>Q4_BlackFriday_CMP-01142</t>
  </si>
  <si>
    <t>CMP-01143</t>
  </si>
  <si>
    <t>Q1_BlackFriday_CMP-01143</t>
  </si>
  <si>
    <t>CMP-01144</t>
  </si>
  <si>
    <t>Q3_Launch_CMP-01144</t>
  </si>
  <si>
    <t>CMP-01145</t>
  </si>
  <si>
    <t>Q3_BlackFriday_CMP-01145</t>
  </si>
  <si>
    <t>CMP-01146</t>
  </si>
  <si>
    <t>Q1_BlackFriday_CMP-01146</t>
  </si>
  <si>
    <t>CMP-01147</t>
  </si>
  <si>
    <t>Q2_BlackFriday_CMP-01147</t>
  </si>
  <si>
    <t>CMP-01148</t>
  </si>
  <si>
    <t>Q3_Launch_CMP-01148</t>
  </si>
  <si>
    <t>CMP-01149</t>
  </si>
  <si>
    <t>Q1_Launch_CMP-01149</t>
  </si>
  <si>
    <t>CMP-01150</t>
  </si>
  <si>
    <t>Q3_BlackFriday_CMP-01150</t>
  </si>
  <si>
    <t>CMP-01151</t>
  </si>
  <si>
    <t>Q1_Summer_CMP-01151</t>
  </si>
  <si>
    <t>CMP-01152</t>
  </si>
  <si>
    <t>Q3_Summer_CMP-01152</t>
  </si>
  <si>
    <t>CMP-01153</t>
  </si>
  <si>
    <t>CMP-01154</t>
  </si>
  <si>
    <t>Q2_Summer_CMP-01154</t>
  </si>
  <si>
    <t>CMP-01155</t>
  </si>
  <si>
    <t>CMP-01156</t>
  </si>
  <si>
    <t>Q2_Launch_CMP-01156</t>
  </si>
  <si>
    <t>CMP-01157</t>
  </si>
  <si>
    <t>Q4_BlackFriday_CMP-01157</t>
  </si>
  <si>
    <t>CMP-01158</t>
  </si>
  <si>
    <t>Q3_Launch_CMP-01158</t>
  </si>
  <si>
    <t>CMP-01159</t>
  </si>
  <si>
    <t>Q2_Launch_CMP-01159</t>
  </si>
  <si>
    <t>CMP-01160</t>
  </si>
  <si>
    <t>Q1_Summer_CMP-01160</t>
  </si>
  <si>
    <t>CMP-01161</t>
  </si>
  <si>
    <t>Q3_BlackFriday_CMP-01161</t>
  </si>
  <si>
    <t>CMP-01162</t>
  </si>
  <si>
    <t>CMP-01163</t>
  </si>
  <si>
    <t>Q1_Launch_CMP-01163</t>
  </si>
  <si>
    <t>CMP-01164</t>
  </si>
  <si>
    <t>Q1_BlackFriday_CMP-01164</t>
  </si>
  <si>
    <t>CMP-01165</t>
  </si>
  <si>
    <t>Q3_Launch_CMP-01165</t>
  </si>
  <si>
    <t>CMP-01166</t>
  </si>
  <si>
    <t>Q4_Summer_CMP-01166</t>
  </si>
  <si>
    <t>CMP-01167</t>
  </si>
  <si>
    <t>Q2_BlackFriday_CMP-01167</t>
  </si>
  <si>
    <t>CMP-01168</t>
  </si>
  <si>
    <t>Q1_Launch_CMP-01168</t>
  </si>
  <si>
    <t>CMP-01169</t>
  </si>
  <si>
    <t>CMP-01170</t>
  </si>
  <si>
    <t>Q3_BlackFriday_CMP-01170</t>
  </si>
  <si>
    <t>CMP-01171</t>
  </si>
  <si>
    <t>Q2_Summer_CMP-01171</t>
  </si>
  <si>
    <t>CMP-01172</t>
  </si>
  <si>
    <t>Q3_Launch_CMP-01172</t>
  </si>
  <si>
    <t>CMP-01173</t>
  </si>
  <si>
    <t>Q2_Launch_CMP-01173</t>
  </si>
  <si>
    <t>CMP-01174</t>
  </si>
  <si>
    <t>CMP-01175</t>
  </si>
  <si>
    <t>Q3_Summer_CMP-01175</t>
  </si>
  <si>
    <t>CMP-01176</t>
  </si>
  <si>
    <t>CMP-01177</t>
  </si>
  <si>
    <t>Q3_BlackFriday_CMP-01177</t>
  </si>
  <si>
    <t>CMP-01178</t>
  </si>
  <si>
    <t>Q1_Launch_CMP-01178</t>
  </si>
  <si>
    <t>CMP-01179</t>
  </si>
  <si>
    <t>Q2_Summer_CMP-01179</t>
  </si>
  <si>
    <t>CMP-01180</t>
  </si>
  <si>
    <t>CMP-01181</t>
  </si>
  <si>
    <t>Q3_BlackFriday_CMP-01181</t>
  </si>
  <si>
    <t>CMP-01182</t>
  </si>
  <si>
    <t>Q4_BlackFriday_CMP-01182</t>
  </si>
  <si>
    <t>CMP-01183</t>
  </si>
  <si>
    <t>CMP-01184</t>
  </si>
  <si>
    <t>Q2_Summer_CMP-01184</t>
  </si>
  <si>
    <t>CMP-01185</t>
  </si>
  <si>
    <t>CMP-01186</t>
  </si>
  <si>
    <t>Q1_BlackFriday_CMP-01186</t>
  </si>
  <si>
    <t>CMP-01187</t>
  </si>
  <si>
    <t>Q4_Launch_CMP-01187</t>
  </si>
  <si>
    <t>CMP-01188</t>
  </si>
  <si>
    <t>Q3_Launch_CMP-01188</t>
  </si>
  <si>
    <t>CMP-01189</t>
  </si>
  <si>
    <t>Q4_Summer_CMP-01189</t>
  </si>
  <si>
    <t>CMP-01190</t>
  </si>
  <si>
    <t>Q3_BlackFriday_CMP-01190</t>
  </si>
  <si>
    <t>CMP-01191</t>
  </si>
  <si>
    <t>Q3_BlackFriday_CMP-01191</t>
  </si>
  <si>
    <t>CMP-01192</t>
  </si>
  <si>
    <t>CMP-01193</t>
  </si>
  <si>
    <t>Q4_Launch_CMP-01193</t>
  </si>
  <si>
    <t>CMP-01194</t>
  </si>
  <si>
    <t>CMP-01195</t>
  </si>
  <si>
    <t>Q4_BlackFriday_CMP-01195</t>
  </si>
  <si>
    <t>CMP-01196</t>
  </si>
  <si>
    <t>Q4_Summer_CMP-01196</t>
  </si>
  <si>
    <t>CMP-01197</t>
  </si>
  <si>
    <t>Q1_Launch_CMP-01197</t>
  </si>
  <si>
    <t>CMP-01198</t>
  </si>
  <si>
    <t>Q3_Summer_CMP-01198</t>
  </si>
  <si>
    <t>CMP-01199</t>
  </si>
  <si>
    <t>Q2_BlackFriday_CMP-01199</t>
  </si>
  <si>
    <t>CMP-01200</t>
  </si>
  <si>
    <t>Q3_BlackFriday_CMP-01200</t>
  </si>
  <si>
    <t>CMP-01201</t>
  </si>
  <si>
    <t>Q3_Launch_CMP-01201</t>
  </si>
  <si>
    <t>CMP-01202</t>
  </si>
  <si>
    <t>Q4_Summer_CMP-01202</t>
  </si>
  <si>
    <t>CMP-01203</t>
  </si>
  <si>
    <t>CMP-01204</t>
  </si>
  <si>
    <t>Q3_Launch_CMP-01204</t>
  </si>
  <si>
    <t>CMP-01205</t>
  </si>
  <si>
    <t>Q4_Summer_CMP-01205</t>
  </si>
  <si>
    <t>CMP-01206</t>
  </si>
  <si>
    <t>Q3_Launch_CMP-01206</t>
  </si>
  <si>
    <t>CMP-01207</t>
  </si>
  <si>
    <t>Q2_Launch_CMP-01207</t>
  </si>
  <si>
    <t>CMP-01208</t>
  </si>
  <si>
    <t>Q2_Launch_CMP-01208</t>
  </si>
  <si>
    <t>CMP-01209</t>
  </si>
  <si>
    <t>Q1_Summer_CMP-01209</t>
  </si>
  <si>
    <t>CMP-01210</t>
  </si>
  <si>
    <t>CMP-01211</t>
  </si>
  <si>
    <t>Q2_Summer_CMP-01211</t>
  </si>
  <si>
    <t>CMP-01212</t>
  </si>
  <si>
    <t>CMP-01213</t>
  </si>
  <si>
    <t>Q2_Launch_CMP-01213</t>
  </si>
  <si>
    <t>CMP-01214</t>
  </si>
  <si>
    <t>Q4_BlackFriday_CMP-01214</t>
  </si>
  <si>
    <t>CMP-01215</t>
  </si>
  <si>
    <t>Q2_Launch_CMP-01215</t>
  </si>
  <si>
    <t>CMP-01216</t>
  </si>
  <si>
    <t>Q3_BlackFriday_CMP-01216</t>
  </si>
  <si>
    <t>CMP-01217</t>
  </si>
  <si>
    <t>Q3_Summer_CMP-01217</t>
  </si>
  <si>
    <t>CMP-01218</t>
  </si>
  <si>
    <t>Q3_Launch_CMP-01218</t>
  </si>
  <si>
    <t>CMP-01219</t>
  </si>
  <si>
    <t>Q2_Launch_CMP-01219</t>
  </si>
  <si>
    <t>CMP-01220</t>
  </si>
  <si>
    <t>Q4_Launch_CMP-01220</t>
  </si>
  <si>
    <t>CMP-01221</t>
  </si>
  <si>
    <t>Q3_Launch_CMP-01221</t>
  </si>
  <si>
    <t>CMP-01222</t>
  </si>
  <si>
    <t>CMP-01223</t>
  </si>
  <si>
    <t>Q4_BlackFriday_CMP-01223</t>
  </si>
  <si>
    <t>CMP-01224</t>
  </si>
  <si>
    <t>Q1_BlackFriday_CMP-01224</t>
  </si>
  <si>
    <t>CMP-01225</t>
  </si>
  <si>
    <t>CMP-01226</t>
  </si>
  <si>
    <t>Q1_Launch_CMP-01226</t>
  </si>
  <si>
    <t>CMP-01227</t>
  </si>
  <si>
    <t>Q4_Launch_CMP-01227</t>
  </si>
  <si>
    <t>CMP-01228</t>
  </si>
  <si>
    <t>CMP-01229</t>
  </si>
  <si>
    <t>CMP-01230</t>
  </si>
  <si>
    <t>Q2_Summer_CMP-01230</t>
  </si>
  <si>
    <t>CMP-01231</t>
  </si>
  <si>
    <t>Q4_Summer_CMP-01231</t>
  </si>
  <si>
    <t>CMP-01232</t>
  </si>
  <si>
    <t>CMP-01233</t>
  </si>
  <si>
    <t>Q2_Launch_CMP-01233</t>
  </si>
  <si>
    <t>CMP-01234</t>
  </si>
  <si>
    <t>Q1_BlackFriday_CMP-01234</t>
  </si>
  <si>
    <t>CMP-01235</t>
  </si>
  <si>
    <t>Q1_Launch_CMP-01235</t>
  </si>
  <si>
    <t>CMP-01236</t>
  </si>
  <si>
    <t>CMP-01237</t>
  </si>
  <si>
    <t>Q4_BlackFriday_CMP-01237</t>
  </si>
  <si>
    <t>CMP-01238</t>
  </si>
  <si>
    <t>CMP-01239</t>
  </si>
  <si>
    <t>CMP-01240</t>
  </si>
  <si>
    <t>CMP-01241</t>
  </si>
  <si>
    <t>Q3_Summer_CMP-01241</t>
  </si>
  <si>
    <t>CMP-01242</t>
  </si>
  <si>
    <t>CMP-01243</t>
  </si>
  <si>
    <t>Q4_Launch_CMP-01243</t>
  </si>
  <si>
    <t>CMP-01244</t>
  </si>
  <si>
    <t>Q2_Launch_CMP-01244</t>
  </si>
  <si>
    <t>CMP-01245</t>
  </si>
  <si>
    <t>CMP-01246</t>
  </si>
  <si>
    <t>Q4_Summer_CMP-01246</t>
  </si>
  <si>
    <t>CMP-01247</t>
  </si>
  <si>
    <t>CMP-01248</t>
  </si>
  <si>
    <t>Q2_Launch_CMP-01248</t>
  </si>
  <si>
    <t>CMP-01249</t>
  </si>
  <si>
    <t>Q1_Summer_CMP-01249</t>
  </si>
  <si>
    <t>CMP-01250</t>
  </si>
  <si>
    <t>Q1_Launch_CMP-01250</t>
  </si>
  <si>
    <t>CMP-01251</t>
  </si>
  <si>
    <t>Q4_Launch_CMP-01251</t>
  </si>
  <si>
    <t>CMP-01252</t>
  </si>
  <si>
    <t>Q1_Launch_CMP-01252</t>
  </si>
  <si>
    <t>CMP-01253</t>
  </si>
  <si>
    <t>Q3_Summer_CMP-01253</t>
  </si>
  <si>
    <t>CMP-01254</t>
  </si>
  <si>
    <t>Q1_Launch_CMP-01254</t>
  </si>
  <si>
    <t>CMP-01255</t>
  </si>
  <si>
    <t>Q4_Summer_CMP-01255</t>
  </si>
  <si>
    <t>CMP-01256</t>
  </si>
  <si>
    <t>Q3_Launch_CMP-01256</t>
  </si>
  <si>
    <t>CMP-01257</t>
  </si>
  <si>
    <t>Q1_BlackFriday_CMP-01257</t>
  </si>
  <si>
    <t>CMP-01258</t>
  </si>
  <si>
    <t>Q4_Launch_CMP-01258</t>
  </si>
  <si>
    <t>CMP-01259</t>
  </si>
  <si>
    <t>Q4_Summer_CMP-01259</t>
  </si>
  <si>
    <t>CMP-01260</t>
  </si>
  <si>
    <t>CMP-01261</t>
  </si>
  <si>
    <t>Q3_Summer_CMP-01261</t>
  </si>
  <si>
    <t>CMP-01262</t>
  </si>
  <si>
    <t>Q2_BlackFriday_CMP-01262</t>
  </si>
  <si>
    <t>CMP-01263</t>
  </si>
  <si>
    <t>Q4_BlackFriday_CMP-01263</t>
  </si>
  <si>
    <t>CMP-01264</t>
  </si>
  <si>
    <t>CMP-01265</t>
  </si>
  <si>
    <t>CMP-01266</t>
  </si>
  <si>
    <t>Q3_Summer_CMP-01266</t>
  </si>
  <si>
    <t>CMP-01267</t>
  </si>
  <si>
    <t>Q3_Summer_CMP-01267</t>
  </si>
  <si>
    <t>CMP-01268</t>
  </si>
  <si>
    <t>Q4_Launch_CMP-01268</t>
  </si>
  <si>
    <t>CMP-01269</t>
  </si>
  <si>
    <t>Q2_BlackFriday_CMP-01269</t>
  </si>
  <si>
    <t>CMP-01270</t>
  </si>
  <si>
    <t>Q3_BlackFriday_CMP-01270</t>
  </si>
  <si>
    <t>CMP-01271</t>
  </si>
  <si>
    <t>Q4_BlackFriday_CMP-01271</t>
  </si>
  <si>
    <t>CMP-01272</t>
  </si>
  <si>
    <t>Q4_BlackFriday_CMP-01272</t>
  </si>
  <si>
    <t>CMP-01273</t>
  </si>
  <si>
    <t>Q3_Summer_CMP-01273</t>
  </si>
  <si>
    <t>CMP-01274</t>
  </si>
  <si>
    <t>CMP-01275</t>
  </si>
  <si>
    <t>Q3_Summer_CMP-01275</t>
  </si>
  <si>
    <t>CMP-01276</t>
  </si>
  <si>
    <t>Q2_BlackFriday_CMP-01276</t>
  </si>
  <si>
    <t>CMP-01277</t>
  </si>
  <si>
    <t>Q3_BlackFriday_CMP-01277</t>
  </si>
  <si>
    <t>CMP-01278</t>
  </si>
  <si>
    <t>CMP-01279</t>
  </si>
  <si>
    <t>Q3_Launch_CMP-01279</t>
  </si>
  <si>
    <t>CMP-01280</t>
  </si>
  <si>
    <t>Q4_BlackFriday_CMP-01280</t>
  </si>
  <si>
    <t>CMP-01281</t>
  </si>
  <si>
    <t>CMP-01282</t>
  </si>
  <si>
    <t>Q2_BlackFriday_CMP-01282</t>
  </si>
  <si>
    <t>CMP-01283</t>
  </si>
  <si>
    <t>Q4_BlackFriday_CMP-01283</t>
  </si>
  <si>
    <t>CMP-01284</t>
  </si>
  <si>
    <t>Q2_Summer_CMP-01284</t>
  </si>
  <si>
    <t>CMP-01285</t>
  </si>
  <si>
    <t>Q2_BlackFriday_CMP-01285</t>
  </si>
  <si>
    <t>CMP-01286</t>
  </si>
  <si>
    <t>Q2_Summer_CMP-01286</t>
  </si>
  <si>
    <t>CMP-01287</t>
  </si>
  <si>
    <t>Q3_BlackFriday_CMP-01287</t>
  </si>
  <si>
    <t>CMP-01288</t>
  </si>
  <si>
    <t>Q4_Launch_CMP-01288</t>
  </si>
  <si>
    <t>CMP-01289</t>
  </si>
  <si>
    <t>Q2_BlackFriday_CMP-01289</t>
  </si>
  <si>
    <t>CMP-01290</t>
  </si>
  <si>
    <t>Q2_BlackFriday_CMP-01290</t>
  </si>
  <si>
    <t>CMP-01291</t>
  </si>
  <si>
    <t>Q3_Launch_CMP-01291</t>
  </si>
  <si>
    <t>CMP-01292</t>
  </si>
  <si>
    <t>CMP-01293</t>
  </si>
  <si>
    <t>CMP-01294</t>
  </si>
  <si>
    <t>Q4_Launch_CMP-01294</t>
  </si>
  <si>
    <t>CMP-01295</t>
  </si>
  <si>
    <t>Q1_Summer_CMP-01295</t>
  </si>
  <si>
    <t>CMP-01296</t>
  </si>
  <si>
    <t>CMP-01297</t>
  </si>
  <si>
    <t>CMP-01298</t>
  </si>
  <si>
    <t>CMP-01299</t>
  </si>
  <si>
    <t>Q3_Summer_CMP-01299</t>
  </si>
  <si>
    <t>CMP-01300</t>
  </si>
  <si>
    <t>Q2_BlackFriday_CMP-01300</t>
  </si>
  <si>
    <t>CMP-01301</t>
  </si>
  <si>
    <t>Q4_Launch_CMP-01301</t>
  </si>
  <si>
    <t>CMP-01302</t>
  </si>
  <si>
    <t>CMP-01303</t>
  </si>
  <si>
    <t>Q2_BlackFriday_CMP-01303</t>
  </si>
  <si>
    <t>CMP-01304</t>
  </si>
  <si>
    <t>Q1_Launch_CMP-01304</t>
  </si>
  <si>
    <t>CMP-01305</t>
  </si>
  <si>
    <t>Q1_BlackFriday_CMP-01305</t>
  </si>
  <si>
    <t>CMP-01306</t>
  </si>
  <si>
    <t>Q1_BlackFriday_CMP-01306</t>
  </si>
  <si>
    <t>CMP-01307</t>
  </si>
  <si>
    <t>Q1_Summer_CMP-01307</t>
  </si>
  <si>
    <t>CMP-01308</t>
  </si>
  <si>
    <t>CMP-01309</t>
  </si>
  <si>
    <t>Q2_BlackFriday_CMP-01309</t>
  </si>
  <si>
    <t>CMP-01310</t>
  </si>
  <si>
    <t>CMP-01311</t>
  </si>
  <si>
    <t>Q2_Launch_CMP-01311</t>
  </si>
  <si>
    <t>CMP-01312</t>
  </si>
  <si>
    <t>Q2_Summer_CMP-01312</t>
  </si>
  <si>
    <t>CMP-01313</t>
  </si>
  <si>
    <t>Q3_BlackFriday_CMP-01313</t>
  </si>
  <si>
    <t>CMP-01314</t>
  </si>
  <si>
    <t>CMP-01315</t>
  </si>
  <si>
    <t>CMP-01316</t>
  </si>
  <si>
    <t>Q3_Summer_CMP-01316</t>
  </si>
  <si>
    <t>CMP-01317</t>
  </si>
  <si>
    <t>CMP-01318</t>
  </si>
  <si>
    <t>Q2_Launch_CMP-01318</t>
  </si>
  <si>
    <t>CMP-01319</t>
  </si>
  <si>
    <t>Q4_Summer_CMP-01319</t>
  </si>
  <si>
    <t>CMP-01320</t>
  </si>
  <si>
    <t>Q1_BlackFriday_CMP-01320</t>
  </si>
  <si>
    <t>CMP-01321</t>
  </si>
  <si>
    <t>CMP-01322</t>
  </si>
  <si>
    <t>Q4_Summer_CMP-01322</t>
  </si>
  <si>
    <t>CMP-01323</t>
  </si>
  <si>
    <t>Q4_Summer_CMP-01323</t>
  </si>
  <si>
    <t>CMP-01324</t>
  </si>
  <si>
    <t>CMP-01325</t>
  </si>
  <si>
    <t>CMP-01326</t>
  </si>
  <si>
    <t>Q4_BlackFriday_CMP-01326</t>
  </si>
  <si>
    <t>CMP-01327</t>
  </si>
  <si>
    <t>Q1_Launch_CMP-01327</t>
  </si>
  <si>
    <t>CMP-01328</t>
  </si>
  <si>
    <t>Q1_Launch_CMP-01328</t>
  </si>
  <si>
    <t>CMP-01329</t>
  </si>
  <si>
    <t>Q2_Launch_CMP-01329</t>
  </si>
  <si>
    <t>CMP-01330</t>
  </si>
  <si>
    <t>Q1_BlackFriday_CMP-01330</t>
  </si>
  <si>
    <t>CMP-01331</t>
  </si>
  <si>
    <t>Q4_BlackFriday_CMP-01331</t>
  </si>
  <si>
    <t>CMP-01332</t>
  </si>
  <si>
    <t>CMP-01333</t>
  </si>
  <si>
    <t>Q3_Launch_CMP-01333</t>
  </si>
  <si>
    <t>CMP-01334</t>
  </si>
  <si>
    <t>Q3_BlackFriday_CMP-01334</t>
  </si>
  <si>
    <t>CMP-01335</t>
  </si>
  <si>
    <t>CMP-01336</t>
  </si>
  <si>
    <t>Q3_BlackFriday_CMP-01336</t>
  </si>
  <si>
    <t>CMP-01337</t>
  </si>
  <si>
    <t>Q3_Launch_CMP-01337</t>
  </si>
  <si>
    <t>CMP-01338</t>
  </si>
  <si>
    <t>CMP-01339</t>
  </si>
  <si>
    <t>Q4_Summer_CMP-01339</t>
  </si>
  <si>
    <t>CMP-01340</t>
  </si>
  <si>
    <t>Q3_Launch_CMP-01340</t>
  </si>
  <si>
    <t>CMP-01341</t>
  </si>
  <si>
    <t>CMP-01342</t>
  </si>
  <si>
    <t>Q2_Summer_CMP-01342</t>
  </si>
  <si>
    <t>CMP-01343</t>
  </si>
  <si>
    <t>Q4_BlackFriday_CMP-01343</t>
  </si>
  <si>
    <t>CMP-01344</t>
  </si>
  <si>
    <t>Q1_Launch_CMP-01344</t>
  </si>
  <si>
    <t>CMP-01345</t>
  </si>
  <si>
    <t>CMP-01346</t>
  </si>
  <si>
    <t>Q2_Summer_CMP-01346</t>
  </si>
  <si>
    <t>CMP-01347</t>
  </si>
  <si>
    <t>CMP-01348</t>
  </si>
  <si>
    <t>Q3_BlackFriday_CMP-01348</t>
  </si>
  <si>
    <t>CMP-01349</t>
  </si>
  <si>
    <t>Q3_Launch_CMP-01349</t>
  </si>
  <si>
    <t>CMP-01350</t>
  </si>
  <si>
    <t>Q1_BlackFriday_CMP-01350</t>
  </si>
  <si>
    <t>CMP-01351</t>
  </si>
  <si>
    <t>CMP-01352</t>
  </si>
  <si>
    <t>CMP-01353</t>
  </si>
  <si>
    <t>Q2_Launch_CMP-01353</t>
  </si>
  <si>
    <t>CMP-01354</t>
  </si>
  <si>
    <t>CMP-01355</t>
  </si>
  <si>
    <t>Q2_BlackFriday_CMP-01355</t>
  </si>
  <si>
    <t>CMP-01356</t>
  </si>
  <si>
    <t>Q4_Launch_CMP-01356</t>
  </si>
  <si>
    <t>CMP-01357</t>
  </si>
  <si>
    <t>CMP-01358</t>
  </si>
  <si>
    <t>Q3_Launch_CMP-01358</t>
  </si>
  <si>
    <t>CMP-01359</t>
  </si>
  <si>
    <t>Q3_BlackFriday_CMP-01359</t>
  </si>
  <si>
    <t>CMP-01360</t>
  </si>
  <si>
    <t>Q2_BlackFriday_CMP-01360</t>
  </si>
  <si>
    <t>CMP-01361</t>
  </si>
  <si>
    <t>Q3_BlackFriday_CMP-01361</t>
  </si>
  <si>
    <t>CMP-01362</t>
  </si>
  <si>
    <t>Q3_Launch_CMP-01362</t>
  </si>
  <si>
    <t>CMP-01363</t>
  </si>
  <si>
    <t>Q3_Launch_CMP-01363</t>
  </si>
  <si>
    <t>CMP-01364</t>
  </si>
  <si>
    <t>Q4_Launch_CMP-01364</t>
  </si>
  <si>
    <t>CMP-01365</t>
  </si>
  <si>
    <t>Q1_Launch_CMP-01365</t>
  </si>
  <si>
    <t>CMP-01366</t>
  </si>
  <si>
    <t>Q1_Launch_CMP-01366</t>
  </si>
  <si>
    <t>CMP-01367</t>
  </si>
  <si>
    <t>CMP-01368</t>
  </si>
  <si>
    <t>Q4_BlackFriday_CMP-01368</t>
  </si>
  <si>
    <t>CMP-01369</t>
  </si>
  <si>
    <t>CMP-01370</t>
  </si>
  <si>
    <t>Q2_BlackFriday_CMP-01370</t>
  </si>
  <si>
    <t>CMP-01371</t>
  </si>
  <si>
    <t>Q3_BlackFriday_CMP-01371</t>
  </si>
  <si>
    <t>CMP-01372</t>
  </si>
  <si>
    <t>Q1_BlackFriday_CMP-01372</t>
  </si>
  <si>
    <t>CMP-01373</t>
  </si>
  <si>
    <t>Q4_Launch_CMP-01373</t>
  </si>
  <si>
    <t>CMP-01374</t>
  </si>
  <si>
    <t>CMP-01375</t>
  </si>
  <si>
    <t>Q2_Launch_CMP-01375</t>
  </si>
  <si>
    <t>CMP-01376</t>
  </si>
  <si>
    <t>Q3_Summer_CMP-01376</t>
  </si>
  <si>
    <t>CMP-01377</t>
  </si>
  <si>
    <t>CMP-01378</t>
  </si>
  <si>
    <t>Q2_BlackFriday_CMP-01378</t>
  </si>
  <si>
    <t>CMP-01379</t>
  </si>
  <si>
    <t>Q4_Launch_CMP-01379</t>
  </si>
  <si>
    <t>CMP-01380</t>
  </si>
  <si>
    <t>Q1_Launch_CMP-01380</t>
  </si>
  <si>
    <t>CMP-01381</t>
  </si>
  <si>
    <t>CMP-01382</t>
  </si>
  <si>
    <t>Q3_Launch_CMP-01382</t>
  </si>
  <si>
    <t>CMP-01383</t>
  </si>
  <si>
    <t>Q1_Summer_CMP-01383</t>
  </si>
  <si>
    <t>CMP-01384</t>
  </si>
  <si>
    <t>Q1_BlackFriday_CMP-01384</t>
  </si>
  <si>
    <t>CMP-01385</t>
  </si>
  <si>
    <t>Q3_BlackFriday_CMP-01385</t>
  </si>
  <si>
    <t>CMP-01386</t>
  </si>
  <si>
    <t>Q4_BlackFriday_CMP-01386</t>
  </si>
  <si>
    <t>CMP-01387</t>
  </si>
  <si>
    <t>Q1_Launch_CMP-01387</t>
  </si>
  <si>
    <t>CMP-01388</t>
  </si>
  <si>
    <t>Q2_Summer_CMP-01388</t>
  </si>
  <si>
    <t>CMP-01389</t>
  </si>
  <si>
    <t>Q3_Launch_CMP-01389</t>
  </si>
  <si>
    <t>CMP-01390</t>
  </si>
  <si>
    <t>CMP-01391</t>
  </si>
  <si>
    <t>CMP-01392</t>
  </si>
  <si>
    <t>Q1_Launch_CMP-01392</t>
  </si>
  <si>
    <t>CMP-01393</t>
  </si>
  <si>
    <t>Q2_BlackFriday_CMP-01393</t>
  </si>
  <si>
    <t>CMP-01394</t>
  </si>
  <si>
    <t>Q3_BlackFriday_CMP-01394</t>
  </si>
  <si>
    <t>CMP-01395</t>
  </si>
  <si>
    <t>CMP-01396</t>
  </si>
  <si>
    <t>Q1_BlackFriday_CMP-01396</t>
  </si>
  <si>
    <t>CMP-01397</t>
  </si>
  <si>
    <t>Q3_Launch_CMP-01397</t>
  </si>
  <si>
    <t>CMP-01398</t>
  </si>
  <si>
    <t>CMP-01399</t>
  </si>
  <si>
    <t>Q3_Launch_CMP-01399</t>
  </si>
  <si>
    <t>CMP-01400</t>
  </si>
  <si>
    <t>Q2_Launch_CMP-01400</t>
  </si>
  <si>
    <t>CMP-01401</t>
  </si>
  <si>
    <t>Q3_BlackFriday_CMP-01401</t>
  </si>
  <si>
    <t>CMP-01402</t>
  </si>
  <si>
    <t>Q2_BlackFriday_CMP-01402</t>
  </si>
  <si>
    <t>CMP-01403</t>
  </si>
  <si>
    <t>Q3_Summer_CMP-01403</t>
  </si>
  <si>
    <t>CMP-01404</t>
  </si>
  <si>
    <t>Q2_Summer_CMP-01404</t>
  </si>
  <si>
    <t>CMP-01405</t>
  </si>
  <si>
    <t>Q4_Launch_CMP-01405</t>
  </si>
  <si>
    <t>CMP-01406</t>
  </si>
  <si>
    <t>Q4_Launch_CMP-01406</t>
  </si>
  <si>
    <t>CMP-01407</t>
  </si>
  <si>
    <t>Q1_Summer_CMP-01407</t>
  </si>
  <si>
    <t>CMP-01408</t>
  </si>
  <si>
    <t>Q3_Summer_CMP-01408</t>
  </si>
  <si>
    <t>CMP-01409</t>
  </si>
  <si>
    <t>Q4_Summer_CMP-01409</t>
  </si>
  <si>
    <t>CMP-01410</t>
  </si>
  <si>
    <t>Q3_Launch_CMP-01410</t>
  </si>
  <si>
    <t>CMP-01411</t>
  </si>
  <si>
    <t>Q3_BlackFriday_CMP-01411</t>
  </si>
  <si>
    <t>CMP-01412</t>
  </si>
  <si>
    <t>Q1_Summer_CMP-01412</t>
  </si>
  <si>
    <t>CMP-01413</t>
  </si>
  <si>
    <t>Q1_Summer_CMP-01413</t>
  </si>
  <si>
    <t>CMP-01414</t>
  </si>
  <si>
    <t>Q2_Summer_CMP-01414</t>
  </si>
  <si>
    <t>CMP-01415</t>
  </si>
  <si>
    <t>CMP-01416</t>
  </si>
  <si>
    <t>Q1_Launch_CMP-01416</t>
  </si>
  <si>
    <t>CMP-01417</t>
  </si>
  <si>
    <t>Q3_Launch_CMP-01417</t>
  </si>
  <si>
    <t>CMP-01418</t>
  </si>
  <si>
    <t>CMP-01419</t>
  </si>
  <si>
    <t>Q3_Summer_CMP-01419</t>
  </si>
  <si>
    <t>CMP-01420</t>
  </si>
  <si>
    <t>Q2_BlackFriday_CMP-01420</t>
  </si>
  <si>
    <t>CMP-01421</t>
  </si>
  <si>
    <t>Q4_Launch_CMP-01421</t>
  </si>
  <si>
    <t>CMP-01422</t>
  </si>
  <si>
    <t>Q1_Launch_CMP-01422</t>
  </si>
  <si>
    <t>CMP-01423</t>
  </si>
  <si>
    <t>Q3_Summer_CMP-01423</t>
  </si>
  <si>
    <t>CMP-01424</t>
  </si>
  <si>
    <t>Q4_Summer_CMP-01424</t>
  </si>
  <si>
    <t>CMP-01425</t>
  </si>
  <si>
    <t>CMP-01426</t>
  </si>
  <si>
    <t>Q3_Launch_CMP-01426</t>
  </si>
  <si>
    <t>CMP-01427</t>
  </si>
  <si>
    <t>Q2_BlackFriday_CMP-01427</t>
  </si>
  <si>
    <t>CMP-01428</t>
  </si>
  <si>
    <t>Q2_BlackFriday_CMP-01428</t>
  </si>
  <si>
    <t>CMP-01429</t>
  </si>
  <si>
    <t>CMP-01430</t>
  </si>
  <si>
    <t>CMP-01431</t>
  </si>
  <si>
    <t>CMP-01432</t>
  </si>
  <si>
    <t>Q2_BlackFriday_CMP-01432</t>
  </si>
  <si>
    <t>CMP-01433</t>
  </si>
  <si>
    <t>Q2_Summer_CMP-01433</t>
  </si>
  <si>
    <t>CMP-01434</t>
  </si>
  <si>
    <t>Q1_Summer_CMP-01434</t>
  </si>
  <si>
    <t>CMP-01435</t>
  </si>
  <si>
    <t>Q2_BlackFriday_CMP-01435</t>
  </si>
  <si>
    <t>CMP-01436</t>
  </si>
  <si>
    <t>Q1_BlackFriday_CMP-01436</t>
  </si>
  <si>
    <t>CMP-01437</t>
  </si>
  <si>
    <t>CMP-01438</t>
  </si>
  <si>
    <t>CMP-01439</t>
  </si>
  <si>
    <t>CMP-01440</t>
  </si>
  <si>
    <t>Q4_BlackFriday_CMP-01440</t>
  </si>
  <si>
    <t>CMP-01441</t>
  </si>
  <si>
    <t>CMP-01442</t>
  </si>
  <si>
    <t>Q3_Summer_CMP-01442</t>
  </si>
  <si>
    <t>CMP-01443</t>
  </si>
  <si>
    <t>Q2_Launch_CMP-01443</t>
  </si>
  <si>
    <t>CMP-01444</t>
  </si>
  <si>
    <t>Q1_Launch_CMP-01444</t>
  </si>
  <si>
    <t>CMP-01445</t>
  </si>
  <si>
    <t>Q1_Launch_CMP-01445</t>
  </si>
  <si>
    <t>CMP-01446</t>
  </si>
  <si>
    <t>Q2_Launch_CMP-01446</t>
  </si>
  <si>
    <t>CMP-01447</t>
  </si>
  <si>
    <t>Q1_Launch_CMP-01447</t>
  </si>
  <si>
    <t>CMP-01448</t>
  </si>
  <si>
    <t>Q4_Launch_CMP-01448</t>
  </si>
  <si>
    <t>CMP-01449</t>
  </si>
  <si>
    <t>CMP-01450</t>
  </si>
  <si>
    <t>Q4_Summer_CMP-01450</t>
  </si>
  <si>
    <t>CMP-01451</t>
  </si>
  <si>
    <t>CMP-01452</t>
  </si>
  <si>
    <t>CMP-01453</t>
  </si>
  <si>
    <t>Q2_Summer_CMP-01453</t>
  </si>
  <si>
    <t>CMP-01454</t>
  </si>
  <si>
    <t>Q4_BlackFriday_CMP-01454</t>
  </si>
  <si>
    <t>CMP-01455</t>
  </si>
  <si>
    <t>Q3_Launch_CMP-01455</t>
  </si>
  <si>
    <t>CMP-01456</t>
  </si>
  <si>
    <t>CMP-01457</t>
  </si>
  <si>
    <t>Q1_BlackFriday_CMP-01457</t>
  </si>
  <si>
    <t>CMP-01458</t>
  </si>
  <si>
    <t>Q4_BlackFriday_CMP-01458</t>
  </si>
  <si>
    <t>CMP-01459</t>
  </si>
  <si>
    <t>Q1_Launch_CMP-01459</t>
  </si>
  <si>
    <t>CMP-01460</t>
  </si>
  <si>
    <t>Q1_Summer_CMP-01460</t>
  </si>
  <si>
    <t>CMP-01461</t>
  </si>
  <si>
    <t>Q4_Launch_CMP-01461</t>
  </si>
  <si>
    <t>CMP-01462</t>
  </si>
  <si>
    <t>Q4_Summer_CMP-01462</t>
  </si>
  <si>
    <t>CMP-01463</t>
  </si>
  <si>
    <t>Q3_BlackFriday_CMP-01463</t>
  </si>
  <si>
    <t>CMP-01464</t>
  </si>
  <si>
    <t>Q3_Summer_CMP-01464</t>
  </si>
  <si>
    <t>CMP-01465</t>
  </si>
  <si>
    <t>Q4_BlackFriday_CMP-01465</t>
  </si>
  <si>
    <t>CMP-01466</t>
  </si>
  <si>
    <t>Q2_Summer_CMP-01466</t>
  </si>
  <si>
    <t>CMP-01467</t>
  </si>
  <si>
    <t>Q4_Launch_CMP-01467</t>
  </si>
  <si>
    <t>CMP-01468</t>
  </si>
  <si>
    <t>Q1_BlackFriday_CMP-01468</t>
  </si>
  <si>
    <t>CMP-01469</t>
  </si>
  <si>
    <t>Q3_Summer_CMP-01469</t>
  </si>
  <si>
    <t>CMP-01470</t>
  </si>
  <si>
    <t>CMP-01471</t>
  </si>
  <si>
    <t>Q2_Summer_CMP-01471</t>
  </si>
  <si>
    <t>CMP-01472</t>
  </si>
  <si>
    <t>CMP-01473</t>
  </si>
  <si>
    <t>Q2_Launch_CMP-01473</t>
  </si>
  <si>
    <t>CMP-01474</t>
  </si>
  <si>
    <t>Q1_Summer_CMP-01474</t>
  </si>
  <si>
    <t>CMP-01475</t>
  </si>
  <si>
    <t>Q2_BlackFriday_CMP-01475</t>
  </si>
  <si>
    <t>CMP-01476</t>
  </si>
  <si>
    <t>Q3_Launch_CMP-01476</t>
  </si>
  <si>
    <t>CMP-01477</t>
  </si>
  <si>
    <t>Q2_Launch_CMP-01477</t>
  </si>
  <si>
    <t>CMP-01478</t>
  </si>
  <si>
    <t>CMP-01479</t>
  </si>
  <si>
    <t>CMP-01480</t>
  </si>
  <si>
    <t>Q3_Summer_CMP-01480</t>
  </si>
  <si>
    <t>CMP-01481</t>
  </si>
  <si>
    <t>Q2_Summer_CMP-01481</t>
  </si>
  <si>
    <t>CMP-01482</t>
  </si>
  <si>
    <t>CMP-01483</t>
  </si>
  <si>
    <t>Q3_Launch_CMP-01483</t>
  </si>
  <si>
    <t>CMP-01484</t>
  </si>
  <si>
    <t>Q3_BlackFriday_CMP-01484</t>
  </si>
  <si>
    <t>CMP-01485</t>
  </si>
  <si>
    <t>Q3_Summer_CMP-01485</t>
  </si>
  <si>
    <t>CMP-01486</t>
  </si>
  <si>
    <t>Q1_BlackFriday_CMP-01486</t>
  </si>
  <si>
    <t>CMP-01487</t>
  </si>
  <si>
    <t>Q1_Launch_CMP-01487</t>
  </si>
  <si>
    <t>CMP-01488</t>
  </si>
  <si>
    <t>CMP-01489</t>
  </si>
  <si>
    <t>Q4_Summer_CMP-01489</t>
  </si>
  <si>
    <t>CMP-01490</t>
  </si>
  <si>
    <t>CMP-01491</t>
  </si>
  <si>
    <t>Q2_Summer_CMP-01491</t>
  </si>
  <si>
    <t>CMP-01492</t>
  </si>
  <si>
    <t>Q1_BlackFriday_CMP-01492</t>
  </si>
  <si>
    <t>CMP-01493</t>
  </si>
  <si>
    <t>Q2_Summer_CMP-01493</t>
  </si>
  <si>
    <t>CMP-01494</t>
  </si>
  <si>
    <t>Q4_Summer_CMP-01494</t>
  </si>
  <si>
    <t>CMP-01495</t>
  </si>
  <si>
    <t>Q1_Launch_CMP-01495</t>
  </si>
  <si>
    <t>CMP-01496</t>
  </si>
  <si>
    <t>Q4_Launch_CMP-01496</t>
  </si>
  <si>
    <t>CMP-01497</t>
  </si>
  <si>
    <t>CMP-01498</t>
  </si>
  <si>
    <t>Q1_BlackFriday_CMP-01498</t>
  </si>
  <si>
    <t>CMP-01499</t>
  </si>
  <si>
    <t>Q4_Launch_CMP-01499</t>
  </si>
  <si>
    <t>CMP-01500</t>
  </si>
  <si>
    <t>CMP-01501</t>
  </si>
  <si>
    <t>Q3_BlackFriday_CMP-01501</t>
  </si>
  <si>
    <t>CMP-01502</t>
  </si>
  <si>
    <t>Q1_Launch_CMP-01502</t>
  </si>
  <si>
    <t>CMP-01503</t>
  </si>
  <si>
    <t>CMP-01504</t>
  </si>
  <si>
    <t>CMP-01505</t>
  </si>
  <si>
    <t>CMP-01506</t>
  </si>
  <si>
    <t>Q2_Summer_CMP-01506</t>
  </si>
  <si>
    <t>CMP-01507</t>
  </si>
  <si>
    <t>Q1_Launch_CMP-01507</t>
  </si>
  <si>
    <t>CMP-01508</t>
  </si>
  <si>
    <t>Q3_Summer_CMP-01508</t>
  </si>
  <si>
    <t>CMP-01509</t>
  </si>
  <si>
    <t>CMP-01510</t>
  </si>
  <si>
    <t>CMP-01511</t>
  </si>
  <si>
    <t>Q3_BlackFriday_CMP-01511</t>
  </si>
  <si>
    <t>CMP-01512</t>
  </si>
  <si>
    <t>Q4_BlackFriday_CMP-01512</t>
  </si>
  <si>
    <t>CMP-01513</t>
  </si>
  <si>
    <t>Q2_BlackFriday_CMP-01513</t>
  </si>
  <si>
    <t>CMP-01514</t>
  </si>
  <si>
    <t>Q4_BlackFriday_CMP-01514</t>
  </si>
  <si>
    <t>CMP-01515</t>
  </si>
  <si>
    <t>Q2_Summer_CMP-01515</t>
  </si>
  <si>
    <t>CMP-01516</t>
  </si>
  <si>
    <t>Q4_Summer_CMP-01516</t>
  </si>
  <si>
    <t>CMP-01517</t>
  </si>
  <si>
    <t>CMP-01518</t>
  </si>
  <si>
    <t>CMP-01519</t>
  </si>
  <si>
    <t>CMP-01520</t>
  </si>
  <si>
    <t>Q2_Launch_CMP-01520</t>
  </si>
  <si>
    <t>CMP-01521</t>
  </si>
  <si>
    <t>Q3_Summer_CMP-01521</t>
  </si>
  <si>
    <t>CMP-01522</t>
  </si>
  <si>
    <t>Q4_Launch_CMP-01522</t>
  </si>
  <si>
    <t>CMP-01523</t>
  </si>
  <si>
    <t>CMP-01524</t>
  </si>
  <si>
    <t>Q4_Launch_CMP-01524</t>
  </si>
  <si>
    <t>CMP-01525</t>
  </si>
  <si>
    <t>Q2_Launch_CMP-01525</t>
  </si>
  <si>
    <t>CMP-01526</t>
  </si>
  <si>
    <t>Q3_Launch_CMP-01526</t>
  </si>
  <si>
    <t>CMP-01527</t>
  </si>
  <si>
    <t>Q1_BlackFriday_CMP-01527</t>
  </si>
  <si>
    <t>CMP-01528</t>
  </si>
  <si>
    <t>Q3_BlackFriday_CMP-01528</t>
  </si>
  <si>
    <t>CMP-01529</t>
  </si>
  <si>
    <t>Q2_BlackFriday_CMP-01529</t>
  </si>
  <si>
    <t>CMP-01530</t>
  </si>
  <si>
    <t>Q3_Launch_CMP-01530</t>
  </si>
  <si>
    <t>CMP-01531</t>
  </si>
  <si>
    <t>Q4_Summer_CMP-01531</t>
  </si>
  <si>
    <t>CMP-01532</t>
  </si>
  <si>
    <t>Q3_BlackFriday_CMP-01532</t>
  </si>
  <si>
    <t>CMP-01533</t>
  </si>
  <si>
    <t>Q1_BlackFriday_CMP-01533</t>
  </si>
  <si>
    <t>CMP-01534</t>
  </si>
  <si>
    <t>Q4_Summer_CMP-01534</t>
  </si>
  <si>
    <t>CMP-01535</t>
  </si>
  <si>
    <t>Q2_Summer_CMP-01535</t>
  </si>
  <si>
    <t>CMP-01536</t>
  </si>
  <si>
    <t>Q2_Launch_CMP-01536</t>
  </si>
  <si>
    <t>CMP-01537</t>
  </si>
  <si>
    <t>Q1_Summer_CMP-01537</t>
  </si>
  <si>
    <t>CMP-01538</t>
  </si>
  <si>
    <t>CMP-01539</t>
  </si>
  <si>
    <t>Q3_BlackFriday_CMP-01539</t>
  </si>
  <si>
    <t>CMP-01540</t>
  </si>
  <si>
    <t>Q4_Launch_CMP-01540</t>
  </si>
  <si>
    <t>CMP-01541</t>
  </si>
  <si>
    <t>CMP-01542</t>
  </si>
  <si>
    <t>CMP-01543</t>
  </si>
  <si>
    <t>CMP-01544</t>
  </si>
  <si>
    <t>CMP-01545</t>
  </si>
  <si>
    <t>CMP-01546</t>
  </si>
  <si>
    <t>Q1_BlackFriday_CMP-01546</t>
  </si>
  <si>
    <t>CMP-01547</t>
  </si>
  <si>
    <t>CMP-01548</t>
  </si>
  <si>
    <t>CMP-01549</t>
  </si>
  <si>
    <t>CMP-01550</t>
  </si>
  <si>
    <t>CMP-01551</t>
  </si>
  <si>
    <t>CMP-01552</t>
  </si>
  <si>
    <t>Q3_Summer_CMP-01552</t>
  </si>
  <si>
    <t>CMP-01553</t>
  </si>
  <si>
    <t>Q4_BlackFriday_CMP-01553</t>
  </si>
  <si>
    <t>CMP-01554</t>
  </si>
  <si>
    <t>Q4_Launch_CMP-01554</t>
  </si>
  <si>
    <t>CMP-01555</t>
  </si>
  <si>
    <t>Q4_Launch_CMP-01555</t>
  </si>
  <si>
    <t>CMP-01556</t>
  </si>
  <si>
    <t>CMP-01557</t>
  </si>
  <si>
    <t>Q3_Summer_CMP-01557</t>
  </si>
  <si>
    <t>CMP-01558</t>
  </si>
  <si>
    <t>Q1_BlackFriday_CMP-01558</t>
  </si>
  <si>
    <t>CMP-01559</t>
  </si>
  <si>
    <t>CMP-01560</t>
  </si>
  <si>
    <t>Q1_Summer_CMP-01560</t>
  </si>
  <si>
    <t>CMP-01561</t>
  </si>
  <si>
    <t>CMP-01562</t>
  </si>
  <si>
    <t>Q2_Launch_CMP-01562</t>
  </si>
  <si>
    <t>CMP-01563</t>
  </si>
  <si>
    <t>CMP-01564</t>
  </si>
  <si>
    <t>CMP-01565</t>
  </si>
  <si>
    <t>Q4_Launch_CMP-01565</t>
  </si>
  <si>
    <t>CMP-01566</t>
  </si>
  <si>
    <t>CMP-01567</t>
  </si>
  <si>
    <t>Q3_Summer_CMP-01567</t>
  </si>
  <si>
    <t>CMP-01568</t>
  </si>
  <si>
    <t>Q2_BlackFriday_CMP-01568</t>
  </si>
  <si>
    <t>CMP-01569</t>
  </si>
  <si>
    <t>Q2_Launch_CMP-01569</t>
  </si>
  <si>
    <t>CMP-01570</t>
  </si>
  <si>
    <t>CMP-01571</t>
  </si>
  <si>
    <t>Q2_Launch_CMP-01571</t>
  </si>
  <si>
    <t>CMP-01572</t>
  </si>
  <si>
    <t>Q2_BlackFriday_CMP-01572</t>
  </si>
  <si>
    <t>CMP-01573</t>
  </si>
  <si>
    <t>Q3_Summer_CMP-01573</t>
  </si>
  <si>
    <t>CMP-01574</t>
  </si>
  <si>
    <t>Q1_BlackFriday_CMP-01574</t>
  </si>
  <si>
    <t>CMP-01575</t>
  </si>
  <si>
    <t>Q1_Launch_CMP-01575</t>
  </si>
  <si>
    <t>CMP-01576</t>
  </si>
  <si>
    <t>Q2_Launch_CMP-01576</t>
  </si>
  <si>
    <t>CMP-01577</t>
  </si>
  <si>
    <t>Q3_Summer_CMP-01577</t>
  </si>
  <si>
    <t>CMP-01578</t>
  </si>
  <si>
    <t>CMP-01579</t>
  </si>
  <si>
    <t>Q1_BlackFriday_CMP-01579</t>
  </si>
  <si>
    <t>CMP-01580</t>
  </si>
  <si>
    <t>Q3_Summer_CMP-01580</t>
  </si>
  <si>
    <t>CMP-01581</t>
  </si>
  <si>
    <t>Q4_BlackFriday_CMP-01581</t>
  </si>
  <si>
    <t>CMP-01582</t>
  </si>
  <si>
    <t>Q1_Launch_CMP-01582</t>
  </si>
  <si>
    <t>CMP-01583</t>
  </si>
  <si>
    <t>CMP-01584</t>
  </si>
  <si>
    <t>Q4_BlackFriday_CMP-01584</t>
  </si>
  <si>
    <t>CMP-01585</t>
  </si>
  <si>
    <t>Q2_Summer_CMP-01585</t>
  </si>
  <si>
    <t>CMP-01586</t>
  </si>
  <si>
    <t>Q1_BlackFriday_CMP-01586</t>
  </si>
  <si>
    <t>CMP-01587</t>
  </si>
  <si>
    <t>Q2_Launch_CMP-01587</t>
  </si>
  <si>
    <t>CMP-01588</t>
  </si>
  <si>
    <t>Q4_Launch_CMP-01588</t>
  </si>
  <si>
    <t>CMP-01589</t>
  </si>
  <si>
    <t>Q1_Summer_CMP-01589</t>
  </si>
  <si>
    <t>CMP-01590</t>
  </si>
  <si>
    <t>Q3_BlackFriday_CMP-01590</t>
  </si>
  <si>
    <t>CMP-01591</t>
  </si>
  <si>
    <t>Q3_BlackFriday_CMP-01591</t>
  </si>
  <si>
    <t>CMP-01592</t>
  </si>
  <si>
    <t>Q4_BlackFriday_CMP-01592</t>
  </si>
  <si>
    <t>CMP-01593</t>
  </si>
  <si>
    <t>Q3_Summer_CMP-01593</t>
  </si>
  <si>
    <t>CMP-01594</t>
  </si>
  <si>
    <t>Q1_Summer_CMP-01594</t>
  </si>
  <si>
    <t>CMP-01595</t>
  </si>
  <si>
    <t>CMP-01596</t>
  </si>
  <si>
    <t>CMP-01597</t>
  </si>
  <si>
    <t>Q4_BlackFriday_CMP-01597</t>
  </si>
  <si>
    <t>CMP-01598</t>
  </si>
  <si>
    <t>Q1_Launch_CMP-01598</t>
  </si>
  <si>
    <t>CMP-01599</t>
  </si>
  <si>
    <t>Q4_Launch_CMP-01599</t>
  </si>
  <si>
    <t>CMP-01600</t>
  </si>
  <si>
    <t>Q1_Summer_CMP-01600</t>
  </si>
  <si>
    <t>CMP-01601</t>
  </si>
  <si>
    <t>Q1_Summer_CMP-01601</t>
  </si>
  <si>
    <t>CMP-01602</t>
  </si>
  <si>
    <t>CMP-01603</t>
  </si>
  <si>
    <t>Q3_Launch_CMP-01603</t>
  </si>
  <si>
    <t>CMP-01604</t>
  </si>
  <si>
    <t>Q4_Summer_CMP-01604</t>
  </si>
  <si>
    <t>CMP-01605</t>
  </si>
  <si>
    <t>Q3_Launch_CMP-01605</t>
  </si>
  <si>
    <t>CMP-01606</t>
  </si>
  <si>
    <t>Q4_Summer_CMP-01606</t>
  </si>
  <si>
    <t>CMP-01607</t>
  </si>
  <si>
    <t>Q4_Launch_CMP-01607</t>
  </si>
  <si>
    <t>CMP-01608</t>
  </si>
  <si>
    <t>CMP-01609</t>
  </si>
  <si>
    <t>Q2_Summer_CMP-01609</t>
  </si>
  <si>
    <t>CMP-01610</t>
  </si>
  <si>
    <t>Q3_Summer_CMP-01610</t>
  </si>
  <si>
    <t>CMP-01611</t>
  </si>
  <si>
    <t>Q3_Launch_CMP-01611</t>
  </si>
  <si>
    <t>CMP-01612</t>
  </si>
  <si>
    <t>Q1_Launch_CMP-01612</t>
  </si>
  <si>
    <t>CMP-01613</t>
  </si>
  <si>
    <t>Q3_BlackFriday_CMP-01613</t>
  </si>
  <si>
    <t>CMP-01614</t>
  </si>
  <si>
    <t>Q3_BlackFriday_CMP-01614</t>
  </si>
  <si>
    <t>CMP-01615</t>
  </si>
  <si>
    <t>Q2_BlackFriday_CMP-01615</t>
  </si>
  <si>
    <t>CMP-01616</t>
  </si>
  <si>
    <t>Q4_Summer_CMP-01616</t>
  </si>
  <si>
    <t>CMP-01617</t>
  </si>
  <si>
    <t>Q3_Launch_CMP-01617</t>
  </si>
  <si>
    <t>CMP-01618</t>
  </si>
  <si>
    <t>CMP-01619</t>
  </si>
  <si>
    <t>Q2_BlackFriday_CMP-01619</t>
  </si>
  <si>
    <t>CMP-01620</t>
  </si>
  <si>
    <t>Q4_BlackFriday_CMP-01620</t>
  </si>
  <si>
    <t>CMP-01621</t>
  </si>
  <si>
    <t>Q2_Launch_CMP-01621</t>
  </si>
  <si>
    <t>CMP-01622</t>
  </si>
  <si>
    <t>Q1_BlackFriday_CMP-01622</t>
  </si>
  <si>
    <t>CMP-01623</t>
  </si>
  <si>
    <t>CMP-01624</t>
  </si>
  <si>
    <t>Q3_BlackFriday_CMP-01624</t>
  </si>
  <si>
    <t>CMP-01625</t>
  </si>
  <si>
    <t>Q1_Summer_CMP-01625</t>
  </si>
  <si>
    <t>CMP-01626</t>
  </si>
  <si>
    <t>Q4_BlackFriday_CMP-01626</t>
  </si>
  <si>
    <t>CMP-01627</t>
  </si>
  <si>
    <t>CMP-01628</t>
  </si>
  <si>
    <t>CMP-01629</t>
  </si>
  <si>
    <t>Q3_Launch_CMP-01629</t>
  </si>
  <si>
    <t>CMP-01630</t>
  </si>
  <si>
    <t>Q3_BlackFriday_CMP-01630</t>
  </si>
  <si>
    <t>CMP-01631</t>
  </si>
  <si>
    <t>Q4_BlackFriday_CMP-01631</t>
  </si>
  <si>
    <t>CMP-01632</t>
  </si>
  <si>
    <t>CMP-01633</t>
  </si>
  <si>
    <t>Q3_Summer_CMP-01633</t>
  </si>
  <si>
    <t>CMP-01634</t>
  </si>
  <si>
    <t>CMP-01635</t>
  </si>
  <si>
    <t>Q3_BlackFriday_CMP-01635</t>
  </si>
  <si>
    <t>CMP-01636</t>
  </si>
  <si>
    <t>Q2_Launch_CMP-01636</t>
  </si>
  <si>
    <t>CMP-01637</t>
  </si>
  <si>
    <t>CMP-01638</t>
  </si>
  <si>
    <t>Q1_Summer_CMP-01638</t>
  </si>
  <si>
    <t>CMP-01639</t>
  </si>
  <si>
    <t>Q4_BlackFriday_CMP-01639</t>
  </si>
  <si>
    <t>CMP-01640</t>
  </si>
  <si>
    <t>Q2_BlackFriday_CMP-01640</t>
  </si>
  <si>
    <t>CMP-01641</t>
  </si>
  <si>
    <t>Q3_Launch_CMP-01641</t>
  </si>
  <si>
    <t>CMP-01642</t>
  </si>
  <si>
    <t>Q2_Launch_CMP-01642</t>
  </si>
  <si>
    <t>CMP-01643</t>
  </si>
  <si>
    <t>Q1_BlackFriday_CMP-01643</t>
  </si>
  <si>
    <t>CMP-01644</t>
  </si>
  <si>
    <t>Q1_BlackFriday_CMP-01644</t>
  </si>
  <si>
    <t>CMP-01645</t>
  </si>
  <si>
    <t>Q2_Launch_CMP-01645</t>
  </si>
  <si>
    <t>CMP-01646</t>
  </si>
  <si>
    <t>CMP-01647</t>
  </si>
  <si>
    <t>Q2_BlackFriday_CMP-01647</t>
  </si>
  <si>
    <t>CMP-01648</t>
  </si>
  <si>
    <t>Q1_Launch_CMP-01648</t>
  </si>
  <si>
    <t>CMP-01649</t>
  </si>
  <si>
    <t>CMP-01650</t>
  </si>
  <si>
    <t>CMP-01651</t>
  </si>
  <si>
    <t>CMP-01652</t>
  </si>
  <si>
    <t>Q2_Summer_CMP-01652</t>
  </si>
  <si>
    <t>CMP-01653</t>
  </si>
  <si>
    <t>CMP-01654</t>
  </si>
  <si>
    <t>Q1_Launch_CMP-01654</t>
  </si>
  <si>
    <t>CMP-01655</t>
  </si>
  <si>
    <t>Q4_Launch_CMP-01655</t>
  </si>
  <si>
    <t>CMP-01656</t>
  </si>
  <si>
    <t>Q2_Launch_CMP-01656</t>
  </si>
  <si>
    <t>CMP-01657</t>
  </si>
  <si>
    <t>Q2_Launch_CMP-01657</t>
  </si>
  <si>
    <t>CMP-01658</t>
  </si>
  <si>
    <t>Q4_BlackFriday_CMP-01658</t>
  </si>
  <si>
    <t>CMP-01659</t>
  </si>
  <si>
    <t>Q3_BlackFriday_CMP-01659</t>
  </si>
  <si>
    <t>CMP-01660</t>
  </si>
  <si>
    <t>Q4_BlackFriday_CMP-01660</t>
  </si>
  <si>
    <t>CMP-01661</t>
  </si>
  <si>
    <t>CMP-01662</t>
  </si>
  <si>
    <t>Q3_BlackFriday_CMP-01662</t>
  </si>
  <si>
    <t>CMP-01663</t>
  </si>
  <si>
    <t>CMP-01664</t>
  </si>
  <si>
    <t>CMP-01665</t>
  </si>
  <si>
    <t>Q2_Summer_CMP-01665</t>
  </si>
  <si>
    <t>CMP-01666</t>
  </si>
  <si>
    <t>Q4_BlackFriday_CMP-01666</t>
  </si>
  <si>
    <t>CMP-01667</t>
  </si>
  <si>
    <t>CMP-01668</t>
  </si>
  <si>
    <t>CMP-01669</t>
  </si>
  <si>
    <t>Q4_BlackFriday_CMP-01669</t>
  </si>
  <si>
    <t>CMP-01670</t>
  </si>
  <si>
    <t>Q1_Launch_CMP-01670</t>
  </si>
  <si>
    <t>CMP-01671</t>
  </si>
  <si>
    <t>Q4_Launch_CMP-01671</t>
  </si>
  <si>
    <t>CMP-01672</t>
  </si>
  <si>
    <t>Q4_Summer_CMP-01672</t>
  </si>
  <si>
    <t>CMP-01673</t>
  </si>
  <si>
    <t>Q2_Summer_CMP-01673</t>
  </si>
  <si>
    <t>CMP-01674</t>
  </si>
  <si>
    <t>Q4_Summer_CMP-01674</t>
  </si>
  <si>
    <t>CMP-01675</t>
  </si>
  <si>
    <t>Q3_Launch_CMP-01675</t>
  </si>
  <si>
    <t>CMP-01676</t>
  </si>
  <si>
    <t>Q2_Summer_CMP-01676</t>
  </si>
  <si>
    <t>CMP-01677</t>
  </si>
  <si>
    <t>Q3_Summer_CMP-01677</t>
  </si>
  <si>
    <t>CMP-01678</t>
  </si>
  <si>
    <t>Q3_BlackFriday_CMP-01678</t>
  </si>
  <si>
    <t>CMP-01679</t>
  </si>
  <si>
    <t>Q1_Launch_CMP-01679</t>
  </si>
  <si>
    <t>CMP-01680</t>
  </si>
  <si>
    <t>CMP-01681</t>
  </si>
  <si>
    <t>CMP-01682</t>
  </si>
  <si>
    <t>Q4_BlackFriday_CMP-01682</t>
  </si>
  <si>
    <t>CMP-01683</t>
  </si>
  <si>
    <t>Q3_BlackFriday_CMP-01683</t>
  </si>
  <si>
    <t>CMP-01684</t>
  </si>
  <si>
    <t>Q2_Launch_CMP-01684</t>
  </si>
  <si>
    <t>CMP-01685</t>
  </si>
  <si>
    <t>Q2_BlackFriday_CMP-01685</t>
  </si>
  <si>
    <t>CMP-01686</t>
  </si>
  <si>
    <t>Q1_Summer_CMP-01686</t>
  </si>
  <si>
    <t>CMP-01687</t>
  </si>
  <si>
    <t>Q3_Summer_CMP-01687</t>
  </si>
  <si>
    <t>CMP-01688</t>
  </si>
  <si>
    <t>Q1_Summer_CMP-01688</t>
  </si>
  <si>
    <t>CMP-01689</t>
  </si>
  <si>
    <t>CMP-01690</t>
  </si>
  <si>
    <t>CMP-01691</t>
  </si>
  <si>
    <t>CMP-01692</t>
  </si>
  <si>
    <t>Q1_Launch_CMP-01692</t>
  </si>
  <si>
    <t>CMP-01693</t>
  </si>
  <si>
    <t>Q1_BlackFriday_CMP-01693</t>
  </si>
  <si>
    <t>CMP-01694</t>
  </si>
  <si>
    <t>Q1_Summer_CMP-01694</t>
  </si>
  <si>
    <t>CMP-01695</t>
  </si>
  <si>
    <t>Q4_Launch_CMP-01695</t>
  </si>
  <si>
    <t>CMP-01696</t>
  </si>
  <si>
    <t>Q4_Launch_CMP-01696</t>
  </si>
  <si>
    <t>CMP-01697</t>
  </si>
  <si>
    <t>CMP-01698</t>
  </si>
  <si>
    <t>CMP-01699</t>
  </si>
  <si>
    <t>Q1_BlackFriday_CMP-01699</t>
  </si>
  <si>
    <t>CMP-01700</t>
  </si>
  <si>
    <t>CMP-01701</t>
  </si>
  <si>
    <t>Q4_BlackFriday_CMP-01701</t>
  </si>
  <si>
    <t>CMP-01702</t>
  </si>
  <si>
    <t>Q4_Summer_CMP-01702</t>
  </si>
  <si>
    <t>CMP-01703</t>
  </si>
  <si>
    <t>Q2_BlackFriday_CMP-01703</t>
  </si>
  <si>
    <t>CMP-01704</t>
  </si>
  <si>
    <t>CMP-01705</t>
  </si>
  <si>
    <t>Q2_BlackFriday_CMP-01705</t>
  </si>
  <si>
    <t>CMP-01706</t>
  </si>
  <si>
    <t>Q1_BlackFriday_CMP-01706</t>
  </si>
  <si>
    <t>CMP-01707</t>
  </si>
  <si>
    <t>Q4_Summer_CMP-01707</t>
  </si>
  <si>
    <t>CMP-01708</t>
  </si>
  <si>
    <t>Q3_Summer_CMP-01708</t>
  </si>
  <si>
    <t>CMP-01709</t>
  </si>
  <si>
    <t>Q1_Summer_CMP-01709</t>
  </si>
  <si>
    <t>CMP-01710</t>
  </si>
  <si>
    <t>Q3_Summer_CMP-01710</t>
  </si>
  <si>
    <t>CMP-01711</t>
  </si>
  <si>
    <t>Q2_Summer_CMP-01711</t>
  </si>
  <si>
    <t>CMP-01712</t>
  </si>
  <si>
    <t>Q1_Summer_CMP-01712</t>
  </si>
  <si>
    <t>CMP-01713</t>
  </si>
  <si>
    <t>Q3_Launch_CMP-01713</t>
  </si>
  <si>
    <t>CMP-01714</t>
  </si>
  <si>
    <t>Q3_Summer_CMP-01714</t>
  </si>
  <si>
    <t>CMP-01715</t>
  </si>
  <si>
    <t>Q3_Summer_CMP-01715</t>
  </si>
  <si>
    <t>CMP-01716</t>
  </si>
  <si>
    <t>CMP-01717</t>
  </si>
  <si>
    <t>CMP-01718</t>
  </si>
  <si>
    <t>Q2_BlackFriday_CMP-01718</t>
  </si>
  <si>
    <t>CMP-01719</t>
  </si>
  <si>
    <t>CMP-01720</t>
  </si>
  <si>
    <t>CMP-01721</t>
  </si>
  <si>
    <t>CMP-01722</t>
  </si>
  <si>
    <t>Q2_Launch_CMP-01722</t>
  </si>
  <si>
    <t>CMP-01723</t>
  </si>
  <si>
    <t>Q1_Summer_CMP-01723</t>
  </si>
  <si>
    <t>CMP-01724</t>
  </si>
  <si>
    <t>Q1_BlackFriday_CMP-01724</t>
  </si>
  <si>
    <t>CMP-01725</t>
  </si>
  <si>
    <t>Q3_Summer_CMP-01725</t>
  </si>
  <si>
    <t>CMP-01726</t>
  </si>
  <si>
    <t>CMP-01727</t>
  </si>
  <si>
    <t>Q2_Summer_CMP-01727</t>
  </si>
  <si>
    <t>CMP-01728</t>
  </si>
  <si>
    <t>CMP-01729</t>
  </si>
  <si>
    <t>Q2_BlackFriday_CMP-01729</t>
  </si>
  <si>
    <t>CMP-01730</t>
  </si>
  <si>
    <t>Q4_Launch_CMP-01730</t>
  </si>
  <si>
    <t>CMP-01731</t>
  </si>
  <si>
    <t>Q4_Summer_CMP-01731</t>
  </si>
  <si>
    <t>CMP-01732</t>
  </si>
  <si>
    <t>Q1_BlackFriday_CMP-01732</t>
  </si>
  <si>
    <t>CMP-01733</t>
  </si>
  <si>
    <t>Q2_BlackFriday_CMP-01733</t>
  </si>
  <si>
    <t>CMP-01734</t>
  </si>
  <si>
    <t>CMP-01735</t>
  </si>
  <si>
    <t>CMP-01736</t>
  </si>
  <si>
    <t>Q4_Summer_CMP-01736</t>
  </si>
  <si>
    <t>CMP-01737</t>
  </si>
  <si>
    <t>Q3_Summer_CMP-01737</t>
  </si>
  <si>
    <t>CMP-01738</t>
  </si>
  <si>
    <t>Q4_Summer_CMP-01738</t>
  </si>
  <si>
    <t>CMP-01739</t>
  </si>
  <si>
    <t>Q1_BlackFriday_CMP-01739</t>
  </si>
  <si>
    <t>CMP-01740</t>
  </si>
  <si>
    <t>CMP-01741</t>
  </si>
  <si>
    <t>Q3_BlackFriday_CMP-01741</t>
  </si>
  <si>
    <t>CMP-01742</t>
  </si>
  <si>
    <t>Q2_Launch_CMP-01742</t>
  </si>
  <si>
    <t>CMP-01743</t>
  </si>
  <si>
    <t>Q2_BlackFriday_CMP-01743</t>
  </si>
  <si>
    <t>CMP-01744</t>
  </si>
  <si>
    <t>Q4_Launch_CMP-01744</t>
  </si>
  <si>
    <t>CMP-01745</t>
  </si>
  <si>
    <t>Q4_Launch_CMP-01745</t>
  </si>
  <si>
    <t>CMP-01746</t>
  </si>
  <si>
    <t>Q1_Launch_CMP-01746</t>
  </si>
  <si>
    <t>CMP-01747</t>
  </si>
  <si>
    <t>Q1_Launch_CMP-01747</t>
  </si>
  <si>
    <t>CMP-01748</t>
  </si>
  <si>
    <t>Q1_BlackFriday_CMP-01748</t>
  </si>
  <si>
    <t>CMP-01749</t>
  </si>
  <si>
    <t>Q4_Launch_CMP-01749</t>
  </si>
  <si>
    <t>CMP-01750</t>
  </si>
  <si>
    <t>Q3_Launch_CMP-01750</t>
  </si>
  <si>
    <t>CMP-01751</t>
  </si>
  <si>
    <t>Q3_Summer_CMP-01751</t>
  </si>
  <si>
    <t>CMP-01752</t>
  </si>
  <si>
    <t>CMP-01753</t>
  </si>
  <si>
    <t>Q1_BlackFriday_CMP-01753</t>
  </si>
  <si>
    <t>CMP-01754</t>
  </si>
  <si>
    <t>Q2_BlackFriday_CMP-01754</t>
  </si>
  <si>
    <t>CMP-01755</t>
  </si>
  <si>
    <t>Q1_Summer_CMP-01755</t>
  </si>
  <si>
    <t>CMP-01756</t>
  </si>
  <si>
    <t>Q1_BlackFriday_CMP-01756</t>
  </si>
  <si>
    <t>CMP-01757</t>
  </si>
  <si>
    <t>CMP-01758</t>
  </si>
  <si>
    <t>Q3_Summer_CMP-01758</t>
  </si>
  <si>
    <t>CMP-01759</t>
  </si>
  <si>
    <t>CMP-01760</t>
  </si>
  <si>
    <t>Q3_Summer_CMP-01760</t>
  </si>
  <si>
    <t>CMP-01761</t>
  </si>
  <si>
    <t>Q2_Summer_CMP-01761</t>
  </si>
  <si>
    <t>CMP-01762</t>
  </si>
  <si>
    <t>CMP-01763</t>
  </si>
  <si>
    <t>Q2_BlackFriday_CMP-01763</t>
  </si>
  <si>
    <t>CMP-01764</t>
  </si>
  <si>
    <t>CMP-01765</t>
  </si>
  <si>
    <t>CMP-01766</t>
  </si>
  <si>
    <t>Q1_Summer_CMP-01766</t>
  </si>
  <si>
    <t>CMP-01767</t>
  </si>
  <si>
    <t>CMP-01768</t>
  </si>
  <si>
    <t>Q1_BlackFriday_CMP-01768</t>
  </si>
  <si>
    <t>CMP-01769</t>
  </si>
  <si>
    <t>CMP-01770</t>
  </si>
  <si>
    <t>CMP-01771</t>
  </si>
  <si>
    <t>CMP-01772</t>
  </si>
  <si>
    <t>Q3_Launch_CMP-01772</t>
  </si>
  <si>
    <t>CMP-01773</t>
  </si>
  <si>
    <t>CMP-01774</t>
  </si>
  <si>
    <t>CMP-01775</t>
  </si>
  <si>
    <t>Q3_Launch_CMP-01775</t>
  </si>
  <si>
    <t>CMP-01776</t>
  </si>
  <si>
    <t>CMP-01777</t>
  </si>
  <si>
    <t>Q3_Launch_CMP-01777</t>
  </si>
  <si>
    <t>CMP-01778</t>
  </si>
  <si>
    <t>Q1_Launch_CMP-01778</t>
  </si>
  <si>
    <t>CMP-01779</t>
  </si>
  <si>
    <t>Q4_Launch_CMP-01779</t>
  </si>
  <si>
    <t>CMP-01780</t>
  </si>
  <si>
    <t>CMP-01781</t>
  </si>
  <si>
    <t>Q4_BlackFriday_CMP-01781</t>
  </si>
  <si>
    <t>CMP-01782</t>
  </si>
  <si>
    <t>Q1_Launch_CMP-01782</t>
  </si>
  <si>
    <t>CMP-01783</t>
  </si>
  <si>
    <t>Q1_Launch_CMP-01783</t>
  </si>
  <si>
    <t>CMP-01784</t>
  </si>
  <si>
    <t>CMP-01785</t>
  </si>
  <si>
    <t>Q1_Summer_CMP-01785</t>
  </si>
  <si>
    <t>CMP-01786</t>
  </si>
  <si>
    <t>CMP-01787</t>
  </si>
  <si>
    <t>Q4_Summer_CMP-01787</t>
  </si>
  <si>
    <t>CMP-01788</t>
  </si>
  <si>
    <t>Q2_BlackFriday_CMP-01788</t>
  </si>
  <si>
    <t>CMP-01789</t>
  </si>
  <si>
    <t>Q2_BlackFriday_CMP-01789</t>
  </si>
  <si>
    <t>CMP-01790</t>
  </si>
  <si>
    <t>Q4_BlackFriday_CMP-01790</t>
  </si>
  <si>
    <t>CMP-01791</t>
  </si>
  <si>
    <t>Q3_BlackFriday_CMP-01791</t>
  </si>
  <si>
    <t>CMP-01792</t>
  </si>
  <si>
    <t>Q3_Summer_CMP-01792</t>
  </si>
  <si>
    <t>CMP-01793</t>
  </si>
  <si>
    <t>Q1_Launch_CMP-01793</t>
  </si>
  <si>
    <t>CMP-01794</t>
  </si>
  <si>
    <t>Q2_Summer_CMP-01794</t>
  </si>
  <si>
    <t>CMP-01795</t>
  </si>
  <si>
    <t>CMP-01796</t>
  </si>
  <si>
    <t>Q2_Summer_CMP-01796</t>
  </si>
  <si>
    <t>CMP-01797</t>
  </si>
  <si>
    <t>Q4_Launch_CMP-01797</t>
  </si>
  <si>
    <t>CMP-01798</t>
  </si>
  <si>
    <t>Q1_Summer_CMP-01798</t>
  </si>
  <si>
    <t>CMP-01799</t>
  </si>
  <si>
    <t>Q2_Summer_CMP-01799</t>
  </si>
  <si>
    <t>CMP-01800</t>
  </si>
  <si>
    <t>CMP-01801</t>
  </si>
  <si>
    <t>Q1_Summer_CMP-01801</t>
  </si>
  <si>
    <t>CMP-01802</t>
  </si>
  <si>
    <t>Q2_Launch_CMP-01802</t>
  </si>
  <si>
    <t>CMP-01803</t>
  </si>
  <si>
    <t>Q3_Launch_CMP-01803</t>
  </si>
  <si>
    <t>CMP-01804</t>
  </si>
  <si>
    <t>Q2_Launch_CMP-01804</t>
  </si>
  <si>
    <t>CMP-01805</t>
  </si>
  <si>
    <t>CMP-01806</t>
  </si>
  <si>
    <t>Q2_BlackFriday_CMP-01806</t>
  </si>
  <si>
    <t>CMP-01807</t>
  </si>
  <si>
    <t>Q1_Summer_CMP-01807</t>
  </si>
  <si>
    <t>CMP-01808</t>
  </si>
  <si>
    <t>Q2_BlackFriday_CMP-01808</t>
  </si>
  <si>
    <t>CMP-01809</t>
  </si>
  <si>
    <t>CMP-01810</t>
  </si>
  <si>
    <t>Q3_Launch_CMP-01810</t>
  </si>
  <si>
    <t>CMP-01811</t>
  </si>
  <si>
    <t>Q2_Summer_CMP-01811</t>
  </si>
  <si>
    <t>CMP-01812</t>
  </si>
  <si>
    <t>Q4_Launch_CMP-01812</t>
  </si>
  <si>
    <t>CMP-01813</t>
  </si>
  <si>
    <t>Q2_BlackFriday_CMP-01813</t>
  </si>
  <si>
    <t>CMP-01814</t>
  </si>
  <si>
    <t>CMP-01815</t>
  </si>
  <si>
    <t>CMP-01816</t>
  </si>
  <si>
    <t>Q3_Launch_CMP-01816</t>
  </si>
  <si>
    <t>CMP-01817</t>
  </si>
  <si>
    <t>Q1_Launch_CMP-01817</t>
  </si>
  <si>
    <t>CMP-01818</t>
  </si>
  <si>
    <t>CMP-01819</t>
  </si>
  <si>
    <t>CMP-01820</t>
  </si>
  <si>
    <t>Q2_BlackFriday_CMP-01820</t>
  </si>
  <si>
    <t>CMP-01821</t>
  </si>
  <si>
    <t>Q1_Summer_CMP-01821</t>
  </si>
  <si>
    <t>CMP-01822</t>
  </si>
  <si>
    <t>Q1_Launch_CMP-01822</t>
  </si>
  <si>
    <t>CMP-01823</t>
  </si>
  <si>
    <t>CMP-01824</t>
  </si>
  <si>
    <t>Q3_BlackFriday_CMP-01824</t>
  </si>
  <si>
    <t>CMP-01825</t>
  </si>
  <si>
    <t>CMP-01826</t>
  </si>
  <si>
    <t>CMP-01827</t>
  </si>
  <si>
    <t>Q1_Launch_CMP-01827</t>
  </si>
  <si>
    <t>CMP-01828</t>
  </si>
  <si>
    <t>Q1_Summer_CMP-01828</t>
  </si>
  <si>
    <t>CMP-01829</t>
  </si>
  <si>
    <t>Q4_Summer_CMP-01829</t>
  </si>
  <si>
    <t>CMP-01830</t>
  </si>
  <si>
    <t>Q2_Summer_CMP-01830</t>
  </si>
  <si>
    <t>CMP-01831</t>
  </si>
  <si>
    <t>Q1_Summer_CMP-01831</t>
  </si>
  <si>
    <t>CMP-01832</t>
  </si>
  <si>
    <t>Q4_Launch_CMP-01832</t>
  </si>
  <si>
    <t>CMP-01833</t>
  </si>
  <si>
    <t>Q3_Launch_CMP-01833</t>
  </si>
  <si>
    <t>CMP-01834</t>
  </si>
  <si>
    <t>CMP-01835</t>
  </si>
  <si>
    <t>Q4_BlackFriday_CMP-01835</t>
  </si>
  <si>
    <t>CMP-01836</t>
  </si>
  <si>
    <t>Q3_Launch_CMP-01836</t>
  </si>
  <si>
    <t>CMP-01837</t>
  </si>
  <si>
    <t>CMP-01838</t>
  </si>
  <si>
    <t>Q4_BlackFriday_CMP-01838</t>
  </si>
  <si>
    <t>CMP-01839</t>
  </si>
  <si>
    <t>CMP-01840</t>
  </si>
  <si>
    <t>CMP-01841</t>
  </si>
  <si>
    <t>Q4_BlackFriday_CMP-01841</t>
  </si>
  <si>
    <t>CMP-01842</t>
  </si>
  <si>
    <t>Q2_BlackFriday_CMP-01842</t>
  </si>
  <si>
    <t>CMP-01843</t>
  </si>
  <si>
    <t>Q1_Launch_CMP-01843</t>
  </si>
  <si>
    <t>CMP-01844</t>
  </si>
  <si>
    <t>CMP-01845</t>
  </si>
  <si>
    <t>Q1_Launch_CMP-01845</t>
  </si>
  <si>
    <t>CMP-01846</t>
  </si>
  <si>
    <t>CMP-01847</t>
  </si>
  <si>
    <t>CMP-01848</t>
  </si>
  <si>
    <t>CMP-01849</t>
  </si>
  <si>
    <t>Q4_Launch_CMP-01849</t>
  </si>
  <si>
    <t>CMP-01850</t>
  </si>
  <si>
    <t>Q4_Launch_CMP-01850</t>
  </si>
  <si>
    <t>CMP-01851</t>
  </si>
  <si>
    <t>Q4_Launch_CMP-01851</t>
  </si>
  <si>
    <t>CMP-01852</t>
  </si>
  <si>
    <t>Q4_Launch_CMP-01852</t>
  </si>
  <si>
    <t>CMP-01853</t>
  </si>
  <si>
    <t>Q3_BlackFriday_CMP-01853</t>
  </si>
  <si>
    <t>CMP-01854</t>
  </si>
  <si>
    <t>Q3_Launch_CMP-01854</t>
  </si>
  <si>
    <t>CMP-01855</t>
  </si>
  <si>
    <t>CMP-01856</t>
  </si>
  <si>
    <t>CMP-01857</t>
  </si>
  <si>
    <t>CMP-01858</t>
  </si>
  <si>
    <t>Q3_Launch_CMP-01858</t>
  </si>
  <si>
    <t>CMP-01859</t>
  </si>
  <si>
    <t>Q4_BlackFriday_CMP-01859</t>
  </si>
  <si>
    <t>CMP-01860</t>
  </si>
  <si>
    <t>CMP-01861</t>
  </si>
  <si>
    <t>CMP-01862</t>
  </si>
  <si>
    <t>Q4_Summer_CMP-01862</t>
  </si>
  <si>
    <t>CMP-01863</t>
  </si>
  <si>
    <t>Q4_BlackFriday_CMP-01863</t>
  </si>
  <si>
    <t>CMP-01864</t>
  </si>
  <si>
    <t>Q4_Summer_CMP-01864</t>
  </si>
  <si>
    <t>CMP-01865</t>
  </si>
  <si>
    <t>CMP-01866</t>
  </si>
  <si>
    <t>CMP-01867</t>
  </si>
  <si>
    <t>Q4_Launch_CMP-01867</t>
  </si>
  <si>
    <t>CMP-01868</t>
  </si>
  <si>
    <t>Q2_Launch_CMP-01868</t>
  </si>
  <si>
    <t>CMP-01869</t>
  </si>
  <si>
    <t>CMP-01870</t>
  </si>
  <si>
    <t>CMP-01871</t>
  </si>
  <si>
    <t>CMP-01872</t>
  </si>
  <si>
    <t>CMP-01873</t>
  </si>
  <si>
    <t>Q2_Launch_CMP-01873</t>
  </si>
  <si>
    <t>CMP-01874</t>
  </si>
  <si>
    <t>Q3_Launch_CMP-01874</t>
  </si>
  <si>
    <t>CMP-01875</t>
  </si>
  <si>
    <t>CMP-01876</t>
  </si>
  <si>
    <t>Q4_BlackFriday_CMP-01876</t>
  </si>
  <si>
    <t>CMP-01877</t>
  </si>
  <si>
    <t>Q1_Summer_CMP-01877</t>
  </si>
  <si>
    <t>CMP-01878</t>
  </si>
  <si>
    <t>Q1_Summer_CMP-01878</t>
  </si>
  <si>
    <t>CMP-01879</t>
  </si>
  <si>
    <t>Q1_Summer_CMP-01879</t>
  </si>
  <si>
    <t>CMP-01880</t>
  </si>
  <si>
    <t>Q1_BlackFriday_CMP-01880</t>
  </si>
  <si>
    <t>CMP-01881</t>
  </si>
  <si>
    <t>Q1_BlackFriday_CMP-01881</t>
  </si>
  <si>
    <t>CMP-01882</t>
  </si>
  <si>
    <t>CMP-01883</t>
  </si>
  <si>
    <t>CMP-01884</t>
  </si>
  <si>
    <t>Q3_Summer_CMP-01884</t>
  </si>
  <si>
    <t>CMP-01885</t>
  </si>
  <si>
    <t>Q3_BlackFriday_CMP-01885</t>
  </si>
  <si>
    <t>CMP-01886</t>
  </si>
  <si>
    <t>Q4_Launch_CMP-01886</t>
  </si>
  <si>
    <t>CMP-01887</t>
  </si>
  <si>
    <t>CMP-01888</t>
  </si>
  <si>
    <t>Q3_BlackFriday_CMP-01888</t>
  </si>
  <si>
    <t>CMP-01889</t>
  </si>
  <si>
    <t>CMP-01890</t>
  </si>
  <si>
    <t>CMP-01891</t>
  </si>
  <si>
    <t>Q4_Summer_CMP-01891</t>
  </si>
  <si>
    <t>CMP-01892</t>
  </si>
  <si>
    <t>CMP-01893</t>
  </si>
  <si>
    <t>Q4_BlackFriday_CMP-01893</t>
  </si>
  <si>
    <t>CMP-01894</t>
  </si>
  <si>
    <t>Q2_Summer_CMP-01894</t>
  </si>
  <si>
    <t>CMP-01895</t>
  </si>
  <si>
    <t>Q2_Launch_CMP-01895</t>
  </si>
  <si>
    <t>CMP-01896</t>
  </si>
  <si>
    <t>Q1_Summer_CMP-01896</t>
  </si>
  <si>
    <t>CMP-01897</t>
  </si>
  <si>
    <t>Q2_Launch_CMP-01897</t>
  </si>
  <si>
    <t>CMP-01898</t>
  </si>
  <si>
    <t>Q4_Launch_CMP-01898</t>
  </si>
  <si>
    <t>CMP-01899</t>
  </si>
  <si>
    <t>CMP-01900</t>
  </si>
  <si>
    <t>Q1_BlackFriday_CMP-01900</t>
  </si>
  <si>
    <t>CMP-01901</t>
  </si>
  <si>
    <t>CMP-01902</t>
  </si>
  <si>
    <t>Q4_Summer_CMP-01902</t>
  </si>
  <si>
    <t>CMP-01903</t>
  </si>
  <si>
    <t>Q4_BlackFriday_CMP-01903</t>
  </si>
  <si>
    <t>CMP-01904</t>
  </si>
  <si>
    <t>Q3_Summer_CMP-01904</t>
  </si>
  <si>
    <t>CMP-01905</t>
  </si>
  <si>
    <t>Q3_Summer_CMP-01905</t>
  </si>
  <si>
    <t>CMP-01906</t>
  </si>
  <si>
    <t>CMP-01907</t>
  </si>
  <si>
    <t>Q3_Launch_CMP-01907</t>
  </si>
  <si>
    <t>CMP-01908</t>
  </si>
  <si>
    <t>Q2_Summer_CMP-01908</t>
  </si>
  <si>
    <t>CMP-01909</t>
  </si>
  <si>
    <t>Q2_BlackFriday_CMP-01909</t>
  </si>
  <si>
    <t>CMP-01910</t>
  </si>
  <si>
    <t>Q3_Summer_CMP-01910</t>
  </si>
  <si>
    <t>CMP-01911</t>
  </si>
  <si>
    <t>Q3_Launch_CMP-01911</t>
  </si>
  <si>
    <t>CMP-01912</t>
  </si>
  <si>
    <t>Q1_Launch_CMP-01912</t>
  </si>
  <si>
    <t>CMP-01913</t>
  </si>
  <si>
    <t>Q2_BlackFriday_CMP-01913</t>
  </si>
  <si>
    <t>CMP-01914</t>
  </si>
  <si>
    <t>CMP-01915</t>
  </si>
  <si>
    <t>Q3_Summer_CMP-01915</t>
  </si>
  <si>
    <t>CMP-01916</t>
  </si>
  <si>
    <t>Q4_BlackFriday_CMP-01916</t>
  </si>
  <si>
    <t>CMP-01917</t>
  </si>
  <si>
    <t>Q2_Summer_CMP-01917</t>
  </si>
  <si>
    <t>CMP-01918</t>
  </si>
  <si>
    <t>Q2_BlackFriday_CMP-01918</t>
  </si>
  <si>
    <t>CMP-01919</t>
  </si>
  <si>
    <t>Q3_Launch_CMP-01919</t>
  </si>
  <si>
    <t>CMP-01920</t>
  </si>
  <si>
    <t>Q4_BlackFriday_CMP-01920</t>
  </si>
  <si>
    <t>CMP-01921</t>
  </si>
  <si>
    <t>Q1_BlackFriday_CMP-01921</t>
  </si>
  <si>
    <t>CMP-01922</t>
  </si>
  <si>
    <t>Q4_Summer_CMP-01922</t>
  </si>
  <si>
    <t>CMP-01923</t>
  </si>
  <si>
    <t>Q3_Summer_CMP-01923</t>
  </si>
  <si>
    <t>CMP-01924</t>
  </si>
  <si>
    <t>Q2_Summer_CMP-01924</t>
  </si>
  <si>
    <t>CMP-01925</t>
  </si>
  <si>
    <t>Q1_BlackFriday_CMP-01925</t>
  </si>
  <si>
    <t>CMP-01926</t>
  </si>
  <si>
    <t>CMP-01927</t>
  </si>
  <si>
    <t>Q4_Launch_CMP-01927</t>
  </si>
  <si>
    <t>CMP-01928</t>
  </si>
  <si>
    <t>Q4_Summer_CMP-01928</t>
  </si>
  <si>
    <t>CMP-01929</t>
  </si>
  <si>
    <t>Q3_Launch_CMP-01929</t>
  </si>
  <si>
    <t>CMP-01930</t>
  </si>
  <si>
    <t>Q3_BlackFriday_CMP-01930</t>
  </si>
  <si>
    <t>CMP-01931</t>
  </si>
  <si>
    <t>Q4_Launch_CMP-01931</t>
  </si>
  <si>
    <t>CMP-01932</t>
  </si>
  <si>
    <t>CMP-01933</t>
  </si>
  <si>
    <t>Q3_BlackFriday_CMP-01933</t>
  </si>
  <si>
    <t>CMP-01934</t>
  </si>
  <si>
    <t>Q2_Launch_CMP-01934</t>
  </si>
  <si>
    <t>CMP-01935</t>
  </si>
  <si>
    <t>Q3_BlackFriday_CMP-01935</t>
  </si>
  <si>
    <t>CMP-01936</t>
  </si>
  <si>
    <t>Q1_Launch_CMP-01936</t>
  </si>
  <si>
    <t>CMP-01937</t>
  </si>
  <si>
    <t>Q1_BlackFriday_CMP-01937</t>
  </si>
  <si>
    <t>CMP-01938</t>
  </si>
  <si>
    <t>Q1_Summer_CMP-01938</t>
  </si>
  <si>
    <t>CMP-01939</t>
  </si>
  <si>
    <t>Q2_Summer_CMP-01939</t>
  </si>
  <si>
    <t>CMP-01940</t>
  </si>
  <si>
    <t>Q2_Summer_CMP-01940</t>
  </si>
  <si>
    <t>CMP-01941</t>
  </si>
  <si>
    <t>Q2_BlackFriday_CMP-01941</t>
  </si>
  <si>
    <t>CMP-01942</t>
  </si>
  <si>
    <t>CMP-01943</t>
  </si>
  <si>
    <t>Q2_Summer_CMP-01943</t>
  </si>
  <si>
    <t>CMP-01944</t>
  </si>
  <si>
    <t>Q1_Summer_CMP-01944</t>
  </si>
  <si>
    <t>CMP-01945</t>
  </si>
  <si>
    <t>Q1_BlackFriday_CMP-01945</t>
  </si>
  <si>
    <t>CMP-01946</t>
  </si>
  <si>
    <t>CMP-01947</t>
  </si>
  <si>
    <t>Q4_BlackFriday_CMP-01947</t>
  </si>
  <si>
    <t>CMP-01948</t>
  </si>
  <si>
    <t>Q1_Summer_CMP-01948</t>
  </si>
  <si>
    <t>CMP-01949</t>
  </si>
  <si>
    <t>CMP-01950</t>
  </si>
  <si>
    <t>Q2_Summer_CMP-01950</t>
  </si>
  <si>
    <t>CMP-01951</t>
  </si>
  <si>
    <t>Q2_Summer_CMP-01951</t>
  </si>
  <si>
    <t>CMP-01952</t>
  </si>
  <si>
    <t>Q1_Summer_CMP-01952</t>
  </si>
  <si>
    <t>CMP-01953</t>
  </si>
  <si>
    <t>CMP-01954</t>
  </si>
  <si>
    <t>Q2_Summer_CMP-01954</t>
  </si>
  <si>
    <t>CMP-01955</t>
  </si>
  <si>
    <t>Q1_Launch_CMP-01955</t>
  </si>
  <si>
    <t>CMP-01956</t>
  </si>
  <si>
    <t>CMP-01957</t>
  </si>
  <si>
    <t>CMP-01958</t>
  </si>
  <si>
    <t>CMP-01959</t>
  </si>
  <si>
    <t>Q4_BlackFriday_CMP-01959</t>
  </si>
  <si>
    <t>CMP-01960</t>
  </si>
  <si>
    <t>Q1_Launch_CMP-01960</t>
  </si>
  <si>
    <t>CMP-01961</t>
  </si>
  <si>
    <t>Q2_Summer_CMP-01961</t>
  </si>
  <si>
    <t>CMP-01962</t>
  </si>
  <si>
    <t>CMP-01963</t>
  </si>
  <si>
    <t>Q2_BlackFriday_CMP-01963</t>
  </si>
  <si>
    <t>CMP-01964</t>
  </si>
  <si>
    <t>CMP-01965</t>
  </si>
  <si>
    <t>Q1_Summer_CMP-01965</t>
  </si>
  <si>
    <t>CMP-01966</t>
  </si>
  <si>
    <t>CMP-01967</t>
  </si>
  <si>
    <t>CMP-01968</t>
  </si>
  <si>
    <t>Q2_Launch_CMP-01968</t>
  </si>
  <si>
    <t>CMP-01969</t>
  </si>
  <si>
    <t>Q3_Launch_CMP-01969</t>
  </si>
  <si>
    <t>CMP-01970</t>
  </si>
  <si>
    <t>CMP-01971</t>
  </si>
  <si>
    <t>Q4_BlackFriday_CMP-01971</t>
  </si>
  <si>
    <t>CMP-01972</t>
  </si>
  <si>
    <t>CMP-01973</t>
  </si>
  <si>
    <t>Q1_BlackFriday_CMP-01973</t>
  </si>
  <si>
    <t>CMP-01974</t>
  </si>
  <si>
    <t>CMP-01975</t>
  </si>
  <si>
    <t>Q1_Summer_CMP-01975</t>
  </si>
  <si>
    <t>CMP-01976</t>
  </si>
  <si>
    <t>Q1_Launch_CMP-01976</t>
  </si>
  <si>
    <t>CMP-01977</t>
  </si>
  <si>
    <t>Q3_Summer_CMP-01977</t>
  </si>
  <si>
    <t>CMP-01978</t>
  </si>
  <si>
    <t>Q4_Summer_CMP-01978</t>
  </si>
  <si>
    <t>CMP-01979</t>
  </si>
  <si>
    <t>Q4_Summer_CMP-01979</t>
  </si>
  <si>
    <t>CMP-01980</t>
  </si>
  <si>
    <t>Q1_BlackFriday_CMP-01980</t>
  </si>
  <si>
    <t>CMP-01981</t>
  </si>
  <si>
    <t>Q3_Summer_CMP-01981</t>
  </si>
  <si>
    <t>CMP-01982</t>
  </si>
  <si>
    <t>Q3_BlackFriday_CMP-01982</t>
  </si>
  <si>
    <t>CMP-01983</t>
  </si>
  <si>
    <t>Q4_BlackFriday_CMP-01983</t>
  </si>
  <si>
    <t>CMP-01984</t>
  </si>
  <si>
    <t>Q4_BlackFriday_CMP-01984</t>
  </si>
  <si>
    <t>CMP-01985</t>
  </si>
  <si>
    <t>Q4_BlackFriday_CMP-01985</t>
  </si>
  <si>
    <t>CMP-01986</t>
  </si>
  <si>
    <t>Q4_BlackFriday_CMP-01986</t>
  </si>
  <si>
    <t>CMP-01987</t>
  </si>
  <si>
    <t>CMP-01988</t>
  </si>
  <si>
    <t>Q2_Summer_CMP-01988</t>
  </si>
  <si>
    <t>CMP-01989</t>
  </si>
  <si>
    <t>Q3_Launch_CMP-01989</t>
  </si>
  <si>
    <t>CMP-01990</t>
  </si>
  <si>
    <t>Q4_Launch_CMP-01990</t>
  </si>
  <si>
    <t>CMP-01991</t>
  </si>
  <si>
    <t>Q3_Launch_CMP-01991</t>
  </si>
  <si>
    <t>CMP-01992</t>
  </si>
  <si>
    <t>Q4_Launch_CMP-01992</t>
  </si>
  <si>
    <t>CMP-01993</t>
  </si>
  <si>
    <t>CMP-01994</t>
  </si>
  <si>
    <t>Q2_Launch_CMP-01994</t>
  </si>
  <si>
    <t>CMP-01995</t>
  </si>
  <si>
    <t>Q4_Summer_CMP-01995</t>
  </si>
  <si>
    <t>CMP-01996</t>
  </si>
  <si>
    <t>Q2_BlackFriday_CMP-01996</t>
  </si>
  <si>
    <t>CMP-01997</t>
  </si>
  <si>
    <t>CMP-01998</t>
  </si>
  <si>
    <t>Q4_BlackFriday_CMP-01998</t>
  </si>
  <si>
    <t>CMP-01999</t>
  </si>
  <si>
    <t>Q1_Launch_CMP-01999</t>
  </si>
  <si>
    <t>CMP-02000</t>
  </si>
  <si>
    <t>CTR</t>
  </si>
  <si>
    <t>Conversion_Rate</t>
  </si>
  <si>
    <t>Cost_Per_Click</t>
  </si>
  <si>
    <t>Month</t>
  </si>
  <si>
    <t>Year</t>
  </si>
  <si>
    <t>Grand Total</t>
  </si>
  <si>
    <t>Sum of Spend</t>
  </si>
  <si>
    <t>Sum of Conversions</t>
  </si>
  <si>
    <t xml:space="preserve">Sum of Clicks </t>
  </si>
  <si>
    <t xml:space="preserve">Count of  Campaign_ID </t>
  </si>
  <si>
    <t>Sum of Conversion_Rate</t>
  </si>
  <si>
    <t>Q4</t>
  </si>
  <si>
    <t>Q3</t>
  </si>
  <si>
    <t>BlackFriday</t>
  </si>
  <si>
    <t>Q2</t>
  </si>
  <si>
    <t>Q1</t>
  </si>
  <si>
    <t>Launch</t>
  </si>
  <si>
    <t>Summer</t>
  </si>
  <si>
    <t>Quarter_No</t>
  </si>
  <si>
    <t>Cost_Per_Conversion</t>
  </si>
  <si>
    <t xml:space="preserve"> Month_Name</t>
  </si>
  <si>
    <t>Average of CTR</t>
  </si>
  <si>
    <t>Average of Cost_Per_Conversion</t>
  </si>
  <si>
    <t>Average of Conversion_Rate</t>
  </si>
  <si>
    <t>Quarter No</t>
  </si>
  <si>
    <t>Sum of Impressions</t>
  </si>
  <si>
    <t>Channels</t>
  </si>
  <si>
    <t>Min. of Cost_Per_Click</t>
  </si>
  <si>
    <t>Count of Cost_Per_Conversion</t>
  </si>
  <si>
    <t>Campaign_Duration_Days</t>
  </si>
  <si>
    <t>Sum of Campaign_Duration_Days</t>
  </si>
  <si>
    <t>Not specified</t>
  </si>
  <si>
    <t>IG</t>
  </si>
  <si>
    <t>FB</t>
  </si>
  <si>
    <t>Compaign Theme</t>
  </si>
  <si>
    <t>Start Date</t>
  </si>
  <si>
    <t>End Date</t>
  </si>
  <si>
    <t>Sum of Year</t>
  </si>
  <si>
    <t>Total Average of CTR</t>
  </si>
  <si>
    <t>Total Sum of Year</t>
  </si>
  <si>
    <t>Q2_Winstagramter_CMP-01347</t>
  </si>
  <si>
    <t>Winstagramter</t>
  </si>
  <si>
    <t>Q3_Winstagramter_CMP-00287</t>
  </si>
  <si>
    <t>Q3_Winstagramter_CMP-01352</t>
  </si>
  <si>
    <t>Q4_Winstagramter_CMP-00049</t>
  </si>
  <si>
    <t>Q4_Winstagramter_CMP-00745</t>
  </si>
  <si>
    <t>Q1_Winstagramter_CMP-01764</t>
  </si>
  <si>
    <t>Q3_Winstagramter_CMP-01545</t>
  </si>
  <si>
    <t>Q4_Winstagramter_CMP-00813</t>
  </si>
  <si>
    <t>Q2_Winstagramter_CMP-01236</t>
  </si>
  <si>
    <t>Q3_Winstagramter_CMP-00899</t>
  </si>
  <si>
    <t>Q2_Winstagramter_CMP-01390</t>
  </si>
  <si>
    <t>Q2_Winstagramter_CMP-01856</t>
  </si>
  <si>
    <t>Q2_Winstagramter_CMP-01966</t>
  </si>
  <si>
    <t>Q2_Winstagramter_CMP-00764</t>
  </si>
  <si>
    <t>Q1_Winstagramter_CMP-01826</t>
  </si>
  <si>
    <t>Q3_Winstagramter_CMP-01726</t>
  </si>
  <si>
    <t>Q3_Winstagramter_CMP-00387</t>
  </si>
  <si>
    <t>Q3_Winstagramter_CMP-01296</t>
  </si>
  <si>
    <t>Q3_Winstagramter_CMP-01776</t>
  </si>
  <si>
    <t>Q2_Winstagramter_CMP-00136</t>
  </si>
  <si>
    <t>Q3_Winstagramter_CMP-01972</t>
  </si>
  <si>
    <t>Q2_Winstagramter_CMP-01037</t>
  </si>
  <si>
    <t>Q4_Winstagramter_CMP-00581</t>
  </si>
  <si>
    <t>Q4_Winstagramter_CMP-00894</t>
  </si>
  <si>
    <t>Q2_Winstagramter_CMP-01691</t>
  </si>
  <si>
    <t>Q4_Winstagramter_CMP-01901</t>
  </si>
  <si>
    <t>Q3_Winstagramter_CMP-01698</t>
  </si>
  <si>
    <t>Q4_Winstagramter_CMP-01762</t>
  </si>
  <si>
    <t>Q3_Winstagramter_CMP-01956</t>
  </si>
  <si>
    <t>Q1_Winstagramter_CMP-00657</t>
  </si>
  <si>
    <t>Q1_Winstagramter_CMP-00705</t>
  </si>
  <si>
    <t>Q1_Winstagramter_CMP-01123</t>
  </si>
  <si>
    <t>Q1_Winstagramter_CMP-00483</t>
  </si>
  <si>
    <t>Q2_Winstagramter_CMP-01517</t>
  </si>
  <si>
    <t>Q4_Winstagramter_CMP-01958</t>
  </si>
  <si>
    <t>Q1_Winstagramter_CMP-00623</t>
  </si>
  <si>
    <t>Q3_Winstagramter_CMP-01500</t>
  </si>
  <si>
    <t>Q1_Winstagramter_CMP-00696</t>
  </si>
  <si>
    <t>Q4_Winstagramter_CMP-01704</t>
  </si>
  <si>
    <t>Q2_Winstagramter_CMP-01222</t>
  </si>
  <si>
    <t>Q4_Winstagramter_CMP-00783</t>
  </si>
  <si>
    <t>Q1_Winstagramter_CMP-01103</t>
  </si>
  <si>
    <t>Q2_Winstagramter_CMP-00920</t>
  </si>
  <si>
    <t>Q1_Winstagramter_CMP-00583</t>
  </si>
  <si>
    <t>Q4_Winstagramter_CMP-00997</t>
  </si>
  <si>
    <t>Q4_Winstagramter_CMP-01053</t>
  </si>
  <si>
    <t>Q1_Winstagramter_CMP-01315</t>
  </si>
  <si>
    <t>Q4_Winstagramter_CMP-01482</t>
  </si>
  <si>
    <t>Q1_Winstagramter_CMP-01773</t>
  </si>
  <si>
    <t>Q2_Winstagramter_CMP-00871</t>
  </si>
  <si>
    <t>Q1_Winstagramter_CMP-01024</t>
  </si>
  <si>
    <t>Q2_Winstagramter_CMP-00536</t>
  </si>
  <si>
    <t>Q2_Winstagramter_CMP-01649</t>
  </si>
  <si>
    <t>Q4_Winstagramter_CMP-01740</t>
  </si>
  <si>
    <t>Q2_Winstagramter_CMP-01505</t>
  </si>
  <si>
    <t>Q2_Winstagramter_CMP-01543</t>
  </si>
  <si>
    <t>Q4_Winstagramter_CMP-01091</t>
  </si>
  <si>
    <t>Q2_Winstagramter_CMP-01815</t>
  </si>
  <si>
    <t>Q2_Winstagramter_CMP-01030</t>
  </si>
  <si>
    <t>Q2_Winstagramter_CMP-01449</t>
  </si>
  <si>
    <t>Q4_Winstagramter_CMP-01490</t>
  </si>
  <si>
    <t>Q4_Winstagramter_CMP-01561</t>
  </si>
  <si>
    <t>Q1_Winstagramter_CMP-00625</t>
  </si>
  <si>
    <t>Q4_Winstagramter_CMP-00111</t>
  </si>
  <si>
    <t>Q3_Winstagramter_CMP-00862</t>
  </si>
  <si>
    <t>Q1_Winstagramter_CMP-00960</t>
  </si>
  <si>
    <t>Q2_Winstagramter_CMP-01650</t>
  </si>
  <si>
    <t>Q1_Winstagramter_CMP-00069</t>
  </si>
  <si>
    <t>Q2_Winstagramter_CMP-02000</t>
  </si>
  <si>
    <t>Q3_Winstagramter_CMP-00908</t>
  </si>
  <si>
    <t>Q4_Winstagramter_CMP-01628</t>
  </si>
  <si>
    <t>Q2_Winstagramter_CMP-01203</t>
  </si>
  <si>
    <t>Q2_Winstagramter_CMP-00860</t>
  </si>
  <si>
    <t>Q3_Winstagramter_CMP-01967</t>
  </si>
  <si>
    <t>Q4_Winstagramter_CMP-00524</t>
  </si>
  <si>
    <t>Q1_Winstagramter_CMP-01752</t>
  </si>
  <si>
    <t>Q3_Winstagramter_CMP-01653</t>
  </si>
  <si>
    <t>Q2_Winstagramter_CMP-01734</t>
  </si>
  <si>
    <t>Q3_Winstagramter_CMP-01076</t>
  </si>
  <si>
    <t>Q1_Winstagramter_CMP-01949</t>
  </si>
  <si>
    <t>Q1_Winstagramter_CMP-00248</t>
  </si>
  <si>
    <t>Q1_Winstagramter_CMP-01083</t>
  </si>
  <si>
    <t>Q3_Winstagramter_CMP-01297</t>
  </si>
  <si>
    <t>Q4_Winstagramter_CMP-00140</t>
  </si>
  <si>
    <t>Q2_Winstagramter_CMP-01264</t>
  </si>
  <si>
    <t>Q3_Winstagramter_CMP-00979</t>
  </si>
  <si>
    <t>Q4_Winstagramter_CMP-01225</t>
  </si>
  <si>
    <t>Q4_Winstagramter_CMP-01192</t>
  </si>
  <si>
    <t>Q3_Winstagramter_CMP-01374</t>
  </si>
  <si>
    <t>Q4_Winstagramter_CMP-00501</t>
  </si>
  <si>
    <t>Q4_Winstagramter_CMP-01332</t>
  </si>
  <si>
    <t>Q2_Winstagramter_CMP-01890</t>
  </si>
  <si>
    <t>Q4_Winstagramter_CMP-00982</t>
  </si>
  <si>
    <t>Q1_Winstagramter_CMP-00168</t>
  </si>
  <si>
    <t>Q1_Winstagramter_CMP-01518</t>
  </si>
  <si>
    <t>Q2_Winstagramter_CMP-01875</t>
  </si>
  <si>
    <t>Q3_Winstagramter_CMP-01840</t>
  </si>
  <si>
    <t>Q1_Winstagramter_CMP-01302</t>
  </si>
  <si>
    <t>Q3_Winstagramter_CMP-00931</t>
  </si>
  <si>
    <t>Q3_Winstagramter_CMP-01510</t>
  </si>
  <si>
    <t>Q4_Winstagramter_CMP-00372</t>
  </si>
  <si>
    <t>Q2_Winstagramter_CMP-00267</t>
  </si>
  <si>
    <t>Q2_Winstagramter_CMP-00930</t>
  </si>
  <si>
    <t>Q3_Winstagramter_CMP-00437</t>
  </si>
  <si>
    <t>Q4_Winstagramter_CMP-01872</t>
  </si>
  <si>
    <t>Q3_Winstagramter_CMP-01391</t>
  </si>
  <si>
    <t>Q3_Winstagramter_CMP-01844</t>
  </si>
  <si>
    <t>Q4_Winstagramter_CMP-00393</t>
  </si>
  <si>
    <t>Q1_Winstagramter_CMP-00407</t>
  </si>
  <si>
    <t>Q4_Winstagramter_CMP-01899</t>
  </si>
  <si>
    <t>Q1_Winstagramter_CMP-00496</t>
  </si>
  <si>
    <t>Q4_Winstagramter_CMP-00824</t>
  </si>
  <si>
    <t>Q1_Winstagramter_CMP-01169</t>
  </si>
  <si>
    <t>Q2_Winstagramter_CMP-01472</t>
  </si>
  <si>
    <t>Q2_Winstagramter_CMP-00010</t>
  </si>
  <si>
    <t>Q4_Winstagramter_CMP-01993</t>
  </si>
  <si>
    <t>Q1_Winstagramter_CMP-01155</t>
  </si>
  <si>
    <t>Q2_Winstagramter_CMP-00511</t>
  </si>
  <si>
    <t>Q4_Winstagramter_CMP-01228</t>
  </si>
  <si>
    <t>Q2_Winstagramter_CMP-00738</t>
  </si>
  <si>
    <t>Q4_Winstagramter_CMP-01800</t>
  </si>
  <si>
    <t>Q3_Winstagramter_CMP-00663</t>
  </si>
  <si>
    <t>Q2_Winstagramter_CMP-01987</t>
  </si>
  <si>
    <t>Q2_Winstagramter_CMP-01774</t>
  </si>
  <si>
    <t>Q4_Winstagramter_CMP-01118</t>
  </si>
  <si>
    <t>Q2_Winstagramter_CMP-00394</t>
  </si>
  <si>
    <t>Q3_Winstagramter_CMP-01932</t>
  </si>
  <si>
    <t>Q2_Winstagramter_CMP-01906</t>
  </si>
  <si>
    <t>Q2_Winstagramter_CMP-00193</t>
  </si>
  <si>
    <t>Q4_Winstagramter_CMP-01596</t>
  </si>
  <si>
    <t>Q4_Winstagramter_CMP-01681</t>
  </si>
  <si>
    <t>Q3_Winstagramter_CMP-00309</t>
  </si>
  <si>
    <t>Q4_Winstagramter_CMP-01847</t>
  </si>
  <si>
    <t>Q1_Winstagramter_CMP-01634</t>
  </si>
  <si>
    <t>Q1_Winstagramter_CMP-00017</t>
  </si>
  <si>
    <t>Q2_Winstagramter_CMP-01470</t>
  </si>
  <si>
    <t>Q4_Winstagramter_CMP-00162</t>
  </si>
  <si>
    <t>Q1_Winstagramter_CMP-01058</t>
  </si>
  <si>
    <t>Q1_Winstagramter_CMP-00159</t>
  </si>
  <si>
    <t>Q1_Winstagramter_CMP-00356</t>
  </si>
  <si>
    <t>Q2_Winstagramter_CMP-00561</t>
  </si>
  <si>
    <t>Q2_Winstagramter_CMP-01075</t>
  </si>
  <si>
    <t>Q4_Winstagramter_CMP-00560</t>
  </si>
  <si>
    <t>Q4_Winstagramter_CMP-01551</t>
  </si>
  <si>
    <t>Q4_Winstagramter_CMP-01837</t>
  </si>
  <si>
    <t>Q3_Winstagramter_CMP-00841</t>
  </si>
  <si>
    <t>Q2_Winstagramter_CMP-00974</t>
  </si>
  <si>
    <t>Q3_Winstagramter_CMP-00258</t>
  </si>
  <si>
    <t>Q3_Winstagramter_CMP-00792</t>
  </si>
  <si>
    <t>Q2_Winstagramter_CMP-00693</t>
  </si>
  <si>
    <t>Q2_Winstagramter_CMP-00643</t>
  </si>
  <si>
    <t>Q3_Winstagramter_CMP-01523</t>
  </si>
  <si>
    <t>Q2_Winstagramter_CMP-00005</t>
  </si>
  <si>
    <t>Q2_Winstagramter_CMP-01001</t>
  </si>
  <si>
    <t>Q4_Winstagramter_CMP-01689</t>
  </si>
  <si>
    <t>Q2_Winstagramter_CMP-00941</t>
  </si>
  <si>
    <t>Q2_Winstagramter_CMP-01089</t>
  </si>
  <si>
    <t>Q2_Winstagramter_CMP-01563</t>
  </si>
  <si>
    <t>Q2_Winstagramter_CMP-01857</t>
  </si>
  <si>
    <t>Q3_Winstagramter_CMP-01232</t>
  </si>
  <si>
    <t>Q1_Winstagramter_CMP-01488</t>
  </si>
  <si>
    <t>Q2_Winstagramter_CMP-01855</t>
  </si>
  <si>
    <t>Q3_Winstagramter_CMP-01780</t>
  </si>
  <si>
    <t>Q1_Winstagramter_CMP-00027</t>
  </si>
  <si>
    <t>Q3_Winstagramter_CMP-01556</t>
  </si>
  <si>
    <t>Q3_Winstagramter_CMP-01819</t>
  </si>
  <si>
    <t>Q4_Winstagramter_CMP-00814</t>
  </si>
  <si>
    <t>Q1_Winstagramter_CMP-00770</t>
  </si>
  <si>
    <t>Q3_Winstagramter_CMP-01124</t>
  </si>
  <si>
    <t>Q4_Winstagramter_CMP-00019</t>
  </si>
  <si>
    <t>Q4_Winstagramter_CMP-01113</t>
  </si>
  <si>
    <t>Q4_Winstagramter_CMP-01497</t>
  </si>
  <si>
    <t>Q1_Winstagramter_CMP-00158</t>
  </si>
  <si>
    <t>Q4_Winstagramter_CMP-00024</t>
  </si>
  <si>
    <t>Q1_Winstagramter_CMP-01667</t>
  </si>
  <si>
    <t>Q3_Winstagramter_CMP-00294</t>
  </si>
  <si>
    <t>Q4_Winstagramter_CMP-00794</t>
  </si>
  <si>
    <t>Q4_Winstagramter_CMP-01795</t>
  </si>
  <si>
    <t>Q3_Winstagramter_CMP-01866</t>
  </si>
  <si>
    <t>Q1_Winstagramter_CMP-00121</t>
  </si>
  <si>
    <t>Q2_Winstagramter_CMP-01441</t>
  </si>
  <si>
    <t>Q3_Winstagramter_CMP-00825</t>
  </si>
  <si>
    <t>Q1_Winstagramter_CMP-00141</t>
  </si>
  <si>
    <t>Q4_Winstagramter_CMP-01542</t>
  </si>
  <si>
    <t>Q1_Winstagramter_CMP-01314</t>
  </si>
  <si>
    <t>Q2_Winstagramter_CMP-01632</t>
  </si>
  <si>
    <t>Q4_Winstagramter_CMP-01771</t>
  </si>
  <si>
    <t>Q4_Winstagramter_CMP-00304</t>
  </si>
  <si>
    <t>Q4_Winstagramter_CMP-01035</t>
  </si>
  <si>
    <t>Q1_Winstagramter_CMP-00044</t>
  </si>
  <si>
    <t>Q4_Winstagramter_CMP-01503</t>
  </si>
  <si>
    <t>Q1_Winstagramter_CMP-00397</t>
  </si>
  <si>
    <t>Q4_Winstagramter_CMP-01176</t>
  </si>
  <si>
    <t>Q4_Winstagramter_CMP-00128</t>
  </si>
  <si>
    <t>Q4_Winstagramter_CMP-00433</t>
  </si>
  <si>
    <t>Q4_Winstagramter_CMP-01180</t>
  </si>
  <si>
    <t>Q4_Winstagramter_CMP-01210</t>
  </si>
  <si>
    <t>Q4_Winstagramter_CMP-01680</t>
  </si>
  <si>
    <t>Q1_Winstagramter_CMP-00235</t>
  </si>
  <si>
    <t>Q1_Winstagramter_CMP-01946</t>
  </si>
  <si>
    <t>Q2_Winstagramter_CMP-01238</t>
  </si>
  <si>
    <t>Q2_Winstagramter_CMP-01274</t>
  </si>
  <si>
    <t>Q3_Winstagramter_CMP-00617</t>
  </si>
  <si>
    <t>Q2_Winstagramter_CMP-01550</t>
  </si>
  <si>
    <t>Q4_Winstagramter_CMP-01578</t>
  </si>
  <si>
    <t>Q1_Winstagramter_CMP-01023</t>
  </si>
  <si>
    <t>Q3_Winstagramter_CMP-00644</t>
  </si>
  <si>
    <t>Q3_Winstagramter_CMP-00975</t>
  </si>
  <si>
    <t>Q4_Winstagramter_CMP-01870</t>
  </si>
  <si>
    <t>Q1_Winstagramter_CMP-01805</t>
  </si>
  <si>
    <t>Q4_Winstagramter_CMP-00326</t>
  </si>
  <si>
    <t>Q1_Winstagramter_CMP-01818</t>
  </si>
  <si>
    <t>Q1_Winstagramter_CMP-01719</t>
  </si>
  <si>
    <t>Q2_Winstagramter_CMP-00573</t>
  </si>
  <si>
    <t>Q1_Winstagramter_CMP-01395</t>
  </si>
  <si>
    <t>Q4_Winstagramter_CMP-00355</t>
  </si>
  <si>
    <t>Q2_Winstagramter_CMP-00255</t>
  </si>
  <si>
    <t>Q2_Winstagramter_CMP-01084</t>
  </si>
  <si>
    <t>Q3_Winstagramter_CMP-01008</t>
  </si>
  <si>
    <t>Q3_Winstagramter_CMP-01240</t>
  </si>
  <si>
    <t>Q2_Winstagramter_CMP-01478</t>
  </si>
  <si>
    <t>Q4_Winstagramter_CMP-00051</t>
  </si>
  <si>
    <t>Q4_Winstagramter_CMP-00744</t>
  </si>
  <si>
    <t>Q2_Winstagramter_CMP-01839</t>
  </si>
  <si>
    <t>Q3_Winstagramter_CMP-00353</t>
  </si>
  <si>
    <t>Q1_Winstagramter_CMP-01110</t>
  </si>
  <si>
    <t>Q1_Winstagramter_CMP-01962</t>
  </si>
  <si>
    <t>Q3_Winstagramter_CMP-01970</t>
  </si>
  <si>
    <t>Q1_Winstagramter_CMP-00096</t>
  </si>
  <si>
    <t>Q2_Winstagramter_CMP-00087</t>
  </si>
  <si>
    <t>Q4_Winstagramter_CMP-01381</t>
  </si>
  <si>
    <t>Q2_Winstagramter_CMP-00935</t>
  </si>
  <si>
    <t>Q2_Winstagramter_CMP-01547</t>
  </si>
  <si>
    <t>Q4_Winstagramter_CMP-01765</t>
  </si>
  <si>
    <t>Q1_Winstagramter_CMP-00597</t>
  </si>
  <si>
    <t>Q2_Winstagramter_CMP-01964</t>
  </si>
  <si>
    <t>Q4_Winstagramter_CMP-01109</t>
  </si>
  <si>
    <t>Q1_Winstagramter_CMP-01133</t>
  </si>
  <si>
    <t>Q1_Winstagramter_CMP-00026</t>
  </si>
  <si>
    <t>Q3_Winstagramter_CMP-01860</t>
  </si>
  <si>
    <t>Q4_Winstagramter_CMP-00864</t>
  </si>
  <si>
    <t>Q1_Winstagramter_CMP-00698</t>
  </si>
  <si>
    <t>Q3_Winstagramter_CMP-01345</t>
  </si>
  <si>
    <t>Q3_Winstagramter_CMP-01439</t>
  </si>
  <si>
    <t>Q1_Winstagramter_CMP-00126</t>
  </si>
  <si>
    <t>Q1_Winstagramter_CMP-01825</t>
  </si>
  <si>
    <t>Q1_Winstagramter_CMP-00195</t>
  </si>
  <si>
    <t>Q2_Winstagramter_CMP-01245</t>
  </si>
  <si>
    <t>Q2_Winstagramter_CMP-00505</t>
  </si>
  <si>
    <t>Q3_Winstagramter_CMP-00911</t>
  </si>
  <si>
    <t>Q3_Winstagramter_CMP-00755</t>
  </si>
  <si>
    <t>Q4_Winstagramter_CMP-01239</t>
  </si>
  <si>
    <t>Q4_Winstagramter_CMP-01926</t>
  </si>
  <si>
    <t>Q4_Winstagramter_CMP-01595</t>
  </si>
  <si>
    <t>Q3_Winstagramter_CMP-01137</t>
  </si>
  <si>
    <t>Q1_Winstagramter_CMP-01321</t>
  </si>
  <si>
    <t>Q2_Winstagramter_CMP-00547</t>
  </si>
  <si>
    <t>Q2_Winstagramter_CMP-01317</t>
  </si>
  <si>
    <t>Q3_Winstagramter_CMP-00984</t>
  </si>
  <si>
    <t>Q3_Winstagramter_CMP-00946</t>
  </si>
  <si>
    <t>Q3_Winstagramter_CMP-01770</t>
  </si>
  <si>
    <t>Q4_Winstagramter_CMP-01292</t>
  </si>
  <si>
    <t>Q1_Winstagramter_CMP-01942</t>
  </si>
  <si>
    <t>Q1_Winstagramter_CMP-00365</t>
  </si>
  <si>
    <t>Q1_Winstagramter_CMP-00969</t>
  </si>
  <si>
    <t>Q4_Winstagramter_CMP-00839</t>
  </si>
  <si>
    <t>Q1_Winstagramter_CMP-00586</t>
  </si>
  <si>
    <t>Q3_Winstagramter_CMP-01538</t>
  </si>
  <si>
    <t>Q3_Winstagramter_CMP-00530</t>
  </si>
  <si>
    <t>Q4_Winstagramter_CMP-00902</t>
  </si>
  <si>
    <t>Q4_Winstagramter_CMP-01861</t>
  </si>
  <si>
    <t>Q1_Winstagramter_CMP-00753</t>
  </si>
  <si>
    <t>Q2_Winstagramter_CMP-01504</t>
  </si>
  <si>
    <t>Q3_Winstagramter_CMP-00780</t>
  </si>
  <si>
    <t>Q4_Winstagramter_CMP-01293</t>
  </si>
  <si>
    <t>Q4_Winstagramter_CMP-01759</t>
  </si>
  <si>
    <t>Q2_Winstagramter_CMP-00788</t>
  </si>
  <si>
    <t>Q4_Winstagramter_CMP-01717</t>
  </si>
  <si>
    <t>Q4_Winstagramter_CMP-00038</t>
  </si>
  <si>
    <t>Q2_Winstagramter_CMP-01104</t>
  </si>
  <si>
    <t>Q3_Winstagramter_CMP-00637</t>
  </si>
  <si>
    <t>Q3_Winstagramter_CMP-01278</t>
  </si>
  <si>
    <t>Q4_Winstagramter_CMP-01564</t>
  </si>
  <si>
    <t>Q1_Winstagramter_CMP-00642</t>
  </si>
  <si>
    <t>Q4_Winstagramter_CMP-01697</t>
  </si>
  <si>
    <t>Q1_Winstagramter_CMP-01452</t>
  </si>
  <si>
    <t>Q3_Winstagramter_CMP-01974</t>
  </si>
  <si>
    <t>Q4_Winstagramter_CMP-00756</t>
  </si>
  <si>
    <t>Q1_Winstagramter_CMP-00449</t>
  </si>
  <si>
    <t>Q4_Winstagramter_CMP-00874</t>
  </si>
  <si>
    <t>Q4_Winstagramter_CMP-01097</t>
  </si>
  <si>
    <t>Q3_Winstagramter_CMP-00633</t>
  </si>
  <si>
    <t>Q3_Winstagramter_CMP-01618</t>
  </si>
  <si>
    <t>Q2_Winstagramter_CMP-01351</t>
  </si>
  <si>
    <t>Q3_Winstagramter_CMP-00228</t>
  </si>
  <si>
    <t>Q1_Winstagramter_CMP-01544</t>
  </si>
  <si>
    <t>Q1_Winstagramter_CMP-00282</t>
  </si>
  <si>
    <t>Q1_Winstagramter_CMP-01000</t>
  </si>
  <si>
    <t>Q1_Winstagramter_CMP-00094</t>
  </si>
  <si>
    <t>Q1_Winstagramter_CMP-01608</t>
  </si>
  <si>
    <t>Q1_Winstagramter_CMP-00324</t>
  </si>
  <si>
    <t>Q3_Winstagramter_CMP-00575</t>
  </si>
  <si>
    <t>Q3_Winstagramter_CMP-01098</t>
  </si>
  <si>
    <t>Q3_Winstagramter_CMP-01548</t>
  </si>
  <si>
    <t>Q1_Winstagramter_CMP-00834</t>
  </si>
  <si>
    <t>Q3_Winstagramter_CMP-01437</t>
  </si>
  <si>
    <t>Q2_Winstagramter_CMP-01716</t>
  </si>
  <si>
    <t>Q3_Winstagramter_CMP-00292</t>
  </si>
  <si>
    <t>Q1_Winstagramter_CMP-01869</t>
  </si>
  <si>
    <t>Q4_Winstagramter_CMP-00076</t>
  </si>
  <si>
    <t>Q4_Winstagramter_CMP-00692</t>
  </si>
  <si>
    <t>Q2_Winstagramter_CMP-00515</t>
  </si>
  <si>
    <t>Q1_Winstagramter_CMP-01637</t>
  </si>
  <si>
    <t>Q1_Winstagramter_CMP-01889</t>
  </si>
  <si>
    <t>Q2_Winstagramter_CMP-00172</t>
  </si>
  <si>
    <t>Q1_Winstagramter_CMP-00752</t>
  </si>
  <si>
    <t>Q2_Winstagramter_CMP-00516</t>
  </si>
  <si>
    <t>Q4_Winstagramter_CMP-00861</t>
  </si>
  <si>
    <t>Q1_Winstagramter_CMP-01646</t>
  </si>
  <si>
    <t>Q1_Winstagramter_CMP-00595</t>
  </si>
  <si>
    <t>Q2_Winstagramter_CMP-00414</t>
  </si>
  <si>
    <t>Q2_Winstagramter_CMP-01865</t>
  </si>
  <si>
    <t>Q1_Winstagramter_CMP-00222</t>
  </si>
  <si>
    <t>Q1_Winstagramter_CMP-00161</t>
  </si>
  <si>
    <t>Q4_Winstagramter_CMP-01324</t>
  </si>
  <si>
    <t>Q1_Winstagramter_CMP-00714</t>
  </si>
  <si>
    <t>Q1_Winstagramter_CMP-01823</t>
  </si>
  <si>
    <t>Q1_Winstagramter_CMP-01769</t>
  </si>
  <si>
    <t>Q2_Winstagramter_CMP-01087</t>
  </si>
  <si>
    <t>Q2_Winstagramter_CMP-01077</t>
  </si>
  <si>
    <t>Q2_Winstagramter_CMP-00270</t>
  </si>
  <si>
    <t>Q4_Winstagramter_CMP-01721</t>
  </si>
  <si>
    <t>Q1_Winstagramter_CMP-00799</t>
  </si>
  <si>
    <t>Q3_Winstagramter_CMP-00550</t>
  </si>
  <si>
    <t>Q4_Winstagramter_CMP-00246</t>
  </si>
  <si>
    <t>Q1_Winstagramter_CMP-01451</t>
  </si>
  <si>
    <t>Q2_Winstagramter_CMP-00068</t>
  </si>
  <si>
    <t>Q3_Winstagramter_CMP-01174</t>
  </si>
  <si>
    <t>Q3_Winstagramter_CMP-01623</t>
  </si>
  <si>
    <t>Q3_Winstagramter_CMP-01700</t>
  </si>
  <si>
    <t>Q4_Winstagramter_CMP-01651</t>
  </si>
  <si>
    <t>Q2_Winstagramter_CMP-00399</t>
  </si>
  <si>
    <t>Q1_Winstagramter_CMP-01325</t>
  </si>
  <si>
    <t>Q1_Winstagramter_CMP-00878</t>
  </si>
  <si>
    <t>Q2_Winstagramter_CMP-00299</t>
  </si>
  <si>
    <t>Q1_Winstagramter_CMP-00053</t>
  </si>
  <si>
    <t>Q2_Winstagramter_CMP-01108</t>
  </si>
  <si>
    <t>Q2_Winstagramter_CMP-00810</t>
  </si>
  <si>
    <t>Q4_Winstagramter_CMP-00215</t>
  </si>
  <si>
    <t>Q4_Winstagramter_CMP-00923</t>
  </si>
  <si>
    <t>Q2_Winstagramter_CMP-00852</t>
  </si>
  <si>
    <t>Q3_Winstagramter_CMP-00808</t>
  </si>
  <si>
    <t>Q4_Winstagramter_CMP-01415</t>
  </si>
  <si>
    <t>Q4_Winstagramter_CMP-01308</t>
  </si>
  <si>
    <t>Q4_Winstagramter_CMP-01892</t>
  </si>
  <si>
    <t>Q2_Winstagramter_CMP-01012</t>
  </si>
  <si>
    <t>Q2_Winstagramter_CMP-01690</t>
  </si>
  <si>
    <t>Q4_Winstagramter_CMP-00542</t>
  </si>
  <si>
    <t>Q3_Winstagramter_CMP-00485</t>
  </si>
  <si>
    <t>Q1_Winstagramter_CMP-01369</t>
  </si>
  <si>
    <t>Q2_Winstagramter_CMP-00816</t>
  </si>
  <si>
    <t>Q2_Winstagramter_CMP-00938</t>
  </si>
  <si>
    <t>Q4_Winstagramter_CMP-01418</t>
  </si>
  <si>
    <t>Q3_Winstagramter_CMP-01430</t>
  </si>
  <si>
    <t>Q4_Winstagramter_CMP-01044</t>
  </si>
  <si>
    <t>Q2_Winstagramter_CMP-01883</t>
  </si>
  <si>
    <t>Q4_Winstagramter_CMP-01767</t>
  </si>
  <si>
    <t>Q4_Winstagramter_CMP-01583</t>
  </si>
  <si>
    <t>Q3_Winstagramter_CMP-00455</t>
  </si>
  <si>
    <t>Q2_Winstagramter_CMP-00959</t>
  </si>
  <si>
    <t>Q3_Winstagramter_CMP-00543</t>
  </si>
  <si>
    <t>Q4_Winstagramter_CMP-01953</t>
  </si>
  <si>
    <t>Q1_Winstagramter_CMP-01052</t>
  </si>
  <si>
    <t>Q2_Winstagramter_CMP-00227</t>
  </si>
  <si>
    <t>Q3_Winstagramter_CMP-00913</t>
  </si>
  <si>
    <t>Q4_Winstagramter_CMP-01429</t>
  </si>
  <si>
    <t>Q3_Winstagramter_CMP-01668</t>
  </si>
  <si>
    <t>Q4_Winstagramter_CMP-01957</t>
  </si>
  <si>
    <t>Q3_Winstagramter_CMP-00239</t>
  </si>
  <si>
    <t>Q3_Winstagramter_CMP-01882</t>
  </si>
  <si>
    <t>Q3_Winstagramter_CMP-00219</t>
  </si>
  <si>
    <t>Q2_Winstagramter_CMP-00820</t>
  </si>
  <si>
    <t>Q2_Winstagramter_CMP-01281</t>
  </si>
  <si>
    <t>Q4_Winstagramter_CMP-00089</t>
  </si>
  <si>
    <t>Q4_Winstagramter_CMP-00410</t>
  </si>
  <si>
    <t>Q4_Winstagramter_CMP-00054</t>
  </si>
  <si>
    <t>Q3_Winstagramter_CMP-01664</t>
  </si>
  <si>
    <t>Q1_Winstagramter_CMP-01549</t>
  </si>
  <si>
    <t>Q3_Winstagramter_CMP-01185</t>
  </si>
  <si>
    <t>Q1_Winstagramter_CMP-00066</t>
  </si>
  <si>
    <t>Q3_Winstagramter_CMP-00048</t>
  </si>
  <si>
    <t>Q3_Winstagramter_CMP-00078</t>
  </si>
  <si>
    <t>Q1_Winstagramter_CMP-00747</t>
  </si>
  <si>
    <t>Q3_Winstagramter_CMP-01809</t>
  </si>
  <si>
    <t>Q4_Winstagramter_CMP-01153</t>
  </si>
  <si>
    <t>Q2_Winstagramter_CMP-01298</t>
  </si>
  <si>
    <t>Q3_Winstagramter_CMP-00413</t>
  </si>
  <si>
    <t>Q2_Winstagramter_CMP-01456</t>
  </si>
  <si>
    <t>Q4_Winstagramter_CMP-00107</t>
  </si>
  <si>
    <t>Q1_Winstagramter_CMP-00428</t>
  </si>
  <si>
    <t>Q1_Winstagramter_CMP-01086</t>
  </si>
  <si>
    <t>Q2_Winstagramter_CMP-00084</t>
  </si>
  <si>
    <t>Q1_Winstagramter_CMP-00363</t>
  </si>
  <si>
    <t>Q4_Winstagramter_CMP-01341</t>
  </si>
  <si>
    <t>Q2_Winstagramter_CMP-01354</t>
  </si>
  <si>
    <t>Q1_Winstagramter_CMP-01663</t>
  </si>
  <si>
    <t>Q4_Winstagramter_CMP-00736</t>
  </si>
  <si>
    <t>Q3_Winstagramter_CMP-00389</t>
  </si>
  <si>
    <t>Q3_Winstagramter_CMP-00709</t>
  </si>
  <si>
    <t>Q3_Winstagramter_CMP-00716</t>
  </si>
  <si>
    <t>Q3_Winstagramter_CMP-01720</t>
  </si>
  <si>
    <t>Q4_Winstagramter_CMP-00837</t>
  </si>
  <si>
    <t>Q4_Winstagramter_CMP-01627</t>
  </si>
  <si>
    <t>Q1_Winstagramter_CMP-00956</t>
  </si>
  <si>
    <t>Q3_Winstagramter_CMP-00803</t>
  </si>
  <si>
    <t>Q3_Winstagramter_CMP-01914</t>
  </si>
  <si>
    <t>Q4_Winstagramter_CMP-01735</t>
  </si>
  <si>
    <t>Q1_Winstagramter_CMP-01519</t>
  </si>
  <si>
    <t>Q3_Winstagramter_CMP-00458</t>
  </si>
  <si>
    <t>Q1_Winstagramter_CMP-01786</t>
  </si>
  <si>
    <t>Q2_Winstagramter_CMP-00183</t>
  </si>
  <si>
    <t>Q3_Winstagramter_CMP-00607</t>
  </si>
  <si>
    <t>Q4_Winstagramter_CMP-00275</t>
  </si>
  <si>
    <t>Q2_Winstagramter_CMP-00426</t>
  </si>
  <si>
    <t>Q1_Winstagramter_CMP-00086</t>
  </si>
  <si>
    <t>Q2_Winstagramter_CMP-00093</t>
  </si>
  <si>
    <t>Q2_Winstagramter_CMP-00153</t>
  </si>
  <si>
    <t>Q2_Winstagramter_CMP-00901</t>
  </si>
  <si>
    <t>Q2_Winstagramter_CMP-00335</t>
  </si>
  <si>
    <t>Q3_Winstagramter_CMP-00669</t>
  </si>
  <si>
    <t>Q4_Winstagramter_CMP-01265</t>
  </si>
  <si>
    <t>Q1_Winstagramter_CMP-00903</t>
  </si>
  <si>
    <t>Q1_Winstagramter_CMP-01183</t>
  </si>
  <si>
    <t>Q3_Winstagramter_CMP-00775</t>
  </si>
  <si>
    <t>Q1_Winstagramter_CMP-00765</t>
  </si>
  <si>
    <t>Q2_Winstagramter_CMP-01566</t>
  </si>
  <si>
    <t>Q4_Winstagramter_CMP-00924</t>
  </si>
  <si>
    <t>Q1_Winstagramter_CMP-01570</t>
  </si>
  <si>
    <t>Q3_Winstagramter_CMP-00890</t>
  </si>
  <si>
    <t>Q1_Winstagramter_CMP-00621</t>
  </si>
  <si>
    <t>Q2_Winstagramter_CMP-01509</t>
  </si>
  <si>
    <t>Q1_Winstagramter_CMP-00253</t>
  </si>
  <si>
    <t>Q3_Winstagramter_CMP-01006</t>
  </si>
  <si>
    <t>Q4_Winstagramter_CMP-00023</t>
  </si>
  <si>
    <t>Q4_Winstagramter_CMP-00538</t>
  </si>
  <si>
    <t>Q3_Winstagramter_CMP-01848</t>
  </si>
  <si>
    <t>Q3_Winstagramter_CMP-01871</t>
  </si>
  <si>
    <t>Q1_Winstagramter_CMP-01602</t>
  </si>
  <si>
    <t>Q2_Winstagramter_CMP-00401</t>
  </si>
  <si>
    <t>Q1_Winstagramter_CMP-01338</t>
  </si>
  <si>
    <t>Q3_Winstagramter_CMP-01357</t>
  </si>
  <si>
    <t>Q4_Winstagramter_CMP-01834</t>
  </si>
  <si>
    <t>Q2_Winstagramter_CMP-01194</t>
  </si>
  <si>
    <t>Q4_Winstagramter_CMP-00626</t>
  </si>
  <si>
    <t>Q3_Winstagramter_CMP-01367</t>
  </si>
  <si>
    <t>Q4_Winstagramter_CMP-01757</t>
  </si>
  <si>
    <t>Q1_Winstagramter_CMP-00216</t>
  </si>
  <si>
    <t>Q1_Winstagramter_CMP-00817</t>
  </si>
  <si>
    <t>Q4_Winstagramter_CMP-01846</t>
  </si>
  <si>
    <t>Q2_Winstagramter_CMP-00025</t>
  </si>
  <si>
    <t>Q1_Winstagramter_CMP-00619</t>
  </si>
  <si>
    <t>Q1_Winstagramter_CMP-00750</t>
  </si>
  <si>
    <t>Q1_Winstagramter_CMP-01425</t>
  </si>
  <si>
    <t>Q4_Winstagramter_CMP-00811</t>
  </si>
  <si>
    <t>Q2_Winstagramter_CMP-01479</t>
  </si>
  <si>
    <t>Q3_Winstagramter_CMP-00468</t>
  </si>
  <si>
    <t>Q2_Winstagramter_CMP-00564</t>
  </si>
  <si>
    <t>Q2_Winstagramter_CMP-01398</t>
  </si>
  <si>
    <t>Q3_Winstagramter_CMP-00214</t>
  </si>
  <si>
    <t>Q1_Winstagramter_CMP-00985</t>
  </si>
  <si>
    <t>Q1_Winstagramter_CMP-01135</t>
  </si>
  <si>
    <t>Q2_Winstagramter_CMP-01431</t>
  </si>
  <si>
    <t>Q3_Winstagramter_CMP-00218</t>
  </si>
  <si>
    <t>Q3_Winstagramter_CMP-00484</t>
  </si>
  <si>
    <t>Q3_Winstagramter_CMP-01247</t>
  </si>
  <si>
    <t>Q1_Winstagramter_CMP-00104</t>
  </si>
  <si>
    <t>Q1_Winstagramter_CMP-01162</t>
  </si>
  <si>
    <t>Q2_Winstagramter_CMP-00498</t>
  </si>
  <si>
    <t>Q2_Winstagramter_CMP-00962</t>
  </si>
  <si>
    <t>Q4_Winstagramter_CMP-01114</t>
  </si>
  <si>
    <t>Q4_Winstagramter_CMP-00351</t>
  </si>
  <si>
    <t>Q4_Winstagramter_CMP-01728</t>
  </si>
  <si>
    <t>Q3_Winstagramter_CMP-00854</t>
  </si>
  <si>
    <t>Q1_Winstagramter_CMP-01071</t>
  </si>
  <si>
    <t>Q1_Winstagramter_CMP-01242</t>
  </si>
  <si>
    <t>Q4_Winstagramter_CMP-01997</t>
  </si>
  <si>
    <t>Q3_Winstagramter_CMP-00719</t>
  </si>
  <si>
    <t>Q1_Winstagramter_CMP-00503</t>
  </si>
  <si>
    <t>Q2_Winstagramter_CMP-01310</t>
  </si>
  <si>
    <t>Q3_Winstagramter_CMP-00003</t>
  </si>
  <si>
    <t>Q3_Winstagramter_CMP-01335</t>
  </si>
  <si>
    <t>Q1_Winstagramter_CMP-00609</t>
  </si>
  <si>
    <t>Q1_Winstagramter_CMP-01260</t>
  </si>
  <si>
    <t>Q2_Winstagramter_CMP-00037</t>
  </si>
  <si>
    <t>Q2_Winstagramter_CMP-00671</t>
  </si>
  <si>
    <t>Q3_Winstagramter_CMP-01559</t>
  </si>
  <si>
    <t>Q2_Winstagramter_CMP-00346</t>
  </si>
  <si>
    <t>Q2_Winstagramter_CMP-01438</t>
  </si>
  <si>
    <t>Q1_Winstagramter_CMP-01229</t>
  </si>
  <si>
    <t>Q1_Winstagramter_CMP-01377</t>
  </si>
  <si>
    <t>Q1_Winstagramter_CMP-01061</t>
  </si>
  <si>
    <t>Q1_Winstagramter_CMP-01541</t>
  </si>
  <si>
    <t>Q1_Winstagramter_CMP-01814</t>
  </si>
  <si>
    <t>Q3_Winstagramter_CMP-01212</t>
  </si>
  <si>
    <t>Q4_Winstagramter_CMP-00166</t>
  </si>
  <si>
    <t>Q2_Winstagramter_CMP-01784</t>
  </si>
  <si>
    <t>Q3_Winstagramter_CMP-01661</t>
  </si>
  <si>
    <t>Q4_Winstagramter_CMP-01067</t>
  </si>
  <si>
    <t>Q3_Winstagramter_CMP-00226</t>
  </si>
  <si>
    <t>Q4_Winstagramter_CMP-00614</t>
  </si>
  <si>
    <t>Q3_Winstagramter_CMP-01887</t>
  </si>
  <si>
    <t>Q4_Winstagramter_CMP-00487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</si>
</sst>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1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14"/>
      <color theme="2" tint="-0.89999084444715716"/>
      <name val="Arial"/>
      <family val="2"/>
    </font>
    <font>
      <sz val="14"/>
      <color theme="1" tint="4.9989318521683403E-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0" fontId="0" fillId="0" borderId="0" xfId="1" applyNumberFormat="1" applyFont="1" applyAlignment="1">
      <alignment horizontal="left"/>
    </xf>
    <xf numFmtId="0" fontId="18" fillId="0" borderId="0" xfId="0" applyFont="1"/>
    <xf numFmtId="14" fontId="0" fillId="0" borderId="0" xfId="0" applyNumberFormat="1" applyAlignment="1">
      <alignment horizontal="center"/>
    </xf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14" fontId="19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left"/>
    </xf>
    <xf numFmtId="164" fontId="19" fillId="33" borderId="0" xfId="0" applyNumberFormat="1" applyFont="1" applyFill="1" applyAlignment="1">
      <alignment horizontal="left"/>
    </xf>
    <xf numFmtId="10" fontId="19" fillId="33" borderId="0" xfId="0" applyNumberFormat="1" applyFont="1" applyFill="1" applyAlignment="1">
      <alignment horizontal="left"/>
    </xf>
    <xf numFmtId="164" fontId="19" fillId="33" borderId="0" xfId="1" applyNumberFormat="1" applyFont="1" applyFill="1" applyAlignment="1">
      <alignment horizontal="left"/>
    </xf>
    <xf numFmtId="0" fontId="19" fillId="33" borderId="0" xfId="1" applyNumberFormat="1" applyFont="1" applyFill="1" applyAlignment="1">
      <alignment horizontal="left"/>
    </xf>
    <xf numFmtId="0" fontId="20" fillId="0" borderId="0" xfId="0" applyFont="1"/>
    <xf numFmtId="0" fontId="20" fillId="0" borderId="0" xfId="0" applyNumberFormat="1" applyFont="1" applyFill="1" applyBorder="1" applyAlignment="1" applyProtection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64" fontId="20" fillId="0" borderId="0" xfId="0" applyNumberFormat="1" applyFont="1" applyAlignment="1">
      <alignment horizontal="left"/>
    </xf>
    <xf numFmtId="0" fontId="20" fillId="0" borderId="0" xfId="0" applyNumberFormat="1" applyFont="1" applyFill="1" applyBorder="1" applyAlignment="1" applyProtection="1">
      <alignment horizontal="center"/>
    </xf>
    <xf numFmtId="10" fontId="20" fillId="0" borderId="0" xfId="0" applyNumberFormat="1" applyFont="1" applyAlignment="1">
      <alignment horizontal="left"/>
    </xf>
    <xf numFmtId="164" fontId="20" fillId="0" borderId="0" xfId="1" applyNumberFormat="1" applyFont="1" applyAlignment="1">
      <alignment horizontal="left"/>
    </xf>
    <xf numFmtId="0" fontId="20" fillId="0" borderId="0" xfId="1" applyNumberFormat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64" formatCode="&quot;$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64" formatCode="&quot;$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64" formatCode="&quot;$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4" formatCode="0.00%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64" formatCode="&quot;$&quot;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2" tint="-0.89999084444715716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 Table-Yearly Analysis!PivotTable3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Table-Yearly Analysis'!$C$7:$C$8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Analysis'!$B$9:$B$15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Analysis'!$C$9:$C$15</c:f>
              <c:numCache>
                <c:formatCode>General</c:formatCode>
                <c:ptCount val="6"/>
                <c:pt idx="4">
                  <c:v>790.59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0-483A-9AB5-6A314CB1CB02}"/>
            </c:ext>
          </c:extLst>
        </c:ser>
        <c:ser>
          <c:idx val="1"/>
          <c:order val="1"/>
          <c:tx>
            <c:strRef>
              <c:f>'Pivot Table-Yearly Analysis'!$D$7:$D$8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Analysis'!$B$9:$B$15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Analysis'!$D$9:$D$15</c:f>
              <c:numCache>
                <c:formatCode>General</c:formatCode>
                <c:ptCount val="6"/>
                <c:pt idx="0">
                  <c:v>1662713.0000000009</c:v>
                </c:pt>
                <c:pt idx="1">
                  <c:v>1754993.7900000012</c:v>
                </c:pt>
                <c:pt idx="2">
                  <c:v>641576.00999999978</c:v>
                </c:pt>
                <c:pt idx="3">
                  <c:v>618455.91000000061</c:v>
                </c:pt>
                <c:pt idx="4">
                  <c:v>734369.14000000025</c:v>
                </c:pt>
                <c:pt idx="5">
                  <c:v>840879.42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0-483A-9AB5-6A314CB1CB02}"/>
            </c:ext>
          </c:extLst>
        </c:ser>
        <c:ser>
          <c:idx val="2"/>
          <c:order val="2"/>
          <c:tx>
            <c:strRef>
              <c:f>'Pivot Table-Yearly Analysis'!$E$7:$E$8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Analysis'!$B$9:$B$15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Analysis'!$E$9:$E$15</c:f>
              <c:numCache>
                <c:formatCode>General</c:formatCode>
                <c:ptCount val="6"/>
                <c:pt idx="0">
                  <c:v>442.01</c:v>
                </c:pt>
                <c:pt idx="1">
                  <c:v>236.59</c:v>
                </c:pt>
                <c:pt idx="3">
                  <c:v>661.16</c:v>
                </c:pt>
                <c:pt idx="4">
                  <c:v>115.65</c:v>
                </c:pt>
                <c:pt idx="5">
                  <c:v>1514.03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6-40D5-AB5A-9E4C5A7B1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685424"/>
        <c:axId val="28708464"/>
        <c:axId val="0"/>
      </c:bar3DChart>
      <c:catAx>
        <c:axId val="286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8464"/>
        <c:crosses val="autoZero"/>
        <c:auto val="1"/>
        <c:lblAlgn val="ctr"/>
        <c:lblOffset val="100"/>
        <c:noMultiLvlLbl val="0"/>
      </c:catAx>
      <c:valAx>
        <c:axId val="287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 Table-Yearly Analysis!PivotTable4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Table-Yearly Analysis'!$C$24:$C$25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Table-Yearly Analysis'!$B$26:$B$32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Analysis'!$C$26:$C$32</c:f>
              <c:numCache>
                <c:formatCode>General</c:formatCode>
                <c:ptCount val="6"/>
                <c:pt idx="4">
                  <c:v>61500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F-4EF1-B8D3-70F6F35CD8F5}"/>
            </c:ext>
          </c:extLst>
        </c:ser>
        <c:ser>
          <c:idx val="1"/>
          <c:order val="1"/>
          <c:tx>
            <c:strRef>
              <c:f>'Pivot Table-Yearly Analysis'!$D$24:$D$25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Table-Yearly Analysis'!$B$26:$B$32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Analysis'!$D$26:$D$32</c:f>
              <c:numCache>
                <c:formatCode>General</c:formatCode>
                <c:ptCount val="6"/>
                <c:pt idx="0">
                  <c:v>18081225</c:v>
                </c:pt>
                <c:pt idx="1">
                  <c:v>19674453</c:v>
                </c:pt>
                <c:pt idx="2">
                  <c:v>16586674</c:v>
                </c:pt>
                <c:pt idx="3">
                  <c:v>16658567</c:v>
                </c:pt>
                <c:pt idx="4">
                  <c:v>19556820</c:v>
                </c:pt>
                <c:pt idx="5">
                  <c:v>9039253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F-4EF1-B8D3-70F6F35CD8F5}"/>
            </c:ext>
          </c:extLst>
        </c:ser>
        <c:ser>
          <c:idx val="2"/>
          <c:order val="2"/>
          <c:tx>
            <c:strRef>
              <c:f>'Pivot Table-Yearly Analysis'!$E$24:$E$25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Table-Yearly Analysis'!$B$26:$B$32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Analysis'!$E$26:$E$32</c:f>
              <c:numCache>
                <c:formatCode>General</c:formatCode>
                <c:ptCount val="6"/>
                <c:pt idx="0">
                  <c:v>16485</c:v>
                </c:pt>
                <c:pt idx="1">
                  <c:v>5757</c:v>
                </c:pt>
                <c:pt idx="3">
                  <c:v>33860</c:v>
                </c:pt>
                <c:pt idx="4">
                  <c:v>2560</c:v>
                </c:pt>
                <c:pt idx="5">
                  <c:v>70042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8-4F76-A7A7-513724A7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9200656"/>
        <c:axId val="2059202576"/>
      </c:barChart>
      <c:catAx>
        <c:axId val="205920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02576"/>
        <c:crosses val="autoZero"/>
        <c:auto val="1"/>
        <c:lblAlgn val="ctr"/>
        <c:lblOffset val="100"/>
        <c:noMultiLvlLbl val="0"/>
      </c:catAx>
      <c:valAx>
        <c:axId val="20592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2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70295904663276"/>
          <c:y val="0.40424249721078442"/>
          <c:w val="8.9712667227310874E-2"/>
          <c:h val="0.280320097602478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 Table-Yearly Analysis!PivotTable5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Table-Yearly Analysis'!$C$42:$C$43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strRef>
              <c:f>'Pivot Table-Yearly Analysis'!$B$44:$B$50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Analysis'!$C$44:$C$50</c:f>
              <c:numCache>
                <c:formatCode>General</c:formatCode>
                <c:ptCount val="6"/>
                <c:pt idx="4">
                  <c:v>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E-4883-B14B-55232578D6AC}"/>
            </c:ext>
          </c:extLst>
        </c:ser>
        <c:ser>
          <c:idx val="1"/>
          <c:order val="1"/>
          <c:tx>
            <c:strRef>
              <c:f>'Pivot Table-Yearly Analysis'!$D$42:$D$43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'Pivot Table-Yearly Analysis'!$B$44:$B$50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Analysis'!$D$44:$D$50</c:f>
              <c:numCache>
                <c:formatCode>General</c:formatCode>
                <c:ptCount val="6"/>
                <c:pt idx="0">
                  <c:v>526243</c:v>
                </c:pt>
                <c:pt idx="1">
                  <c:v>602389</c:v>
                </c:pt>
                <c:pt idx="2">
                  <c:v>499909</c:v>
                </c:pt>
                <c:pt idx="3">
                  <c:v>502292</c:v>
                </c:pt>
                <c:pt idx="4">
                  <c:v>592009</c:v>
                </c:pt>
                <c:pt idx="5">
                  <c:v>277311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E-4883-B14B-55232578D6AC}"/>
            </c:ext>
          </c:extLst>
        </c:ser>
        <c:ser>
          <c:idx val="2"/>
          <c:order val="2"/>
          <c:tx>
            <c:strRef>
              <c:f>'Pivot Table-Yearly Analysis'!$E$42:$E$43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strRef>
              <c:f>'Pivot Table-Yearly Analysis'!$B$44:$B$50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Analysis'!$E$44:$E$50</c:f>
              <c:numCache>
                <c:formatCode>General</c:formatCode>
                <c:ptCount val="6"/>
                <c:pt idx="0">
                  <c:v>647</c:v>
                </c:pt>
                <c:pt idx="1">
                  <c:v>223</c:v>
                </c:pt>
                <c:pt idx="3">
                  <c:v>627</c:v>
                </c:pt>
                <c:pt idx="4">
                  <c:v>63</c:v>
                </c:pt>
                <c:pt idx="5">
                  <c:v>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0-4CE1-89BB-56BD2FE85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14672"/>
        <c:axId val="25215152"/>
        <c:axId val="0"/>
      </c:area3DChart>
      <c:catAx>
        <c:axId val="252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5152"/>
        <c:crosses val="autoZero"/>
        <c:auto val="1"/>
        <c:lblAlgn val="ctr"/>
        <c:lblOffset val="100"/>
        <c:noMultiLvlLbl val="0"/>
      </c:catAx>
      <c:valAx>
        <c:axId val="25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4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 Table-Yearly Analysis!PivotTable6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Table-Yearly Analysis'!$C$60:$C$61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Analysis'!$B$62:$B$68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Analysis'!$C$62:$C$68</c:f>
              <c:numCache>
                <c:formatCode>General</c:formatCode>
                <c:ptCount val="6"/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0-4D21-9C7C-A1EB994D46CA}"/>
            </c:ext>
          </c:extLst>
        </c:ser>
        <c:ser>
          <c:idx val="1"/>
          <c:order val="1"/>
          <c:tx>
            <c:strRef>
              <c:f>'Pivot Table-Yearly Analysis'!$D$60:$D$61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Analysis'!$B$62:$B$68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Analysis'!$D$62:$D$68</c:f>
              <c:numCache>
                <c:formatCode>General</c:formatCode>
                <c:ptCount val="6"/>
                <c:pt idx="0">
                  <c:v>59253</c:v>
                </c:pt>
                <c:pt idx="1">
                  <c:v>66797</c:v>
                </c:pt>
                <c:pt idx="2">
                  <c:v>56080</c:v>
                </c:pt>
                <c:pt idx="3">
                  <c:v>55142</c:v>
                </c:pt>
                <c:pt idx="4">
                  <c:v>64499</c:v>
                </c:pt>
                <c:pt idx="5">
                  <c:v>33173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0-4D21-9C7C-A1EB994D46CA}"/>
            </c:ext>
          </c:extLst>
        </c:ser>
        <c:ser>
          <c:idx val="2"/>
          <c:order val="2"/>
          <c:tx>
            <c:strRef>
              <c:f>'Pivot Table-Yearly Analysis'!$E$60:$E$61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Analysis'!$B$62:$B$68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Analysis'!$E$62:$E$68</c:f>
              <c:numCache>
                <c:formatCode>General</c:formatCode>
                <c:ptCount val="6"/>
                <c:pt idx="0">
                  <c:v>111</c:v>
                </c:pt>
                <c:pt idx="1">
                  <c:v>41</c:v>
                </c:pt>
                <c:pt idx="3">
                  <c:v>86</c:v>
                </c:pt>
                <c:pt idx="4">
                  <c:v>8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E-47BC-B77A-3617E47A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0004048"/>
        <c:axId val="1860009808"/>
        <c:axId val="0"/>
      </c:bar3DChart>
      <c:catAx>
        <c:axId val="186000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09808"/>
        <c:crosses val="autoZero"/>
        <c:auto val="1"/>
        <c:lblAlgn val="ctr"/>
        <c:lblOffset val="100"/>
        <c:noMultiLvlLbl val="0"/>
      </c:catAx>
      <c:valAx>
        <c:axId val="18600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0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 Table-Yearly Analysis!PivotTable7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6867604484477864"/>
          <c:y val="8.5388039691841638E-2"/>
          <c:w val="0.6012796561385193"/>
          <c:h val="0.773950461340157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Table-Yearly Analysis'!$C$77:$C$78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Analysis'!$B$79:$B$85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Analysis'!$C$79:$C$85</c:f>
              <c:numCache>
                <c:formatCode>General</c:formatCode>
                <c:ptCount val="6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9-4281-8554-D906B659F764}"/>
            </c:ext>
          </c:extLst>
        </c:ser>
        <c:ser>
          <c:idx val="1"/>
          <c:order val="1"/>
          <c:tx>
            <c:strRef>
              <c:f>'Pivot Table-Yearly Analysis'!$D$77:$D$78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Analysis'!$B$79:$B$85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Analysis'!$D$79:$D$85</c:f>
              <c:numCache>
                <c:formatCode>General</c:formatCode>
                <c:ptCount val="6"/>
                <c:pt idx="0">
                  <c:v>350</c:v>
                </c:pt>
                <c:pt idx="1">
                  <c:v>386</c:v>
                </c:pt>
                <c:pt idx="2">
                  <c:v>331</c:v>
                </c:pt>
                <c:pt idx="3">
                  <c:v>340</c:v>
                </c:pt>
                <c:pt idx="4">
                  <c:v>395</c:v>
                </c:pt>
                <c:pt idx="5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9-4281-8554-D906B659F764}"/>
            </c:ext>
          </c:extLst>
        </c:ser>
        <c:ser>
          <c:idx val="2"/>
          <c:order val="2"/>
          <c:tx>
            <c:strRef>
              <c:f>'Pivot Table-Yearly Analysis'!$E$77:$E$78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Table-Yearly Analysis'!$B$79:$B$85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 Table-Yearly Analysis'!$E$79:$E$85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D-44DE-962E-FFAF9C643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0871904"/>
        <c:axId val="2050870944"/>
        <c:axId val="0"/>
      </c:bar3DChart>
      <c:catAx>
        <c:axId val="205087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870944"/>
        <c:crosses val="autoZero"/>
        <c:auto val="1"/>
        <c:lblAlgn val="ctr"/>
        <c:lblOffset val="100"/>
        <c:noMultiLvlLbl val="0"/>
      </c:catAx>
      <c:valAx>
        <c:axId val="205087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87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data.xlsx]PivotTable-PerformanceAnaly!PivotTable8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74018648420702"/>
          <c:y val="0.15044423265125978"/>
          <c:w val="0.48015816653669219"/>
          <c:h val="0.5410657745767156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'PivotTable-PerformanceAnaly'!$C$5:$C$7</c:f>
              <c:strCache>
                <c:ptCount val="1"/>
                <c:pt idx="0">
                  <c:v>2022 - Sum of Year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'PivotTable-PerformanceAnaly'!$C$8:$C$14</c:f>
              <c:numCache>
                <c:formatCode>General</c:formatCode>
                <c:ptCount val="6"/>
                <c:pt idx="4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2-455F-98BD-0EF0F2747833}"/>
            </c:ext>
          </c:extLst>
        </c:ser>
        <c:ser>
          <c:idx val="1"/>
          <c:order val="1"/>
          <c:tx>
            <c:strRef>
              <c:f>'PivotTable-PerformanceAnaly'!$D$5:$D$7</c:f>
              <c:strCache>
                <c:ptCount val="1"/>
                <c:pt idx="0">
                  <c:v>2022 - Average of CTR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'PivotTable-PerformanceAnaly'!$D$8:$D$14</c:f>
              <c:numCache>
                <c:formatCode>General</c:formatCode>
                <c:ptCount val="6"/>
                <c:pt idx="4">
                  <c:v>1.3398373983739838E-2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7-4396-8686-04571094C640}"/>
            </c:ext>
          </c:extLst>
        </c:ser>
        <c:ser>
          <c:idx val="2"/>
          <c:order val="2"/>
          <c:tx>
            <c:strRef>
              <c:f>'PivotTable-PerformanceAnaly'!$E$5:$E$7</c:f>
              <c:strCache>
                <c:ptCount val="1"/>
                <c:pt idx="0">
                  <c:v>2023 - Sum of Year</c:v>
                </c:pt>
              </c:strCache>
            </c:strRef>
          </c:tx>
          <c:spPr>
            <a:solidFill>
              <a:schemeClr val="accent3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'PivotTable-PerformanceAnaly'!$E$8:$E$14</c:f>
              <c:numCache>
                <c:formatCode>General</c:formatCode>
                <c:ptCount val="6"/>
                <c:pt idx="0">
                  <c:v>708050</c:v>
                </c:pt>
                <c:pt idx="1">
                  <c:v>780878</c:v>
                </c:pt>
                <c:pt idx="2">
                  <c:v>669613</c:v>
                </c:pt>
                <c:pt idx="3">
                  <c:v>687820</c:v>
                </c:pt>
                <c:pt idx="4">
                  <c:v>799085</c:v>
                </c:pt>
                <c:pt idx="5">
                  <c:v>388416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D7-4396-8686-04571094C640}"/>
            </c:ext>
          </c:extLst>
        </c:ser>
        <c:ser>
          <c:idx val="3"/>
          <c:order val="3"/>
          <c:tx>
            <c:strRef>
              <c:f>'PivotTable-PerformanceAnaly'!$F$5:$F$7</c:f>
              <c:strCache>
                <c:ptCount val="1"/>
                <c:pt idx="0">
                  <c:v>2023 - Average of CTR</c:v>
                </c:pt>
              </c:strCache>
            </c:strRef>
          </c:tx>
          <c:spPr>
            <a:solidFill>
              <a:schemeClr val="accent4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'PivotTable-PerformanceAnaly'!$F$8:$F$14</c:f>
              <c:numCache>
                <c:formatCode>General</c:formatCode>
                <c:ptCount val="6"/>
                <c:pt idx="0">
                  <c:v>2.9207436027369634E-2</c:v>
                </c:pt>
                <c:pt idx="1">
                  <c:v>3.0292243255154692E-2</c:v>
                </c:pt>
                <c:pt idx="2">
                  <c:v>3.0038306113775098E-2</c:v>
                </c:pt>
                <c:pt idx="3">
                  <c:v>3.0095677317267318E-2</c:v>
                </c:pt>
                <c:pt idx="4">
                  <c:v>3.0329742927282796E-2</c:v>
                </c:pt>
                <c:pt idx="5">
                  <c:v>3.0312072273729829E-2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9D7-4396-8686-04571094C640}"/>
            </c:ext>
          </c:extLst>
        </c:ser>
        <c:ser>
          <c:idx val="4"/>
          <c:order val="4"/>
          <c:tx>
            <c:strRef>
              <c:f>'PivotTable-PerformanceAnaly'!$G$5:$G$7</c:f>
              <c:strCache>
                <c:ptCount val="1"/>
                <c:pt idx="0">
                  <c:v>2024 - Sum of Year</c:v>
                </c:pt>
              </c:strCache>
            </c:strRef>
          </c:tx>
          <c:spPr>
            <a:solidFill>
              <a:schemeClr val="accent5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'PivotTable-PerformanceAnaly'!$G$8:$G$14</c:f>
              <c:numCache>
                <c:formatCode>General</c:formatCode>
                <c:ptCount val="6"/>
                <c:pt idx="0">
                  <c:v>2024</c:v>
                </c:pt>
                <c:pt idx="1">
                  <c:v>2024</c:v>
                </c:pt>
                <c:pt idx="3">
                  <c:v>4048</c:v>
                </c:pt>
                <c:pt idx="4">
                  <c:v>2024</c:v>
                </c:pt>
                <c:pt idx="5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9D7-4396-8686-04571094C640}"/>
            </c:ext>
          </c:extLst>
        </c:ser>
        <c:ser>
          <c:idx val="5"/>
          <c:order val="5"/>
          <c:tx>
            <c:strRef>
              <c:f>'PivotTable-PerformanceAnaly'!$H$5:$H$7</c:f>
              <c:strCache>
                <c:ptCount val="1"/>
                <c:pt idx="0">
                  <c:v>2024 - Average of CTR</c:v>
                </c:pt>
              </c:strCache>
            </c:strRef>
          </c:tx>
          <c:spPr>
            <a:solidFill>
              <a:schemeClr val="accent6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'PivotTable-PerformanceAnaly'!$B$8:$B$14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'PivotTable-PerformanceAnaly'!$H$8:$H$14</c:f>
              <c:numCache>
                <c:formatCode>General</c:formatCode>
                <c:ptCount val="6"/>
                <c:pt idx="0">
                  <c:v>3.9247801031240523E-2</c:v>
                </c:pt>
                <c:pt idx="1">
                  <c:v>3.8735452492617679E-2</c:v>
                </c:pt>
                <c:pt idx="3">
                  <c:v>2.7754562516215914E-2</c:v>
                </c:pt>
                <c:pt idx="4">
                  <c:v>2.4609374999999999E-2</c:v>
                </c:pt>
                <c:pt idx="5">
                  <c:v>3.0581651009394362E-2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9D7-4396-8686-04571094C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75552"/>
        <c:axId val="153991392"/>
        <c:axId val="1958742896"/>
      </c:bar3DChart>
      <c:catAx>
        <c:axId val="15397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91392"/>
        <c:crosses val="autoZero"/>
        <c:auto val="1"/>
        <c:lblAlgn val="ctr"/>
        <c:lblOffset val="100"/>
        <c:noMultiLvlLbl val="0"/>
      </c:catAx>
      <c:valAx>
        <c:axId val="1539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75552"/>
        <c:crosses val="autoZero"/>
        <c:crossBetween val="between"/>
      </c:valAx>
      <c:serAx>
        <c:axId val="1958742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913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data.xlsx]PivotTable-PerformanceAnaly!PivotTable9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'PivotTable-PerformanceAnaly'!$C$20:$C$21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'PivotTable-PerformanceAnaly'!$B$22:$B$28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'PivotTable-PerformanceAnaly'!$C$22:$C$28</c:f>
              <c:numCache>
                <c:formatCode>General</c:formatCode>
                <c:ptCount val="6"/>
                <c:pt idx="4">
                  <c:v>0.13470873786407767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9-4F0D-B024-EA880F13ECCA}"/>
            </c:ext>
          </c:extLst>
        </c:ser>
        <c:ser>
          <c:idx val="1"/>
          <c:order val="1"/>
          <c:tx>
            <c:strRef>
              <c:f>'PivotTable-PerformanceAnaly'!$D$20:$D$21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'PivotTable-PerformanceAnaly'!$B$22:$B$28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'PivotTable-PerformanceAnaly'!$D$22:$D$28</c:f>
              <c:numCache>
                <c:formatCode>General</c:formatCode>
                <c:ptCount val="6"/>
                <c:pt idx="0">
                  <c:v>39.055055134786173</c:v>
                </c:pt>
                <c:pt idx="1">
                  <c:v>42.866020269168871</c:v>
                </c:pt>
                <c:pt idx="2">
                  <c:v>36.086404603660604</c:v>
                </c:pt>
                <c:pt idx="3">
                  <c:v>37.415171624443538</c:v>
                </c:pt>
                <c:pt idx="4">
                  <c:v>42.827293698655303</c:v>
                </c:pt>
                <c:pt idx="5">
                  <c:v>22.565986287995763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9-4F0D-B024-EA880F13ECCA}"/>
            </c:ext>
          </c:extLst>
        </c:ser>
        <c:ser>
          <c:idx val="2"/>
          <c:order val="2"/>
          <c:tx>
            <c:strRef>
              <c:f>'PivotTable-PerformanceAnaly'!$E$20:$E$21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'PivotTable-PerformanceAnaly'!$B$22:$B$28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'PivotTable-PerformanceAnaly'!$E$22:$E$28</c:f>
              <c:numCache>
                <c:formatCode>General</c:formatCode>
                <c:ptCount val="6"/>
                <c:pt idx="0">
                  <c:v>0.17156105100463678</c:v>
                </c:pt>
                <c:pt idx="1">
                  <c:v>0.18385650224215247</c:v>
                </c:pt>
                <c:pt idx="3">
                  <c:v>0.2625426845285001</c:v>
                </c:pt>
                <c:pt idx="4">
                  <c:v>0.12698412698412698</c:v>
                </c:pt>
                <c:pt idx="5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89C-9148-70C8C9F49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68832"/>
        <c:axId val="153959232"/>
        <c:axId val="0"/>
      </c:bar3DChart>
      <c:catAx>
        <c:axId val="15396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59232"/>
        <c:crosses val="autoZero"/>
        <c:auto val="1"/>
        <c:lblAlgn val="ctr"/>
        <c:lblOffset val="100"/>
        <c:noMultiLvlLbl val="0"/>
      </c:catAx>
      <c:valAx>
        <c:axId val="15395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data.xlsx]PivotTable-PerformanceAnaly!PivotTable11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46289668336913"/>
          <c:y val="0.15451570059766626"/>
          <c:w val="0.70180466078103876"/>
          <c:h val="0.729428738576352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'PivotTable-PerformanceAnaly'!$C$35:$C$36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'PivotTable-PerformanceAnaly'!$B$37:$B$43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'PivotTable-PerformanceAnaly'!$C$37:$C$43</c:f>
              <c:numCache>
                <c:formatCode>General</c:formatCode>
                <c:ptCount val="6"/>
                <c:pt idx="4">
                  <c:v>0.95945388349514571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2-4B6C-B8A0-AE7428ECF651}"/>
            </c:ext>
          </c:extLst>
        </c:ser>
        <c:ser>
          <c:idx val="1"/>
          <c:order val="1"/>
          <c:tx>
            <c:strRef>
              <c:f>'PivotTable-PerformanceAnaly'!$D$35:$D$36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'PivotTable-PerformanceAnaly'!$B$37:$B$43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'PivotTable-PerformanceAnaly'!$D$37:$D$43</c:f>
              <c:numCache>
                <c:formatCode>General</c:formatCode>
                <c:ptCount val="6"/>
                <c:pt idx="0">
                  <c:v>0.50027840481565089</c:v>
                </c:pt>
                <c:pt idx="1">
                  <c:v>0.50139534883720926</c:v>
                </c:pt>
                <c:pt idx="2">
                  <c:v>0.50857790368271949</c:v>
                </c:pt>
                <c:pt idx="3">
                  <c:v>0.51316546762589932</c:v>
                </c:pt>
                <c:pt idx="4">
                  <c:v>0.50201740506329107</c:v>
                </c:pt>
                <c:pt idx="5">
                  <c:v>0.50575663026521056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C2-4B6C-B8A0-AE7428ECF651}"/>
            </c:ext>
          </c:extLst>
        </c:ser>
        <c:ser>
          <c:idx val="2"/>
          <c:order val="2"/>
          <c:tx>
            <c:strRef>
              <c:f>'PivotTable-PerformanceAnaly'!$E$35:$E$36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'PivotTable-PerformanceAnaly'!$B$37:$B$43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'PivotTable-PerformanceAnaly'!$E$37:$E$43</c:f>
              <c:numCache>
                <c:formatCode>General</c:formatCode>
                <c:ptCount val="6"/>
                <c:pt idx="0">
                  <c:v>0.68316846986089641</c:v>
                </c:pt>
                <c:pt idx="1">
                  <c:v>1.0609417040358744</c:v>
                </c:pt>
                <c:pt idx="3">
                  <c:v>0.70602836879432618</c:v>
                </c:pt>
                <c:pt idx="4">
                  <c:v>1.8357142857142859</c:v>
                </c:pt>
                <c:pt idx="5">
                  <c:v>0.70683006535947712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71B-8ABD-4A4F7FCC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18992"/>
        <c:axId val="25219472"/>
      </c:barChart>
      <c:catAx>
        <c:axId val="2521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9472"/>
        <c:crosses val="autoZero"/>
        <c:auto val="1"/>
        <c:lblAlgn val="ctr"/>
        <c:lblOffset val="100"/>
        <c:noMultiLvlLbl val="0"/>
      </c:catAx>
      <c:valAx>
        <c:axId val="2521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data.xlsx]PivotTable-PerformanceAnaly!PivotTable12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923009623797031E-2"/>
          <c:y val="9.231322720173997E-2"/>
          <c:w val="0.71263236034889588"/>
          <c:h val="0.6200640223710354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'PivotTable-PerformanceAnaly'!$C$50:$C$51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'PivotTable-PerformanceAnaly'!$B$52:$B$58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'PivotTable-PerformanceAnaly'!$C$52:$C$58</c:f>
              <c:numCache>
                <c:formatCode>General</c:formatCode>
                <c:ptCount val="6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A-43C8-A25E-894F77955E2F}"/>
            </c:ext>
          </c:extLst>
        </c:ser>
        <c:ser>
          <c:idx val="1"/>
          <c:order val="1"/>
          <c:tx>
            <c:strRef>
              <c:f>'PivotTable-PerformanceAnaly'!$D$50:$D$51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'PivotTable-PerformanceAnaly'!$B$52:$B$58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'PivotTable-PerformanceAnaly'!$D$52:$D$58</c:f>
              <c:numCache>
                <c:formatCode>General</c:formatCode>
                <c:ptCount val="6"/>
                <c:pt idx="0">
                  <c:v>350</c:v>
                </c:pt>
                <c:pt idx="1">
                  <c:v>386</c:v>
                </c:pt>
                <c:pt idx="2">
                  <c:v>331</c:v>
                </c:pt>
                <c:pt idx="3">
                  <c:v>340</c:v>
                </c:pt>
                <c:pt idx="4">
                  <c:v>395</c:v>
                </c:pt>
                <c:pt idx="5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A-43C8-A25E-894F77955E2F}"/>
            </c:ext>
          </c:extLst>
        </c:ser>
        <c:ser>
          <c:idx val="2"/>
          <c:order val="2"/>
          <c:tx>
            <c:strRef>
              <c:f>'PivotTable-PerformanceAnaly'!$E$50:$E$51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'PivotTable-PerformanceAnaly'!$B$52:$B$58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'PivotTable-PerformanceAnaly'!$E$52:$E$58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8-4B83-AA66-1B39E4879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690224"/>
        <c:axId val="28695504"/>
        <c:axId val="2032931968"/>
      </c:bar3DChart>
      <c:catAx>
        <c:axId val="286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5504"/>
        <c:crosses val="autoZero"/>
        <c:auto val="1"/>
        <c:lblAlgn val="ctr"/>
        <c:lblOffset val="100"/>
        <c:noMultiLvlLbl val="0"/>
      </c:catAx>
      <c:valAx>
        <c:axId val="286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224"/>
        <c:crosses val="autoZero"/>
        <c:crossBetween val="between"/>
      </c:valAx>
      <c:serAx>
        <c:axId val="203293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550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data.xlsx]PivotTable-PerformanceAnaly!PivotTable13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37243962595127"/>
          <c:y val="0.1613182786114"/>
          <c:w val="0.74217518036376107"/>
          <c:h val="0.495934647320028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'PivotTable-PerformanceAnaly'!$C$65:$C$66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'PivotTable-PerformanceAnaly'!$B$67:$B$73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'PivotTable-PerformanceAnaly'!$C$67:$C$73</c:f>
              <c:numCache>
                <c:formatCode>General</c:formatCode>
                <c:ptCount val="6"/>
                <c:pt idx="4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1-4994-BE15-25CDAFC37C64}"/>
            </c:ext>
          </c:extLst>
        </c:ser>
        <c:ser>
          <c:idx val="1"/>
          <c:order val="1"/>
          <c:tx>
            <c:strRef>
              <c:f>'PivotTable-PerformanceAnaly'!$D$65:$D$66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'PivotTable-PerformanceAnaly'!$B$67:$B$73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'PivotTable-PerformanceAnaly'!$D$67:$D$73</c:f>
              <c:numCache>
                <c:formatCode>General</c:formatCode>
                <c:ptCount val="6"/>
                <c:pt idx="0">
                  <c:v>6811</c:v>
                </c:pt>
                <c:pt idx="1">
                  <c:v>7025</c:v>
                </c:pt>
                <c:pt idx="2">
                  <c:v>6552</c:v>
                </c:pt>
                <c:pt idx="3">
                  <c:v>6548</c:v>
                </c:pt>
                <c:pt idx="4">
                  <c:v>7688</c:v>
                </c:pt>
                <c:pt idx="5">
                  <c:v>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1-4994-BE15-25CDAFC37C64}"/>
            </c:ext>
          </c:extLst>
        </c:ser>
        <c:ser>
          <c:idx val="2"/>
          <c:order val="2"/>
          <c:tx>
            <c:strRef>
              <c:f>'PivotTable-PerformanceAnaly'!$E$65:$E$66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'PivotTable-PerformanceAnaly'!$B$67:$B$73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TikTok</c:v>
                </c:pt>
                <c:pt idx="5">
                  <c:v>Not specified</c:v>
                </c:pt>
              </c:strCache>
            </c:strRef>
          </c:cat>
          <c:val>
            <c:numRef>
              <c:f>'PivotTable-PerformanceAnaly'!$E$67:$E$73</c:f>
              <c:numCache>
                <c:formatCode>General</c:formatCode>
                <c:ptCount val="6"/>
                <c:pt idx="0">
                  <c:v>17</c:v>
                </c:pt>
                <c:pt idx="1">
                  <c:v>26</c:v>
                </c:pt>
                <c:pt idx="3">
                  <c:v>52</c:v>
                </c:pt>
                <c:pt idx="4">
                  <c:v>15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B-4C18-B09F-F45E19CF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2176784"/>
        <c:axId val="2022165264"/>
        <c:axId val="0"/>
      </c:bar3DChart>
      <c:catAx>
        <c:axId val="202217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165264"/>
        <c:crosses val="autoZero"/>
        <c:auto val="1"/>
        <c:lblAlgn val="ctr"/>
        <c:lblOffset val="100"/>
        <c:noMultiLvlLbl val="0"/>
      </c:catAx>
      <c:valAx>
        <c:axId val="2022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1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618152509953397E-2"/>
          <c:y val="0.11124654945277009"/>
          <c:w val="0.78231904673682195"/>
          <c:h val="0.713160591155977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'PivotTable - Quarter Analysis'!$C$5:$C$6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Analysis'!$C$7:$C$18</c:f>
              <c:numCache>
                <c:formatCode>General</c:formatCode>
                <c:ptCount val="8"/>
                <c:pt idx="1">
                  <c:v>1163065.6700000002</c:v>
                </c:pt>
                <c:pt idx="2">
                  <c:v>113625.34999999995</c:v>
                </c:pt>
                <c:pt idx="3">
                  <c:v>206252.44999999998</c:v>
                </c:pt>
                <c:pt idx="4">
                  <c:v>179769.53000000003</c:v>
                </c:pt>
                <c:pt idx="6">
                  <c:v>442.01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2-423B-AEF7-A93ADECAE179}"/>
            </c:ext>
          </c:extLst>
        </c:ser>
        <c:ser>
          <c:idx val="1"/>
          <c:order val="1"/>
          <c:tx>
            <c:strRef>
              <c:f>'PivotTable - Quarter Analysis'!$D$5:$D$6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Analysis'!$D$7:$D$18</c:f>
              <c:numCache>
                <c:formatCode>General</c:formatCode>
                <c:ptCount val="8"/>
                <c:pt idx="1">
                  <c:v>181691.91999999993</c:v>
                </c:pt>
                <c:pt idx="2">
                  <c:v>706334.65000000014</c:v>
                </c:pt>
                <c:pt idx="3">
                  <c:v>200765.41000000003</c:v>
                </c:pt>
                <c:pt idx="4">
                  <c:v>666201.80999999994</c:v>
                </c:pt>
                <c:pt idx="5">
                  <c:v>236.59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DE7-4230-8BFA-B1AFE5164CCF}"/>
            </c:ext>
          </c:extLst>
        </c:ser>
        <c:ser>
          <c:idx val="2"/>
          <c:order val="2"/>
          <c:tx>
            <c:strRef>
              <c:f>'PivotTable - Quarter Analysis'!$E$5:$E$6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Analysis'!$E$7:$E$18</c:f>
              <c:numCache>
                <c:formatCode>General</c:formatCode>
                <c:ptCount val="8"/>
                <c:pt idx="1">
                  <c:v>205568.19</c:v>
                </c:pt>
                <c:pt idx="2">
                  <c:v>151133.11999999997</c:v>
                </c:pt>
                <c:pt idx="3">
                  <c:v>141119.05000000005</c:v>
                </c:pt>
                <c:pt idx="4">
                  <c:v>143755.65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DE7-4230-8BFA-B1AFE5164CCF}"/>
            </c:ext>
          </c:extLst>
        </c:ser>
        <c:ser>
          <c:idx val="3"/>
          <c:order val="3"/>
          <c:tx>
            <c:strRef>
              <c:f>'PivotTable - Quarter Analysis'!$F$5:$F$6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Analysis'!$F$7:$F$18</c:f>
              <c:numCache>
                <c:formatCode>General</c:formatCode>
                <c:ptCount val="8"/>
                <c:pt idx="1">
                  <c:v>132177.10000000003</c:v>
                </c:pt>
                <c:pt idx="2">
                  <c:v>154846.06999999998</c:v>
                </c:pt>
                <c:pt idx="3">
                  <c:v>153372.71</c:v>
                </c:pt>
                <c:pt idx="4">
                  <c:v>178060.02999999997</c:v>
                </c:pt>
                <c:pt idx="5">
                  <c:v>99.55</c:v>
                </c:pt>
                <c:pt idx="7">
                  <c:v>561.61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DE7-4230-8BFA-B1AFE5164CCF}"/>
            </c:ext>
          </c:extLst>
        </c:ser>
        <c:ser>
          <c:idx val="4"/>
          <c:order val="4"/>
          <c:tx>
            <c:strRef>
              <c:f>'PivotTable - Quarter Analysis'!$G$5:$G$6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Analysis'!$G$7:$G$18</c:f>
              <c:numCache>
                <c:formatCode>General</c:formatCode>
                <c:ptCount val="8"/>
                <c:pt idx="0">
                  <c:v>790.59</c:v>
                </c:pt>
                <c:pt idx="1">
                  <c:v>172483.23</c:v>
                </c:pt>
                <c:pt idx="2">
                  <c:v>186298.61999999997</c:v>
                </c:pt>
                <c:pt idx="3">
                  <c:v>188785.91</c:v>
                </c:pt>
                <c:pt idx="4">
                  <c:v>186801.37999999992</c:v>
                </c:pt>
                <c:pt idx="6">
                  <c:v>115.65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DE7-4230-8BFA-B1AFE5164CCF}"/>
            </c:ext>
          </c:extLst>
        </c:ser>
        <c:ser>
          <c:idx val="5"/>
          <c:order val="5"/>
          <c:tx>
            <c:strRef>
              <c:f>'PivotTable - Quarter Analysis'!$H$5:$H$6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Analysis'!$B$7:$B$18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Analysis'!$H$7:$H$18</c:f>
              <c:numCache>
                <c:formatCode>General</c:formatCode>
                <c:ptCount val="8"/>
                <c:pt idx="1">
                  <c:v>560961.24000000022</c:v>
                </c:pt>
                <c:pt idx="2">
                  <c:v>97994.400000000038</c:v>
                </c:pt>
                <c:pt idx="3">
                  <c:v>96943.249999999971</c:v>
                </c:pt>
                <c:pt idx="4">
                  <c:v>84980.53</c:v>
                </c:pt>
                <c:pt idx="7">
                  <c:v>1514.03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E7-4230-8BFA-B1AFE5164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796095"/>
        <c:axId val="413959679"/>
      </c:barChart>
      <c:catAx>
        <c:axId val="6527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59679"/>
        <c:crosses val="autoZero"/>
        <c:auto val="1"/>
        <c:lblAlgn val="ctr"/>
        <c:lblOffset val="100"/>
        <c:noMultiLvlLbl val="0"/>
      </c:catAx>
      <c:valAx>
        <c:axId val="4139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60023646452069"/>
          <c:y val="8.7458718861709278E-2"/>
          <c:w val="9.7147343891195517E-2"/>
          <c:h val="0.70628455490268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Analysis!PivotTable2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'PivotTable - Quarter Analysis'!$C$23:$C$24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Analysis'!$C$25:$C$36</c:f>
              <c:numCache>
                <c:formatCode>General</c:formatCode>
                <c:ptCount val="8"/>
                <c:pt idx="1">
                  <c:v>127793</c:v>
                </c:pt>
                <c:pt idx="2">
                  <c:v>97549</c:v>
                </c:pt>
                <c:pt idx="3">
                  <c:v>159493</c:v>
                </c:pt>
                <c:pt idx="4">
                  <c:v>141408</c:v>
                </c:pt>
                <c:pt idx="6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3-4167-AB6A-4E42370C52FD}"/>
            </c:ext>
          </c:extLst>
        </c:ser>
        <c:ser>
          <c:idx val="1"/>
          <c:order val="1"/>
          <c:tx>
            <c:strRef>
              <c:f>'PivotTable - Quarter Analysis'!$D$23:$D$24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Analysis'!$D$25:$D$36</c:f>
              <c:numCache>
                <c:formatCode>General</c:formatCode>
                <c:ptCount val="8"/>
                <c:pt idx="1">
                  <c:v>136096</c:v>
                </c:pt>
                <c:pt idx="2">
                  <c:v>162490</c:v>
                </c:pt>
                <c:pt idx="3">
                  <c:v>163139</c:v>
                </c:pt>
                <c:pt idx="4">
                  <c:v>140664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C7-426C-847C-50090562C540}"/>
            </c:ext>
          </c:extLst>
        </c:ser>
        <c:ser>
          <c:idx val="2"/>
          <c:order val="2"/>
          <c:tx>
            <c:strRef>
              <c:f>'PivotTable - Quarter Analysis'!$E$23:$E$24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Analysis'!$E$25:$E$36</c:f>
              <c:numCache>
                <c:formatCode>General</c:formatCode>
                <c:ptCount val="8"/>
                <c:pt idx="1">
                  <c:v>160637</c:v>
                </c:pt>
                <c:pt idx="2">
                  <c:v>127307</c:v>
                </c:pt>
                <c:pt idx="3">
                  <c:v>105423</c:v>
                </c:pt>
                <c:pt idx="4">
                  <c:v>106542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C7-426C-847C-50090562C540}"/>
            </c:ext>
          </c:extLst>
        </c:ser>
        <c:ser>
          <c:idx val="3"/>
          <c:order val="3"/>
          <c:tx>
            <c:strRef>
              <c:f>'PivotTable - Quarter Analysis'!$F$23:$F$24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Analysis'!$F$25:$F$36</c:f>
              <c:numCache>
                <c:formatCode>General</c:formatCode>
                <c:ptCount val="8"/>
                <c:pt idx="1">
                  <c:v>106060</c:v>
                </c:pt>
                <c:pt idx="2">
                  <c:v>123003</c:v>
                </c:pt>
                <c:pt idx="3">
                  <c:v>124521</c:v>
                </c:pt>
                <c:pt idx="4">
                  <c:v>148708</c:v>
                </c:pt>
                <c:pt idx="5">
                  <c:v>141</c:v>
                </c:pt>
                <c:pt idx="7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C7-426C-847C-50090562C540}"/>
            </c:ext>
          </c:extLst>
        </c:ser>
        <c:ser>
          <c:idx val="4"/>
          <c:order val="4"/>
          <c:tx>
            <c:strRef>
              <c:f>'PivotTable - Quarter Analysis'!$G$23:$G$24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Analysis'!$G$25:$G$36</c:f>
              <c:numCache>
                <c:formatCode>General</c:formatCode>
                <c:ptCount val="8"/>
                <c:pt idx="0">
                  <c:v>824</c:v>
                </c:pt>
                <c:pt idx="1">
                  <c:v>150811</c:v>
                </c:pt>
                <c:pt idx="2">
                  <c:v>144565</c:v>
                </c:pt>
                <c:pt idx="3">
                  <c:v>150783</c:v>
                </c:pt>
                <c:pt idx="4">
                  <c:v>145850</c:v>
                </c:pt>
                <c:pt idx="6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C7-426C-847C-50090562C540}"/>
            </c:ext>
          </c:extLst>
        </c:ser>
        <c:ser>
          <c:idx val="5"/>
          <c:order val="5"/>
          <c:tx>
            <c:strRef>
              <c:f>'PivotTable - Quarter Analysis'!$H$23:$H$24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'PivotTable - Quarter Analysis'!$B$25:$B$36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Analysis'!$H$25:$H$36</c:f>
              <c:numCache>
                <c:formatCode>General</c:formatCode>
                <c:ptCount val="8"/>
                <c:pt idx="1">
                  <c:v>58060</c:v>
                </c:pt>
                <c:pt idx="2">
                  <c:v>73698</c:v>
                </c:pt>
                <c:pt idx="3">
                  <c:v>77959</c:v>
                </c:pt>
                <c:pt idx="4">
                  <c:v>67594</c:v>
                </c:pt>
                <c:pt idx="7">
                  <c:v>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FC7-426C-847C-50090562C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7402415"/>
        <c:axId val="917395215"/>
      </c:barChart>
      <c:catAx>
        <c:axId val="91740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95215"/>
        <c:crosses val="autoZero"/>
        <c:auto val="1"/>
        <c:lblAlgn val="ctr"/>
        <c:lblOffset val="100"/>
        <c:noMultiLvlLbl val="0"/>
      </c:catAx>
      <c:valAx>
        <c:axId val="9173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Analysis!PivotTable3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'PivotTable - Quarter Analysis'!$C$40:$C$41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Analysis'!$C$42:$C$53</c:f>
              <c:numCache>
                <c:formatCode>General</c:formatCode>
                <c:ptCount val="8"/>
                <c:pt idx="1">
                  <c:v>14343</c:v>
                </c:pt>
                <c:pt idx="2">
                  <c:v>10113</c:v>
                </c:pt>
                <c:pt idx="3">
                  <c:v>17311</c:v>
                </c:pt>
                <c:pt idx="4">
                  <c:v>17486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9-4F9E-B208-6FFDB69986C2}"/>
            </c:ext>
          </c:extLst>
        </c:ser>
        <c:ser>
          <c:idx val="1"/>
          <c:order val="1"/>
          <c:tx>
            <c:strRef>
              <c:f>'PivotTable - Quarter Analysis'!$D$40:$D$41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Analysis'!$D$42:$D$53</c:f>
              <c:numCache>
                <c:formatCode>General</c:formatCode>
                <c:ptCount val="8"/>
                <c:pt idx="1">
                  <c:v>15191</c:v>
                </c:pt>
                <c:pt idx="2">
                  <c:v>16760</c:v>
                </c:pt>
                <c:pt idx="3">
                  <c:v>18628</c:v>
                </c:pt>
                <c:pt idx="4">
                  <c:v>16218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7F-45C2-9540-E0CBCE204D54}"/>
            </c:ext>
          </c:extLst>
        </c:ser>
        <c:ser>
          <c:idx val="2"/>
          <c:order val="2"/>
          <c:tx>
            <c:strRef>
              <c:f>'PivotTable - Quarter Analysis'!$E$40:$E$41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Analysis'!$E$42:$E$53</c:f>
              <c:numCache>
                <c:formatCode>General</c:formatCode>
                <c:ptCount val="8"/>
                <c:pt idx="1">
                  <c:v>19206</c:v>
                </c:pt>
                <c:pt idx="2">
                  <c:v>14047</c:v>
                </c:pt>
                <c:pt idx="3">
                  <c:v>11582</c:v>
                </c:pt>
                <c:pt idx="4">
                  <c:v>11245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7F-45C2-9540-E0CBCE204D54}"/>
            </c:ext>
          </c:extLst>
        </c:ser>
        <c:ser>
          <c:idx val="3"/>
          <c:order val="3"/>
          <c:tx>
            <c:strRef>
              <c:f>'PivotTable - Quarter Analysis'!$F$40:$F$41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Analysis'!$F$42:$F$53</c:f>
              <c:numCache>
                <c:formatCode>General</c:formatCode>
                <c:ptCount val="8"/>
                <c:pt idx="1">
                  <c:v>12535</c:v>
                </c:pt>
                <c:pt idx="2">
                  <c:v>13455</c:v>
                </c:pt>
                <c:pt idx="3">
                  <c:v>13959</c:v>
                </c:pt>
                <c:pt idx="4">
                  <c:v>15193</c:v>
                </c:pt>
                <c:pt idx="5">
                  <c:v>17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7F-45C2-9540-E0CBCE204D54}"/>
            </c:ext>
          </c:extLst>
        </c:ser>
        <c:ser>
          <c:idx val="4"/>
          <c:order val="4"/>
          <c:tx>
            <c:strRef>
              <c:f>'PivotTable - Quarter Analysis'!$G$40:$G$41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Analysis'!$G$42:$G$53</c:f>
              <c:numCache>
                <c:formatCode>General</c:formatCode>
                <c:ptCount val="8"/>
                <c:pt idx="0">
                  <c:v>111</c:v>
                </c:pt>
                <c:pt idx="1">
                  <c:v>16159</c:v>
                </c:pt>
                <c:pt idx="2">
                  <c:v>15989</c:v>
                </c:pt>
                <c:pt idx="3">
                  <c:v>17284</c:v>
                </c:pt>
                <c:pt idx="4">
                  <c:v>15067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7F-45C2-9540-E0CBCE204D54}"/>
            </c:ext>
          </c:extLst>
        </c:ser>
        <c:ser>
          <c:idx val="5"/>
          <c:order val="5"/>
          <c:tx>
            <c:strRef>
              <c:f>'PivotTable - Quarter Analysis'!$H$40:$H$41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Analysis'!$B$42:$B$53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Analysis'!$H$42:$H$53</c:f>
              <c:numCache>
                <c:formatCode>General</c:formatCode>
                <c:ptCount val="8"/>
                <c:pt idx="1">
                  <c:v>6866</c:v>
                </c:pt>
                <c:pt idx="2">
                  <c:v>8550</c:v>
                </c:pt>
                <c:pt idx="3">
                  <c:v>10184</c:v>
                </c:pt>
                <c:pt idx="4">
                  <c:v>7573</c:v>
                </c:pt>
                <c:pt idx="7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7F-45C2-9540-E0CBCE204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7393775"/>
        <c:axId val="917394255"/>
        <c:axId val="0"/>
      </c:bar3DChart>
      <c:catAx>
        <c:axId val="91739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94255"/>
        <c:crosses val="autoZero"/>
        <c:auto val="1"/>
        <c:lblAlgn val="ctr"/>
        <c:lblOffset val="100"/>
        <c:noMultiLvlLbl val="0"/>
      </c:catAx>
      <c:valAx>
        <c:axId val="91739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9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41874138281362"/>
          <c:y val="7.9462420042156701E-2"/>
          <c:w val="0.10293249156832861"/>
          <c:h val="0.754010003528291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'PivotTable - Quarter Analysis'!$C$58:$C$59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Analysis'!$C$60:$C$71</c:f>
              <c:numCache>
                <c:formatCode>General</c:formatCode>
                <c:ptCount val="8"/>
                <c:pt idx="1">
                  <c:v>2.990883327181228E-2</c:v>
                </c:pt>
                <c:pt idx="2">
                  <c:v>2.9107794207972663E-2</c:v>
                </c:pt>
                <c:pt idx="3">
                  <c:v>2.9724058570004451E-2</c:v>
                </c:pt>
                <c:pt idx="4">
                  <c:v>2.8196368871288527E-2</c:v>
                </c:pt>
                <c:pt idx="6">
                  <c:v>3.9247801031240523E-2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C-4371-B7C8-B008988ED242}"/>
            </c:ext>
          </c:extLst>
        </c:ser>
        <c:ser>
          <c:idx val="1"/>
          <c:order val="1"/>
          <c:tx>
            <c:strRef>
              <c:f>'PivotTable - Quarter Analysis'!$D$58:$D$59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Analysis'!$D$60:$D$71</c:f>
              <c:numCache>
                <c:formatCode>General</c:formatCode>
                <c:ptCount val="8"/>
                <c:pt idx="1">
                  <c:v>2.8850123377339623E-2</c:v>
                </c:pt>
                <c:pt idx="2">
                  <c:v>2.968752640037493E-2</c:v>
                </c:pt>
                <c:pt idx="3">
                  <c:v>3.194047195678127E-2</c:v>
                </c:pt>
                <c:pt idx="4">
                  <c:v>3.0764322948880946E-2</c:v>
                </c:pt>
                <c:pt idx="5">
                  <c:v>3.8735452492617679E-2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38-4092-976B-9A5BBFD5CE81}"/>
            </c:ext>
          </c:extLst>
        </c:ser>
        <c:ser>
          <c:idx val="2"/>
          <c:order val="2"/>
          <c:tx>
            <c:strRef>
              <c:f>'PivotTable - Quarter Analysis'!$E$58:$E$59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Analysis'!$E$60:$E$71</c:f>
              <c:numCache>
                <c:formatCode>General</c:formatCode>
                <c:ptCount val="8"/>
                <c:pt idx="1">
                  <c:v>2.9583256627787057E-2</c:v>
                </c:pt>
                <c:pt idx="2">
                  <c:v>3.0468593469242519E-2</c:v>
                </c:pt>
                <c:pt idx="3">
                  <c:v>3.1053959805540328E-2</c:v>
                </c:pt>
                <c:pt idx="4">
                  <c:v>2.9175546983276086E-2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38-4092-976B-9A5BBFD5CE81}"/>
            </c:ext>
          </c:extLst>
        </c:ser>
        <c:ser>
          <c:idx val="3"/>
          <c:order val="3"/>
          <c:tx>
            <c:strRef>
              <c:f>'PivotTable - Quarter Analysis'!$F$58:$F$59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Analysis'!$F$60:$F$71</c:f>
              <c:numCache>
                <c:formatCode>General</c:formatCode>
                <c:ptCount val="8"/>
                <c:pt idx="1">
                  <c:v>3.1284077144125864E-2</c:v>
                </c:pt>
                <c:pt idx="2">
                  <c:v>2.879255536151067E-2</c:v>
                </c:pt>
                <c:pt idx="3">
                  <c:v>3.0929885186640867E-2</c:v>
                </c:pt>
                <c:pt idx="4">
                  <c:v>2.9655290572742254E-2</c:v>
                </c:pt>
                <c:pt idx="5">
                  <c:v>3.9462636439966413E-2</c:v>
                </c:pt>
                <c:pt idx="7">
                  <c:v>1.6046488592465415E-2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38-4092-976B-9A5BBFD5CE81}"/>
            </c:ext>
          </c:extLst>
        </c:ser>
        <c:ser>
          <c:idx val="4"/>
          <c:order val="4"/>
          <c:tx>
            <c:strRef>
              <c:f>'PivotTable - Quarter Analysis'!$G$58:$G$59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Analysis'!$G$60:$G$71</c:f>
              <c:numCache>
                <c:formatCode>General</c:formatCode>
                <c:ptCount val="8"/>
                <c:pt idx="0">
                  <c:v>1.3398373983739838E-2</c:v>
                </c:pt>
                <c:pt idx="1">
                  <c:v>3.1264456631986272E-2</c:v>
                </c:pt>
                <c:pt idx="2">
                  <c:v>3.0682976827694653E-2</c:v>
                </c:pt>
                <c:pt idx="3">
                  <c:v>2.9772310473051216E-2</c:v>
                </c:pt>
                <c:pt idx="4">
                  <c:v>2.9645477788900594E-2</c:v>
                </c:pt>
                <c:pt idx="6">
                  <c:v>2.4609374999999999E-2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38-4092-976B-9A5BBFD5CE81}"/>
            </c:ext>
          </c:extLst>
        </c:ser>
        <c:ser>
          <c:idx val="5"/>
          <c:order val="5"/>
          <c:tx>
            <c:strRef>
              <c:f>'PivotTable - Quarter Analysis'!$H$58:$H$59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Analysis'!$B$60:$B$71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Analysis'!$H$60:$H$71</c:f>
              <c:numCache>
                <c:formatCode>General</c:formatCode>
                <c:ptCount val="8"/>
                <c:pt idx="1">
                  <c:v>3.0249183514871707E-2</c:v>
                </c:pt>
                <c:pt idx="2">
                  <c:v>2.8297299148767465E-2</c:v>
                </c:pt>
                <c:pt idx="3">
                  <c:v>3.272000529634405E-2</c:v>
                </c:pt>
                <c:pt idx="4">
                  <c:v>3.0117509908483102E-2</c:v>
                </c:pt>
                <c:pt idx="7">
                  <c:v>3.0581651009394362E-2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38-4092-976B-9A5BBFD5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7392431"/>
        <c:axId val="1077393871"/>
        <c:axId val="0"/>
      </c:bar3DChart>
      <c:catAx>
        <c:axId val="107739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3871"/>
        <c:crosses val="autoZero"/>
        <c:auto val="1"/>
        <c:lblAlgn val="ctr"/>
        <c:lblOffset val="100"/>
        <c:noMultiLvlLbl val="0"/>
      </c:catAx>
      <c:valAx>
        <c:axId val="107739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177120393026273"/>
          <c:y val="8.412948381452319E-2"/>
          <c:w val="0.13519769311855157"/>
          <c:h val="0.84689214984490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Analysis!PivotTable5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13229792950783"/>
          <c:y val="7.9082115113860027E-2"/>
          <c:w val="0.67575716410107656"/>
          <c:h val="0.6828821193166295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'PivotTable - Quarter Analysis'!$C$76:$C$77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Analysis'!$C$78:$C$89</c:f>
              <c:numCache>
                <c:formatCode>General</c:formatCode>
                <c:ptCount val="8"/>
                <c:pt idx="1">
                  <c:v>0.11130980348139266</c:v>
                </c:pt>
                <c:pt idx="2">
                  <c:v>0.11470332827313871</c:v>
                </c:pt>
                <c:pt idx="3">
                  <c:v>0.10400168989935742</c:v>
                </c:pt>
                <c:pt idx="4">
                  <c:v>0.11673626680935328</c:v>
                </c:pt>
                <c:pt idx="6">
                  <c:v>0.17156105100463678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C-4C7B-B72F-82F699B7B826}"/>
            </c:ext>
          </c:extLst>
        </c:ser>
        <c:ser>
          <c:idx val="1"/>
          <c:order val="1"/>
          <c:tx>
            <c:strRef>
              <c:f>'PivotTable - Quarter Analysis'!$D$76:$D$77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Analysis'!$D$78:$D$89</c:f>
              <c:numCache>
                <c:formatCode>General</c:formatCode>
                <c:ptCount val="8"/>
                <c:pt idx="1">
                  <c:v>0.11237053161447069</c:v>
                </c:pt>
                <c:pt idx="2">
                  <c:v>0.10857104118897624</c:v>
                </c:pt>
                <c:pt idx="3">
                  <c:v>0.10999212288733345</c:v>
                </c:pt>
                <c:pt idx="4">
                  <c:v>0.11369390530463074</c:v>
                </c:pt>
                <c:pt idx="5">
                  <c:v>0.18385650224215247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6D8-4C85-9EED-F0B1AB2ED762}"/>
            </c:ext>
          </c:extLst>
        </c:ser>
        <c:ser>
          <c:idx val="2"/>
          <c:order val="2"/>
          <c:tx>
            <c:strRef>
              <c:f>'PivotTable - Quarter Analysis'!$E$76:$E$77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Analysis'!$E$78:$E$89</c:f>
              <c:numCache>
                <c:formatCode>General</c:formatCode>
                <c:ptCount val="8"/>
                <c:pt idx="1">
                  <c:v>0.11467305459542276</c:v>
                </c:pt>
                <c:pt idx="2">
                  <c:v>0.10887680438871283</c:v>
                </c:pt>
                <c:pt idx="3">
                  <c:v>0.10117726094464648</c:v>
                </c:pt>
                <c:pt idx="4">
                  <c:v>0.10962505879188233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6D8-4C85-9EED-F0B1AB2ED762}"/>
            </c:ext>
          </c:extLst>
        </c:ser>
        <c:ser>
          <c:idx val="3"/>
          <c:order val="3"/>
          <c:tx>
            <c:strRef>
              <c:f>'PivotTable - Quarter Analysis'!$F$76:$F$77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Analysis'!$F$78:$F$89</c:f>
              <c:numCache>
                <c:formatCode>General</c:formatCode>
                <c:ptCount val="8"/>
                <c:pt idx="1">
                  <c:v>0.11466979251143451</c:v>
                </c:pt>
                <c:pt idx="2">
                  <c:v>0.10830881585723287</c:v>
                </c:pt>
                <c:pt idx="3">
                  <c:v>0.1093209678243959</c:v>
                </c:pt>
                <c:pt idx="4">
                  <c:v>0.10879056886330597</c:v>
                </c:pt>
                <c:pt idx="5">
                  <c:v>0.12056737588652482</c:v>
                </c:pt>
                <c:pt idx="7">
                  <c:v>0.1419753086419753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6D8-4C85-9EED-F0B1AB2ED762}"/>
            </c:ext>
          </c:extLst>
        </c:ser>
        <c:ser>
          <c:idx val="4"/>
          <c:order val="4"/>
          <c:tx>
            <c:strRef>
              <c:f>'PivotTable - Quarter Analysis'!$G$76:$G$77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Analysis'!$G$78:$G$89</c:f>
              <c:numCache>
                <c:formatCode>General</c:formatCode>
                <c:ptCount val="8"/>
                <c:pt idx="0">
                  <c:v>0.13470873786407767</c:v>
                </c:pt>
                <c:pt idx="1">
                  <c:v>0.10819167780143035</c:v>
                </c:pt>
                <c:pt idx="2">
                  <c:v>0.10886999119129051</c:v>
                </c:pt>
                <c:pt idx="3">
                  <c:v>0.11212754696743836</c:v>
                </c:pt>
                <c:pt idx="4">
                  <c:v>0.10450571225975068</c:v>
                </c:pt>
                <c:pt idx="6">
                  <c:v>0.12698412698412698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6D8-4C85-9EED-F0B1AB2ED762}"/>
            </c:ext>
          </c:extLst>
        </c:ser>
        <c:ser>
          <c:idx val="5"/>
          <c:order val="5"/>
          <c:tx>
            <c:strRef>
              <c:f>'PivotTable - Quarter Analysis'!$H$76:$H$77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Analysis'!$B$78:$B$89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Analysis'!$H$78:$H$89</c:f>
              <c:numCache>
                <c:formatCode>General</c:formatCode>
                <c:ptCount val="8"/>
                <c:pt idx="1">
                  <c:v>0.11670976720019724</c:v>
                </c:pt>
                <c:pt idx="2">
                  <c:v>0.11871639557837317</c:v>
                </c:pt>
                <c:pt idx="3">
                  <c:v>0.12185119504653362</c:v>
                </c:pt>
                <c:pt idx="4">
                  <c:v>0.11309815213692892</c:v>
                </c:pt>
                <c:pt idx="7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6D8-4C85-9EED-F0B1AB2E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0278687"/>
        <c:axId val="1150277247"/>
        <c:axId val="562208719"/>
      </c:bar3DChart>
      <c:catAx>
        <c:axId val="11502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7247"/>
        <c:crosses val="autoZero"/>
        <c:auto val="1"/>
        <c:lblAlgn val="ctr"/>
        <c:lblOffset val="100"/>
        <c:noMultiLvlLbl val="0"/>
      </c:catAx>
      <c:valAx>
        <c:axId val="115027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8687"/>
        <c:crosses val="autoZero"/>
        <c:crossBetween val="between"/>
      </c:valAx>
      <c:serAx>
        <c:axId val="562208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77247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87426335208275"/>
          <c:y val="0.11407402478233156"/>
          <c:w val="0.10251967688541502"/>
          <c:h val="0.7318202195246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 preprocessed data.xlsx]PivotTable - Quarter Analysis!PivotTable6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'PivotTable - Quarter Analysis'!$C$94:$C$95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Analysis'!$C$96:$C$107</c:f>
              <c:numCache>
                <c:formatCode>General</c:formatCode>
                <c:ptCount val="8"/>
                <c:pt idx="1">
                  <c:v>37.525483842116572</c:v>
                </c:pt>
                <c:pt idx="2">
                  <c:v>11.545725028106608</c:v>
                </c:pt>
                <c:pt idx="3">
                  <c:v>12.872112593090465</c:v>
                </c:pt>
                <c:pt idx="4">
                  <c:v>11.213796121656655</c:v>
                </c:pt>
                <c:pt idx="6">
                  <c:v>3.9820720720720719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9-4BD6-AA8C-474D824EA451}"/>
            </c:ext>
          </c:extLst>
        </c:ser>
        <c:ser>
          <c:idx val="1"/>
          <c:order val="1"/>
          <c:tx>
            <c:strRef>
              <c:f>'PivotTable - Quarter Analysis'!$D$94:$D$95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Analysis'!$D$96:$D$107</c:f>
              <c:numCache>
                <c:formatCode>General</c:formatCode>
                <c:ptCount val="8"/>
                <c:pt idx="1">
                  <c:v>12.299932272776608</c:v>
                </c:pt>
                <c:pt idx="2">
                  <c:v>36.05801531163263</c:v>
                </c:pt>
                <c:pt idx="3">
                  <c:v>12.381239889981254</c:v>
                </c:pt>
                <c:pt idx="4">
                  <c:v>50.868942289472223</c:v>
                </c:pt>
                <c:pt idx="5">
                  <c:v>5.7704878048780488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DAF-4F49-844F-908C2964B797}"/>
            </c:ext>
          </c:extLst>
        </c:ser>
        <c:ser>
          <c:idx val="2"/>
          <c:order val="2"/>
          <c:tx>
            <c:strRef>
              <c:f>'PivotTable - Quarter Analysis'!$E$94:$E$95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Analysis'!$E$96:$E$107</c:f>
              <c:numCache>
                <c:formatCode>General</c:formatCode>
                <c:ptCount val="8"/>
                <c:pt idx="1">
                  <c:v>11.6945046293955</c:v>
                </c:pt>
                <c:pt idx="2">
                  <c:v>11.559530769979631</c:v>
                </c:pt>
                <c:pt idx="3">
                  <c:v>13.188605902060695</c:v>
                </c:pt>
                <c:pt idx="4">
                  <c:v>13.061214339732445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AF-4F49-844F-908C2964B797}"/>
            </c:ext>
          </c:extLst>
        </c:ser>
        <c:ser>
          <c:idx val="3"/>
          <c:order val="3"/>
          <c:tx>
            <c:strRef>
              <c:f>'PivotTable - Quarter Analysis'!$F$94:$F$95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Analysis'!$F$96:$F$107</c:f>
              <c:numCache>
                <c:formatCode>General</c:formatCode>
                <c:ptCount val="8"/>
                <c:pt idx="1">
                  <c:v>10.881565644280721</c:v>
                </c:pt>
                <c:pt idx="2">
                  <c:v>11.57894805606341</c:v>
                </c:pt>
                <c:pt idx="3">
                  <c:v>11.22682522171511</c:v>
                </c:pt>
                <c:pt idx="4">
                  <c:v>11.663194702967786</c:v>
                </c:pt>
                <c:pt idx="5">
                  <c:v>5.8558823529411761</c:v>
                </c:pt>
                <c:pt idx="7">
                  <c:v>8.1392753623188412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DAF-4F49-844F-908C2964B797}"/>
            </c:ext>
          </c:extLst>
        </c:ser>
        <c:ser>
          <c:idx val="4"/>
          <c:order val="4"/>
          <c:tx>
            <c:strRef>
              <c:f>'PivotTable - Quarter Analysis'!$G$94:$G$95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Analysis'!$G$96:$G$107</c:f>
              <c:numCache>
                <c:formatCode>General</c:formatCode>
                <c:ptCount val="8"/>
                <c:pt idx="0">
                  <c:v>7.1224324324324328</c:v>
                </c:pt>
                <c:pt idx="1">
                  <c:v>12.007718083346814</c:v>
                </c:pt>
                <c:pt idx="2">
                  <c:v>11.818776662953315</c:v>
                </c:pt>
                <c:pt idx="3">
                  <c:v>11.561653767670109</c:v>
                </c:pt>
                <c:pt idx="4">
                  <c:v>12.053504095751284</c:v>
                </c:pt>
                <c:pt idx="6">
                  <c:v>14.456250000000001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DAF-4F49-844F-908C2964B797}"/>
            </c:ext>
          </c:extLst>
        </c:ser>
        <c:ser>
          <c:idx val="5"/>
          <c:order val="5"/>
          <c:tx>
            <c:strRef>
              <c:f>'PivotTable - Quarter Analysis'!$H$94:$H$95</c:f>
              <c:strCache>
                <c:ptCount val="1"/>
                <c:pt idx="0">
                  <c:v>Not specified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'PivotTable - Quarter Analysis'!$B$96:$B$107</c:f>
              <c:multiLvlStrCache>
                <c:ptCount val="8"/>
                <c:lvl>
                  <c:pt idx="0">
                    <c:v>Q2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'PivotTable - Quarter Analysis'!$H$96:$H$107</c:f>
              <c:numCache>
                <c:formatCode>General</c:formatCode>
                <c:ptCount val="8"/>
                <c:pt idx="1">
                  <c:v>96.528098140688641</c:v>
                </c:pt>
                <c:pt idx="2">
                  <c:v>11.398740537091097</c:v>
                </c:pt>
                <c:pt idx="3">
                  <c:v>10.675782405776017</c:v>
                </c:pt>
                <c:pt idx="4">
                  <c:v>9.8059996418895992</c:v>
                </c:pt>
                <c:pt idx="7">
                  <c:v>9.8956209150326799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AF-4F49-844F-908C2964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0248927"/>
        <c:axId val="1150264287"/>
        <c:axId val="0"/>
      </c:bar3DChart>
      <c:catAx>
        <c:axId val="115024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64287"/>
        <c:crosses val="autoZero"/>
        <c:auto val="1"/>
        <c:lblAlgn val="ctr"/>
        <c:lblOffset val="100"/>
        <c:noMultiLvlLbl val="0"/>
      </c:catAx>
      <c:valAx>
        <c:axId val="115026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24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266698</xdr:colOff>
      <xdr:row>0</xdr:row>
      <xdr:rowOff>171451</xdr:rowOff>
    </xdr:from>
    <xdr:to>
      <xdr:col>11</xdr:col>
      <xdr:colOff>1066799</xdr:colOff>
      <xdr:row>18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1791B3-9AF3-A43E-8B63-AC0393E38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277584</xdr:colOff>
      <xdr:row>20</xdr:row>
      <xdr:rowOff>9524</xdr:rowOff>
    </xdr:from>
    <xdr:to>
      <xdr:col>11</xdr:col>
      <xdr:colOff>1095375</xdr:colOff>
      <xdr:row>37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0D8CC3-A04F-B14C-2E47-683E8D923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277585</xdr:colOff>
      <xdr:row>37</xdr:row>
      <xdr:rowOff>152400</xdr:rowOff>
    </xdr:from>
    <xdr:to>
      <xdr:col>11</xdr:col>
      <xdr:colOff>1114425</xdr:colOff>
      <xdr:row>54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B44454-D1BF-EAE3-6E07-A693BAFA9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277585</xdr:colOff>
      <xdr:row>56</xdr:row>
      <xdr:rowOff>19049</xdr:rowOff>
    </xdr:from>
    <xdr:to>
      <xdr:col>11</xdr:col>
      <xdr:colOff>1114425</xdr:colOff>
      <xdr:row>72</xdr:row>
      <xdr:rowOff>167367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04CDE4-3A41-4CA9-4E04-ECDF8C364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289832</xdr:colOff>
      <xdr:row>74</xdr:row>
      <xdr:rowOff>1361</xdr:rowOff>
    </xdr:from>
    <xdr:to>
      <xdr:col>11</xdr:col>
      <xdr:colOff>1095375</xdr:colOff>
      <xdr:row>90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24EAAC-8326-5F79-AF73-78BCD354E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508637</xdr:colOff>
      <xdr:row>2</xdr:row>
      <xdr:rowOff>45720</xdr:rowOff>
    </xdr:from>
    <xdr:to>
      <xdr:col>14</xdr:col>
      <xdr:colOff>647700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2AA3D-EC16-B8A0-5960-021D3F12B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</xdr:colOff>
      <xdr:row>16</xdr:row>
      <xdr:rowOff>80010</xdr:rowOff>
    </xdr:from>
    <xdr:to>
      <xdr:col>13</xdr:col>
      <xdr:colOff>737235</xdr:colOff>
      <xdr:row>29</xdr:row>
      <xdr:rowOff>131445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80792-B7AA-E2B8-BD6D-464C95DE4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</xdr:colOff>
      <xdr:row>31</xdr:row>
      <xdr:rowOff>76200</xdr:rowOff>
    </xdr:from>
    <xdr:to>
      <xdr:col>13</xdr:col>
      <xdr:colOff>704850</xdr:colOff>
      <xdr:row>45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28BF0-46F6-A96C-7B28-C284E4226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</xdr:colOff>
      <xdr:row>47</xdr:row>
      <xdr:rowOff>7620</xdr:rowOff>
    </xdr:from>
    <xdr:to>
      <xdr:col>13</xdr:col>
      <xdr:colOff>390525</xdr:colOff>
      <xdr:row>60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64448-5757-0AFB-0C1B-DB01DF2A9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26670</xdr:colOff>
      <xdr:row>62</xdr:row>
      <xdr:rowOff>11430</xdr:rowOff>
    </xdr:from>
    <xdr:to>
      <xdr:col>13</xdr:col>
      <xdr:colOff>390525</xdr:colOff>
      <xdr:row>75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1A7763-72B6-2927-356F-D7E2E1235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</xdr:colOff>
      <xdr:row>1</xdr:row>
      <xdr:rowOff>21771</xdr:rowOff>
    </xdr:from>
    <xdr:to>
      <xdr:col>20</xdr:col>
      <xdr:colOff>435432</xdr:colOff>
      <xdr:row>17</xdr:row>
      <xdr:rowOff>148773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BE665-24B4-EAF9-91FC-B9DA0CA74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1033678</xdr:colOff>
      <xdr:row>20</xdr:row>
      <xdr:rowOff>155120</xdr:rowOff>
    </xdr:from>
    <xdr:to>
      <xdr:col>20</xdr:col>
      <xdr:colOff>435434</xdr:colOff>
      <xdr:row>36</xdr:row>
      <xdr:rowOff>144235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8B390C-FF17-657A-545F-108BFFD09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10883</xdr:colOff>
      <xdr:row>39</xdr:row>
      <xdr:rowOff>10884</xdr:rowOff>
    </xdr:from>
    <xdr:to>
      <xdr:col>20</xdr:col>
      <xdr:colOff>457197</xdr:colOff>
      <xdr:row>52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084D1-4567-2F3F-6572-5FC2D8C8F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1043104</xdr:colOff>
      <xdr:row>57</xdr:row>
      <xdr:rowOff>10887</xdr:rowOff>
    </xdr:from>
    <xdr:to>
      <xdr:col>20</xdr:col>
      <xdr:colOff>457196</xdr:colOff>
      <xdr:row>71</xdr:row>
      <xdr:rowOff>10887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99A1A9-4FBE-5D00-91E3-17AC131C3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21769</xdr:colOff>
      <xdr:row>74</xdr:row>
      <xdr:rowOff>29450</xdr:rowOff>
    </xdr:from>
    <xdr:to>
      <xdr:col>20</xdr:col>
      <xdr:colOff>555171</xdr:colOff>
      <xdr:row>89</xdr:row>
      <xdr:rowOff>108853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019F9D-3850-8BF7-5802-111C5300F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17924</xdr:colOff>
      <xdr:row>92</xdr:row>
      <xdr:rowOff>19847</xdr:rowOff>
    </xdr:from>
    <xdr:to>
      <xdr:col>20</xdr:col>
      <xdr:colOff>533395</xdr:colOff>
      <xdr:row>110</xdr:row>
      <xdr:rowOff>97971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012D5E-68B7-E031-3D68-89861914C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isha Saranga" refreshedDate="46280.166289120367" createdVersion="8" refreshedVersion="8" minRefreshableVersion="3" recordCount="2001" xr:uid="{C50787E9-6EB9-42E8-9571-9770E4265152}">
  <cacheSource type="worksheet">
    <worksheetSource ref="A1:U2002" sheet="Marketing_campaign_data"/>
  </cacheSource>
  <cacheFields count="21">
    <cacheField name=" Campaign_ID " numFmtId="0">
      <sharedItems/>
    </cacheField>
    <cacheField name="Campaign_Name" numFmtId="0">
      <sharedItems/>
    </cacheField>
    <cacheField name="Quarter_No" numFmtId="0">
      <sharedItems count="4">
        <s v="Q2"/>
        <s v="Q3"/>
        <s v="Q4"/>
        <s v="Q1"/>
      </sharedItems>
    </cacheField>
    <cacheField name="Compaign Theme" numFmtId="0">
      <sharedItems/>
    </cacheField>
    <cacheField name="Start Date" numFmtId="14">
      <sharedItems containsSemiMixedTypes="0" containsNonDate="0" containsDate="1" containsString="0" minDate="2022-12-31T00:00:00" maxDate="2024-01-02T00:00:00"/>
    </cacheField>
    <cacheField name="End Date" numFmtId="14">
      <sharedItems containsSemiMixedTypes="0" containsNonDate="0" containsDate="1" containsString="0" minDate="2023-01-05T00:00:00" maxDate="2024-01-31T00:00:00"/>
    </cacheField>
    <cacheField name="Channel" numFmtId="0">
      <sharedItems count="7">
        <s v="TikTok"/>
        <s v="Email"/>
        <s v="Instagram"/>
        <s v="Facebook"/>
        <s v="Google Ads"/>
        <s v="Not specified"/>
        <s v="Unknown" u="1"/>
      </sharedItems>
    </cacheField>
    <cacheField name="Impressions" numFmtId="0">
      <sharedItems containsSemiMixedTypes="0" containsString="0" containsNumber="1" containsInteger="1" minValue="1055" maxValue="99875"/>
    </cacheField>
    <cacheField name="Clicks " numFmtId="0">
      <sharedItems containsSemiMixedTypes="0" containsString="0" containsNumber="1" containsInteger="1" minValue="11" maxValue="4812"/>
    </cacheField>
    <cacheField name="Spend" numFmtId="164">
      <sharedItems containsSemiMixedTypes="0" containsString="0" containsNumber="1" minValue="10.01" maxValue="500000"/>
    </cacheField>
    <cacheField name="Conversions" numFmtId="0">
      <sharedItems containsSemiMixedTypes="0" containsString="0" containsNumber="1" containsInteger="1" minValue="0" maxValue="943"/>
    </cacheField>
    <cacheField name="Active" numFmtId="0">
      <sharedItems/>
    </cacheField>
    <cacheField name="Campaign_Tag" numFmtId="0">
      <sharedItems/>
    </cacheField>
    <cacheField name="Campaign_Duration_Days" numFmtId="0">
      <sharedItems containsSemiMixedTypes="0" containsString="0" containsNumber="1" containsInteger="1" minValue="1" maxValue="294"/>
    </cacheField>
    <cacheField name="CTR" numFmtId="10">
      <sharedItems containsSemiMixedTypes="0" containsString="0" containsNumber="1" minValue="9.8397526005060444E-3" maxValue="4.997983727494841E-2"/>
    </cacheField>
    <cacheField name="Conversion_Rate" numFmtId="10">
      <sharedItems containsSemiMixedTypes="0" containsString="0" containsNumber="1" minValue="0" maxValue="0.19972640218878249"/>
    </cacheField>
    <cacheField name="Cost_Per_Click" numFmtId="164">
      <sharedItems containsSemiMixedTypes="0" containsString="0" containsNumber="1" minValue="0.50027840481565089" maxValue="2590.6735751295337"/>
    </cacheField>
    <cacheField name="Cost_Per_Conversion" numFmtId="164">
      <sharedItems containsMixedTypes="1" containsNumber="1" minValue="2.6164465408805029" maxValue="3125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 Month_Name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CMP-01347"/>
    <s v="Q2_Winstagramter_CMP-01347"/>
    <x v="0"/>
    <s v="Winstagramter"/>
    <d v="2022-12-31T00:00:00"/>
    <d v="2023-05-01T00:00:00"/>
    <x v="0"/>
    <n v="61500"/>
    <n v="824"/>
    <n v="790.59"/>
    <n v="111"/>
    <s v="Yes"/>
    <s v="TikTok"/>
    <n v="121"/>
    <n v="1.3398373983739838E-2"/>
    <n v="0.13470873786407767"/>
    <n v="0.95945388349514571"/>
    <n v="7.1224324324324328"/>
    <n v="12"/>
    <x v="0"/>
    <s v="December"/>
  </r>
  <r>
    <s v="CMP-00152"/>
    <s v="Q3_BlackFriday_CMP-00152"/>
    <x v="1"/>
    <s v="BlackFriday"/>
    <d v="2023-01-01T00:00:00"/>
    <d v="2023-01-29T00:00:00"/>
    <x v="1"/>
    <n v="57044"/>
    <n v="2553"/>
    <n v="4652.6499999999996"/>
    <n v="180"/>
    <s v="Yes"/>
    <s v="Email"/>
    <n v="28"/>
    <n v="4.4754926022018089E-2"/>
    <n v="7.0505287896592245E-2"/>
    <n v="1.8224245985115548"/>
    <n v="25.848055555555554"/>
    <n v="1"/>
    <x v="1"/>
    <s v="January"/>
  </r>
  <r>
    <s v="CMP-00287"/>
    <s v="Q3_Winstagramter_CMP-00287"/>
    <x v="1"/>
    <s v="Winstagramter"/>
    <d v="2023-01-01T00:00:00"/>
    <d v="2023-01-06T00:00:00"/>
    <x v="2"/>
    <n v="8400"/>
    <n v="147"/>
    <n v="270.62"/>
    <n v="10"/>
    <s v="Yes"/>
    <s v="IG"/>
    <n v="5"/>
    <n v="1.7500000000000002E-2"/>
    <n v="6.8027210884353748E-2"/>
    <n v="1.8409523809523809"/>
    <n v="27.062000000000001"/>
    <n v="1"/>
    <x v="1"/>
    <s v="January"/>
  </r>
  <r>
    <s v="CMP-00988"/>
    <s v="Q3_BlackFriday_CMP-00988"/>
    <x v="1"/>
    <s v="BlackFriday"/>
    <d v="2023-01-01T00:00:00"/>
    <d v="2023-01-24T00:00:00"/>
    <x v="2"/>
    <n v="73274"/>
    <n v="3456"/>
    <n v="3771.2"/>
    <n v="273"/>
    <s v="No"/>
    <s v="IG"/>
    <n v="23"/>
    <n v="4.7165433851024917E-2"/>
    <n v="7.8993055555555552E-2"/>
    <n v="1.0912037037037037"/>
    <n v="13.813919413919413"/>
    <n v="1"/>
    <x v="1"/>
    <s v="January"/>
  </r>
  <r>
    <s v="CMP-01062"/>
    <s v="Q3_BlackFriday_CMP-01062"/>
    <x v="1"/>
    <s v="BlackFriday"/>
    <d v="2023-01-01T00:00:00"/>
    <d v="2023-01-11T00:00:00"/>
    <x v="0"/>
    <n v="9512"/>
    <n v="295"/>
    <n v="511.39"/>
    <n v="33"/>
    <s v="Yes"/>
    <s v="TikTok"/>
    <n v="10"/>
    <n v="3.1013456686291001E-2"/>
    <n v="0.11186440677966102"/>
    <n v="1.7335254237288136"/>
    <n v="15.496666666666666"/>
    <n v="1"/>
    <x v="1"/>
    <s v="January"/>
  </r>
  <r>
    <s v="CMP-01352"/>
    <s v="Q3_Winstagramter_CMP-01352"/>
    <x v="1"/>
    <s v="Winstagramter"/>
    <d v="2023-01-01T00:00:00"/>
    <d v="2023-01-05T00:00:00"/>
    <x v="0"/>
    <n v="14859"/>
    <n v="471"/>
    <n v="400.17"/>
    <n v="41"/>
    <s v="No"/>
    <s v="TikTok"/>
    <n v="4"/>
    <n v="3.1697960831819097E-2"/>
    <n v="8.7048832271762203E-2"/>
    <n v="0.84961783439490446"/>
    <n v="9.760243902439024"/>
    <n v="1"/>
    <x v="1"/>
    <s v="January"/>
  </r>
  <r>
    <s v="CMP-00049"/>
    <s v="Q4_Winstagramter_CMP-00049"/>
    <x v="2"/>
    <s v="Winstagramter"/>
    <d v="2023-01-01T00:00:00"/>
    <d v="2023-01-17T00:00:00"/>
    <x v="3"/>
    <n v="44001"/>
    <n v="1483"/>
    <n v="2928.86"/>
    <n v="0"/>
    <s v="No"/>
    <s v="FB"/>
    <n v="16"/>
    <n v="3.3703779459557735E-2"/>
    <n v="0"/>
    <n v="1.974956169925826"/>
    <s v="0"/>
    <n v="1"/>
    <x v="1"/>
    <s v="January"/>
  </r>
  <r>
    <s v="CMP-00260"/>
    <s v="Q2_BlackFriday_CMP-00260"/>
    <x v="0"/>
    <s v="BlackFriday"/>
    <d v="2023-01-02T00:00:00"/>
    <d v="2023-01-13T00:00:00"/>
    <x v="2"/>
    <n v="84879"/>
    <n v="2351"/>
    <n v="2987.59"/>
    <n v="0"/>
    <s v="No"/>
    <s v="IG"/>
    <n v="11"/>
    <n v="2.7698252806936934E-2"/>
    <n v="0"/>
    <n v="1.2707741386643983"/>
    <s v="0"/>
    <n v="1"/>
    <x v="1"/>
    <s v="January"/>
  </r>
  <r>
    <s v="CMP-01170"/>
    <s v="Q3_BlackFriday_CMP-01170"/>
    <x v="1"/>
    <s v="BlackFriday"/>
    <d v="2023-01-02T00:00:00"/>
    <d v="2023-01-11T00:00:00"/>
    <x v="3"/>
    <n v="85291"/>
    <n v="3904"/>
    <n v="3810.14"/>
    <n v="280"/>
    <s v="Yes"/>
    <s v="FB"/>
    <n v="9"/>
    <n v="4.5772707554138183E-2"/>
    <n v="7.1721311475409832E-2"/>
    <n v="0.97595799180327869"/>
    <n v="13.607642857142856"/>
    <n v="1"/>
    <x v="1"/>
    <s v="January"/>
  </r>
  <r>
    <s v="CMP-00745"/>
    <s v="Q4_Winstagramter_CMP-00745"/>
    <x v="2"/>
    <s v="Winstagramter"/>
    <d v="2023-01-02T00:00:00"/>
    <d v="2023-01-15T00:00:00"/>
    <x v="1"/>
    <n v="30703"/>
    <n v="462"/>
    <n v="885.14"/>
    <n v="34"/>
    <s v="No"/>
    <s v="Email"/>
    <n v="13"/>
    <n v="1.5047389505911474E-2"/>
    <n v="7.3593073593073599E-2"/>
    <n v="1.9158874458874458"/>
    <n v="26.033529411764704"/>
    <n v="1"/>
    <x v="1"/>
    <s v="January"/>
  </r>
  <r>
    <s v="CMP-00164"/>
    <s v="Q1_Launch_CMP-00164"/>
    <x v="3"/>
    <s v="Launch"/>
    <d v="2023-01-03T00:00:00"/>
    <d v="2023-01-19T00:00:00"/>
    <x v="4"/>
    <n v="50080"/>
    <n v="1391"/>
    <n v="1981.44"/>
    <n v="159"/>
    <s v="Yes"/>
    <s v="Google Ads"/>
    <n v="16"/>
    <n v="2.7775559105431311E-2"/>
    <n v="0.11430625449317038"/>
    <n v="1.4244716031631919"/>
    <n v="12.46188679245283"/>
    <n v="1"/>
    <x v="1"/>
    <s v="January"/>
  </r>
  <r>
    <s v="CMP-01411"/>
    <s v="Q3_BlackFriday_CMP-01411"/>
    <x v="1"/>
    <s v="BlackFriday"/>
    <d v="2023-01-03T00:00:00"/>
    <d v="2023-01-29T00:00:00"/>
    <x v="2"/>
    <n v="62396"/>
    <n v="2024"/>
    <n v="3270.87"/>
    <n v="235"/>
    <s v="Yes"/>
    <s v="IG"/>
    <n v="26"/>
    <n v="3.2437976793384192E-2"/>
    <n v="0.11610671936758893"/>
    <n v="1.616042490118577"/>
    <n v="13.91859574468085"/>
    <n v="1"/>
    <x v="1"/>
    <s v="January"/>
  </r>
  <r>
    <s v="CMP-01893"/>
    <s v="Q4_BlackFriday_CMP-01893"/>
    <x v="2"/>
    <s v="BlackFriday"/>
    <d v="2023-01-03T00:00:00"/>
    <d v="2023-01-10T00:00:00"/>
    <x v="2"/>
    <n v="75744"/>
    <n v="1656"/>
    <n v="1546.48"/>
    <n v="324"/>
    <s v="Yes"/>
    <s v="IG"/>
    <n v="7"/>
    <n v="2.1863117870722433E-2"/>
    <n v="0.19565217391304349"/>
    <n v="0.93386473429951689"/>
    <n v="4.7730864197530867"/>
    <n v="1"/>
    <x v="1"/>
    <s v="January"/>
  </r>
  <r>
    <s v="CMP-01445"/>
    <s v="Q1_Launch_CMP-01445"/>
    <x v="3"/>
    <s v="Launch"/>
    <d v="2023-01-04T00:00:00"/>
    <d v="2023-01-18T00:00:00"/>
    <x v="0"/>
    <n v="29769"/>
    <n v="1203"/>
    <n v="821.43"/>
    <n v="69"/>
    <s v="Yes"/>
    <s v="TikTok"/>
    <n v="14"/>
    <n v="4.0411165978030836E-2"/>
    <n v="5.7356608478802994E-2"/>
    <n v="0.68281795511221943"/>
    <n v="11.904782608695651"/>
    <n v="1"/>
    <x v="1"/>
    <s v="January"/>
  </r>
  <r>
    <s v="CMP-01546"/>
    <s v="Q1_BlackFriday_CMP-01546"/>
    <x v="3"/>
    <s v="BlackFriday"/>
    <d v="2023-01-04T00:00:00"/>
    <d v="2023-01-25T00:00:00"/>
    <x v="3"/>
    <n v="90613"/>
    <n v="3672"/>
    <n v="5458.97"/>
    <n v="364"/>
    <s v="No"/>
    <s v="FB"/>
    <n v="21"/>
    <n v="4.0523986624435786E-2"/>
    <n v="9.9128540305010893E-2"/>
    <n v="1.4866476034858389"/>
    <n v="14.997170329670331"/>
    <n v="1"/>
    <x v="1"/>
    <s v="January"/>
  </r>
  <r>
    <s v="CMP-01764"/>
    <s v="Q1_Winstagramter_CMP-01764"/>
    <x v="3"/>
    <s v="Winstagramter"/>
    <d v="2023-01-04T00:00:00"/>
    <d v="2023-01-13T00:00:00"/>
    <x v="0"/>
    <n v="73545"/>
    <n v="1384"/>
    <n v="1574.2"/>
    <n v="226"/>
    <s v="Yes"/>
    <s v="TikTok"/>
    <n v="9"/>
    <n v="1.8818410496974643E-2"/>
    <n v="0.16329479768786126"/>
    <n v="1.1374277456647399"/>
    <n v="6.965486725663717"/>
    <n v="1"/>
    <x v="1"/>
    <s v="January"/>
  </r>
  <r>
    <s v="CMP-01896"/>
    <s v="Q1_Summer_CMP-01896"/>
    <x v="3"/>
    <s v="Summer"/>
    <d v="2023-01-04T00:00:00"/>
    <d v="2023-01-31T00:00:00"/>
    <x v="4"/>
    <n v="55615"/>
    <n v="1477"/>
    <n v="1000.46"/>
    <n v="288"/>
    <s v="Yes"/>
    <s v="Google Ads"/>
    <n v="27"/>
    <n v="2.6557583385777218E-2"/>
    <n v="0.19498984427894381"/>
    <n v="0.67735951252538928"/>
    <n v="3.4738194444444446"/>
    <n v="1"/>
    <x v="1"/>
    <s v="January"/>
  </r>
  <r>
    <s v="CMP-00721"/>
    <s v="Q2_Launch_CMP-00721"/>
    <x v="0"/>
    <s v="Launch"/>
    <d v="2023-01-04T00:00:00"/>
    <d v="2023-01-21T00:00:00"/>
    <x v="5"/>
    <n v="62642"/>
    <n v="2162"/>
    <n v="3172.28"/>
    <n v="170"/>
    <s v="Yes"/>
    <s v="Not specified"/>
    <n v="17"/>
    <n v="3.4513585134574247E-2"/>
    <n v="7.8630897317298803E-2"/>
    <n v="1.4672895467160039"/>
    <n v="18.660470588235295"/>
    <n v="1"/>
    <x v="1"/>
    <s v="January"/>
  </r>
  <r>
    <s v="CMP-01545"/>
    <s v="Q3_Winstagramter_CMP-01545"/>
    <x v="1"/>
    <s v="Winstagramter"/>
    <d v="2023-01-04T00:00:00"/>
    <d v="2023-01-23T00:00:00"/>
    <x v="2"/>
    <n v="88312"/>
    <n v="2299"/>
    <n v="4486.76"/>
    <n v="0"/>
    <s v="No"/>
    <s v="IG"/>
    <n v="19"/>
    <n v="2.6032702237521514E-2"/>
    <n v="0"/>
    <n v="1.9516137451065683"/>
    <s v="0"/>
    <n v="1"/>
    <x v="1"/>
    <s v="January"/>
  </r>
  <r>
    <s v="CMP-00813"/>
    <s v="Q4_Winstagramter_CMP-00813"/>
    <x v="2"/>
    <s v="Winstagramter"/>
    <d v="2023-01-04T00:00:00"/>
    <d v="2023-01-24T00:00:00"/>
    <x v="1"/>
    <n v="33201"/>
    <n v="1551"/>
    <n v="1069.27"/>
    <n v="187"/>
    <s v="Yes"/>
    <s v="Email"/>
    <n v="20"/>
    <n v="4.6715460377699469E-2"/>
    <n v="0.12056737588652482"/>
    <n v="0.68940683430045135"/>
    <n v="5.7180213903743313"/>
    <n v="1"/>
    <x v="1"/>
    <s v="January"/>
  </r>
  <r>
    <s v="CMP-00646"/>
    <s v="Q2_Summer_CMP-00646"/>
    <x v="0"/>
    <s v="Summer"/>
    <d v="2023-01-05T00:00:00"/>
    <d v="2023-01-23T00:00:00"/>
    <x v="3"/>
    <n v="39102"/>
    <n v="1845"/>
    <n v="2489.1"/>
    <n v="133"/>
    <s v="Yes"/>
    <s v="FB"/>
    <n v="18"/>
    <n v="4.718428724873408E-2"/>
    <n v="7.2086720867208673E-2"/>
    <n v="1.3491056910569106"/>
    <n v="18.715037593984963"/>
    <n v="1"/>
    <x v="1"/>
    <s v="January"/>
  </r>
  <r>
    <s v="CMP-01236"/>
    <s v="Q2_Winstagramter_CMP-01236"/>
    <x v="0"/>
    <s v="Winstagramter"/>
    <d v="2023-01-05T00:00:00"/>
    <d v="2023-01-12T00:00:00"/>
    <x v="4"/>
    <n v="74509"/>
    <n v="2861"/>
    <n v="2802.68"/>
    <n v="433"/>
    <s v="Yes"/>
    <s v="Google Ads"/>
    <n v="7"/>
    <n v="3.839804587365285E-2"/>
    <n v="0.15134568332750786"/>
    <n v="0.97961551904928346"/>
    <n v="6.47270207852194"/>
    <n v="1"/>
    <x v="1"/>
    <s v="January"/>
  </r>
  <r>
    <s v="CMP-00990"/>
    <s v="Q3_Summer_CMP-00990"/>
    <x v="1"/>
    <s v="Summer"/>
    <d v="2023-01-05T00:00:00"/>
    <d v="2023-01-26T00:00:00"/>
    <x v="1"/>
    <n v="61004"/>
    <n v="1561"/>
    <n v="2657.64"/>
    <n v="151"/>
    <s v="No"/>
    <s v="Email"/>
    <n v="21"/>
    <n v="2.5588486000917971E-2"/>
    <n v="9.673286354900705E-2"/>
    <n v="1.7025240230621397"/>
    <n v="17.60026490066225"/>
    <n v="1"/>
    <x v="1"/>
    <s v="January"/>
  </r>
  <r>
    <s v="CMP-01055"/>
    <s v="Q3_Launch_CMP-01055"/>
    <x v="1"/>
    <s v="Launch"/>
    <d v="2023-01-05T00:00:00"/>
    <d v="2023-01-09T00:00:00"/>
    <x v="4"/>
    <n v="83180"/>
    <n v="3358"/>
    <n v="4300.5"/>
    <n v="493"/>
    <s v="Yes"/>
    <s v="Google Ads"/>
    <n v="4"/>
    <n v="4.0370281317624428E-2"/>
    <n v="0.14681357951161406"/>
    <n v="1.2806730196545564"/>
    <n v="8.7231237322515209"/>
    <n v="1"/>
    <x v="1"/>
    <s v="January"/>
  </r>
  <r>
    <s v="CMP-00115"/>
    <s v="Q4_BlackFriday_CMP-00115"/>
    <x v="2"/>
    <s v="BlackFriday"/>
    <d v="2023-01-05T00:00:00"/>
    <d v="2023-02-01T00:00:00"/>
    <x v="3"/>
    <n v="65505"/>
    <n v="1064"/>
    <n v="1280.98"/>
    <n v="161"/>
    <s v="Yes"/>
    <s v="FB"/>
    <n v="27"/>
    <n v="1.6243034882833372E-2"/>
    <n v="0.15131578947368421"/>
    <n v="1.2039285714285715"/>
    <n v="7.95639751552795"/>
    <n v="1"/>
    <x v="1"/>
    <s v="January"/>
  </r>
  <r>
    <s v="CMP-01342"/>
    <s v="Q2_Summer_CMP-01342"/>
    <x v="0"/>
    <s v="Summer"/>
    <d v="2023-01-06T00:00:00"/>
    <d v="2023-01-12T00:00:00"/>
    <x v="3"/>
    <n v="48057"/>
    <n v="2354"/>
    <n v="4433.26"/>
    <n v="216"/>
    <s v="No"/>
    <s v="FB"/>
    <n v="6"/>
    <n v="4.8983498761886929E-2"/>
    <n v="9.1758708581138493E-2"/>
    <n v="1.8832880203908242"/>
    <n v="20.524351851851854"/>
    <n v="1"/>
    <x v="1"/>
    <s v="January"/>
  </r>
  <r>
    <s v="CMP-00899"/>
    <s v="Q3_Winstagramter_CMP-00899"/>
    <x v="1"/>
    <s v="Winstagramter"/>
    <d v="2023-01-06T00:00:00"/>
    <d v="2023-01-07T00:00:00"/>
    <x v="1"/>
    <n v="25071"/>
    <n v="1077"/>
    <n v="659.08"/>
    <n v="208"/>
    <s v="Yes"/>
    <s v="Email"/>
    <n v="1"/>
    <n v="4.2957999282039007E-2"/>
    <n v="0.19312906220984216"/>
    <n v="0.61195914577530175"/>
    <n v="3.1686538461538465"/>
    <n v="1"/>
    <x v="1"/>
    <s v="January"/>
  </r>
  <r>
    <s v="CMP-00040"/>
    <s v="Q4_BlackFriday_CMP-00040"/>
    <x v="2"/>
    <s v="BlackFriday"/>
    <d v="2023-01-06T00:00:00"/>
    <d v="2023-01-26T00:00:00"/>
    <x v="1"/>
    <n v="70092"/>
    <n v="2388"/>
    <n v="4152.4399999999996"/>
    <n v="424"/>
    <s v="No"/>
    <s v="Email"/>
    <n v="20"/>
    <n v="3.4069508645779831E-2"/>
    <n v="0.17755443886097153"/>
    <n v="1.7388777219430485"/>
    <n v="9.7934905660377343"/>
    <n v="1"/>
    <x v="1"/>
    <s v="January"/>
  </r>
  <r>
    <s v="CMP-01781"/>
    <s v="Q4_BlackFriday_CMP-01781"/>
    <x v="2"/>
    <s v="BlackFriday"/>
    <d v="2023-01-06T00:00:00"/>
    <d v="2023-02-05T00:00:00"/>
    <x v="1"/>
    <n v="27660"/>
    <n v="530"/>
    <n v="1054.6500000000001"/>
    <n v="103"/>
    <s v="No"/>
    <s v="Email"/>
    <n v="30"/>
    <n v="1.9161243673174257E-2"/>
    <n v="0.19433962264150945"/>
    <n v="1.9899056603773586"/>
    <n v="10.239320388349515"/>
    <n v="1"/>
    <x v="1"/>
    <s v="January"/>
  </r>
  <r>
    <s v="CMP-01927"/>
    <s v="Q4_Launch_CMP-01927"/>
    <x v="2"/>
    <s v="Launch"/>
    <d v="2023-01-06T00:00:00"/>
    <d v="2023-02-04T00:00:00"/>
    <x v="1"/>
    <n v="49787"/>
    <n v="1372"/>
    <n v="2737.43"/>
    <n v="149"/>
    <s v="Yes"/>
    <s v="Email"/>
    <n v="29"/>
    <n v="2.755739450057244E-2"/>
    <n v="0.10860058309037901"/>
    <n v="1.9952113702623906"/>
    <n v="18.372013422818792"/>
    <n v="1"/>
    <x v="1"/>
    <s v="January"/>
  </r>
  <r>
    <s v="CMP-00201"/>
    <s v="Q3_BlackFriday_CMP-00201"/>
    <x v="1"/>
    <s v="BlackFriday"/>
    <d v="2023-01-06T00:00:00"/>
    <d v="2023-01-11T00:00:00"/>
    <x v="2"/>
    <n v="69840"/>
    <n v="2185"/>
    <n v="1467.55"/>
    <n v="272"/>
    <s v="Yes"/>
    <s v="IG"/>
    <n v="5"/>
    <n v="3.1285796105383734E-2"/>
    <n v="0.12448512585812357"/>
    <n v="0.67164759725400458"/>
    <n v="5.395404411764706"/>
    <n v="1"/>
    <x v="1"/>
    <s v="January"/>
  </r>
  <r>
    <s v="CMP-01612"/>
    <s v="Q1_Launch_CMP-01612"/>
    <x v="3"/>
    <s v="Launch"/>
    <d v="2023-01-07T00:00:00"/>
    <d v="2023-01-27T00:00:00"/>
    <x v="1"/>
    <n v="41600"/>
    <n v="1217"/>
    <n v="1178.4100000000001"/>
    <n v="116"/>
    <s v="Yes"/>
    <s v="Email"/>
    <n v="20"/>
    <n v="2.9254807692307691E-2"/>
    <n v="9.5316351684470002E-2"/>
    <n v="0.96829087921117507"/>
    <n v="10.158706896551724"/>
    <n v="1"/>
    <x v="1"/>
    <s v="January"/>
  </r>
  <r>
    <s v="CMP-01045"/>
    <s v="Q2_Launch_CMP-01045"/>
    <x v="0"/>
    <s v="Launch"/>
    <d v="2023-01-07T00:00:00"/>
    <d v="2023-01-12T00:00:00"/>
    <x v="1"/>
    <n v="79477"/>
    <n v="3502"/>
    <n v="3773.94"/>
    <n v="493"/>
    <s v="Yes"/>
    <s v="Email"/>
    <n v="5"/>
    <n v="4.4063062269587429E-2"/>
    <n v="0.14077669902912621"/>
    <n v="1.0776527698458025"/>
    <n v="7.6550507099391485"/>
    <n v="1"/>
    <x v="1"/>
    <s v="January"/>
  </r>
  <r>
    <s v="CMP-01199"/>
    <s v="Q2_BlackFriday_CMP-01199"/>
    <x v="0"/>
    <s v="BlackFriday"/>
    <d v="2023-01-07T00:00:00"/>
    <d v="2023-01-27T00:00:00"/>
    <x v="2"/>
    <n v="61279"/>
    <n v="1908"/>
    <n v="1800.43"/>
    <n v="0"/>
    <s v="Yes"/>
    <s v="IG"/>
    <n v="20"/>
    <n v="3.1136278333523719E-2"/>
    <n v="0"/>
    <n v="0.9436215932914046"/>
    <s v="0"/>
    <n v="1"/>
    <x v="1"/>
    <s v="January"/>
  </r>
  <r>
    <s v="CMP-01390"/>
    <s v="Q2_Winstagramter_CMP-01390"/>
    <x v="0"/>
    <s v="Winstagramter"/>
    <d v="2023-01-07T00:00:00"/>
    <d v="2023-07-06T00:00:00"/>
    <x v="1"/>
    <n v="52693"/>
    <n v="2380"/>
    <n v="4208.9799999999996"/>
    <n v="205"/>
    <s v="Yes"/>
    <s v="Email"/>
    <n v="180"/>
    <n v="4.5167289772835101E-2"/>
    <n v="8.6134453781512604E-2"/>
    <n v="1.7684789915966386"/>
    <n v="20.531609756097559"/>
    <n v="1"/>
    <x v="1"/>
    <s v="January"/>
  </r>
  <r>
    <s v="CMP-01402"/>
    <s v="Q2_BlackFriday_CMP-01402"/>
    <x v="0"/>
    <s v="BlackFriday"/>
    <d v="2023-01-07T00:00:00"/>
    <d v="2023-01-25T00:00:00"/>
    <x v="1"/>
    <n v="27657"/>
    <n v="800"/>
    <n v="1303.42"/>
    <n v="96"/>
    <s v="Yes"/>
    <s v="Email"/>
    <n v="18"/>
    <n v="2.892576924467585E-2"/>
    <n v="0.12"/>
    <n v="1.629275"/>
    <n v="13.577291666666667"/>
    <n v="1"/>
    <x v="1"/>
    <s v="January"/>
  </r>
  <r>
    <s v="CMP-01013"/>
    <s v="Q3_Summer_CMP-01013"/>
    <x v="1"/>
    <s v="Summer"/>
    <d v="2023-01-07T00:00:00"/>
    <d v="2023-02-06T00:00:00"/>
    <x v="1"/>
    <n v="28446"/>
    <n v="1308"/>
    <n v="2293"/>
    <n v="86"/>
    <s v="No"/>
    <s v="Email"/>
    <n v="30"/>
    <n v="4.5981860367011178E-2"/>
    <n v="6.5749235474006115E-2"/>
    <n v="1.7530581039755351"/>
    <n v="26.662790697674417"/>
    <n v="1"/>
    <x v="1"/>
    <s v="January"/>
  </r>
  <r>
    <s v="CMP-01706"/>
    <s v="Q1_BlackFriday_CMP-01706"/>
    <x v="3"/>
    <s v="BlackFriday"/>
    <d v="2023-01-08T00:00:00"/>
    <d v="2023-02-01T00:00:00"/>
    <x v="3"/>
    <n v="42755"/>
    <n v="2121"/>
    <n v="1615.96"/>
    <n v="250"/>
    <s v="No"/>
    <s v="FB"/>
    <n v="24"/>
    <n v="4.960823295520992E-2"/>
    <n v="0.11786892975011787"/>
    <n v="0.76188590287600189"/>
    <n v="6.4638400000000003"/>
    <n v="1"/>
    <x v="1"/>
    <s v="January"/>
  </r>
  <r>
    <s v="CMP-00295"/>
    <s v="Q2_Summer_CMP-00295"/>
    <x v="0"/>
    <s v="Summer"/>
    <d v="2023-01-08T00:00:00"/>
    <d v="2023-08-13T00:00:00"/>
    <x v="4"/>
    <n v="13183"/>
    <n v="178"/>
    <n v="227.86"/>
    <n v="9"/>
    <s v="No"/>
    <s v="Google Ads"/>
    <n v="217"/>
    <n v="1.3502237730410377E-2"/>
    <n v="5.0561797752808987E-2"/>
    <n v="1.2801123595505619"/>
    <n v="25.317777777777778"/>
    <n v="1"/>
    <x v="1"/>
    <s v="January"/>
  </r>
  <r>
    <s v="CMP-01856"/>
    <s v="Q2_Winstagramter_CMP-01856"/>
    <x v="0"/>
    <s v="Winstagramter"/>
    <d v="2023-01-08T00:00:00"/>
    <d v="2023-01-26T00:00:00"/>
    <x v="5"/>
    <n v="27431"/>
    <n v="760"/>
    <n v="593.1"/>
    <n v="93"/>
    <s v="Yes"/>
    <s v="Not specified"/>
    <n v="18"/>
    <n v="2.7705880208523204E-2"/>
    <n v="0.12236842105263158"/>
    <n v="0.78039473684210525"/>
    <n v="6.3774193548387101"/>
    <n v="1"/>
    <x v="1"/>
    <s v="January"/>
  </r>
  <r>
    <s v="CMP-01966"/>
    <s v="Q2_Winstagramter_CMP-01966"/>
    <x v="0"/>
    <s v="Winstagramter"/>
    <d v="2023-01-08T00:00:00"/>
    <d v="2023-01-17T00:00:00"/>
    <x v="4"/>
    <n v="26683"/>
    <n v="1059"/>
    <n v="604.25"/>
    <n v="155"/>
    <s v="Yes"/>
    <s v="Google Ads"/>
    <n v="9"/>
    <n v="3.9688190983022897E-2"/>
    <n v="0.14636449480642116"/>
    <n v="0.57058545797922566"/>
    <n v="3.8983870967741936"/>
    <n v="1"/>
    <x v="1"/>
    <s v="January"/>
  </r>
  <r>
    <s v="CMP-00715"/>
    <s v="Q3_Summer_CMP-00715"/>
    <x v="1"/>
    <s v="Summer"/>
    <d v="2023-01-08T00:00:00"/>
    <d v="2023-01-22T00:00:00"/>
    <x v="0"/>
    <n v="37395"/>
    <n v="1840"/>
    <n v="3039.7"/>
    <n v="216"/>
    <s v="No"/>
    <s v="TikTok"/>
    <n v="14"/>
    <n v="4.9204439096135845E-2"/>
    <n v="0.11739130434782609"/>
    <n v="1.6520108695652174"/>
    <n v="14.072685185185184"/>
    <n v="1"/>
    <x v="1"/>
    <s v="January"/>
  </r>
  <r>
    <s v="CMP-00364"/>
    <s v="Q4_Summer_CMP-00364"/>
    <x v="2"/>
    <s v="Summer"/>
    <d v="2023-01-08T00:00:00"/>
    <d v="2023-01-22T00:00:00"/>
    <x v="2"/>
    <n v="19711"/>
    <n v="948"/>
    <n v="598.49"/>
    <n v="129"/>
    <s v="Yes"/>
    <s v="IG"/>
    <n v="14"/>
    <n v="4.8094972350464206E-2"/>
    <n v="0.13607594936708861"/>
    <n v="0.63131856540084386"/>
    <n v="4.6394573643410855"/>
    <n v="1"/>
    <x v="1"/>
    <s v="January"/>
  </r>
  <r>
    <s v="CMP-01280"/>
    <s v="Q4_BlackFriday_CMP-01280"/>
    <x v="2"/>
    <s v="BlackFriday"/>
    <d v="2023-01-08T00:00:00"/>
    <d v="2023-01-28T00:00:00"/>
    <x v="0"/>
    <n v="3717"/>
    <n v="125"/>
    <n v="185.82"/>
    <n v="23"/>
    <s v="Yes"/>
    <s v="TikTok"/>
    <n v="20"/>
    <n v="3.3629270917406508E-2"/>
    <n v="0.184"/>
    <n v="1.4865599999999999"/>
    <n v="8.0791304347826092"/>
    <n v="1"/>
    <x v="1"/>
    <s v="January"/>
  </r>
  <r>
    <s v="CMP-01444"/>
    <s v="Q1_Launch_CMP-01444"/>
    <x v="3"/>
    <s v="Launch"/>
    <d v="2023-01-09T00:00:00"/>
    <d v="2023-01-12T00:00:00"/>
    <x v="4"/>
    <n v="97999"/>
    <n v="4620"/>
    <n v="8921.51"/>
    <n v="790"/>
    <s v="No"/>
    <s v="Google Ads"/>
    <n v="3"/>
    <n v="4.7143338197328542E-2"/>
    <n v="0.17099567099567101"/>
    <n v="1.9310627705627705"/>
    <n v="11.293050632911394"/>
    <n v="1"/>
    <x v="1"/>
    <s v="January"/>
  </r>
  <r>
    <s v="CMP-00552"/>
    <s v="Q2_Launch_CMP-00552"/>
    <x v="0"/>
    <s v="Launch"/>
    <d v="2023-01-09T00:00:00"/>
    <d v="2023-09-17T00:00:00"/>
    <x v="2"/>
    <n v="4373"/>
    <n v="70"/>
    <n v="68.36"/>
    <n v="10"/>
    <s v="Yes"/>
    <s v="IG"/>
    <n v="251"/>
    <n v="1.6007317630916992E-2"/>
    <n v="0.14285714285714285"/>
    <n v="0.97657142857142853"/>
    <n v="6.8360000000000003"/>
    <n v="1"/>
    <x v="1"/>
    <s v="January"/>
  </r>
  <r>
    <s v="CMP-00764"/>
    <s v="Q2_Winstagramter_CMP-00764"/>
    <x v="0"/>
    <s v="Winstagramter"/>
    <d v="2023-01-09T00:00:00"/>
    <d v="2023-09-24T00:00:00"/>
    <x v="5"/>
    <n v="35349"/>
    <n v="630"/>
    <n v="488.36"/>
    <n v="58"/>
    <s v="No"/>
    <s v="Not specified"/>
    <n v="258"/>
    <n v="1.7822286344733939E-2"/>
    <n v="9.2063492063492069E-2"/>
    <n v="0.77517460317460318"/>
    <n v="8.42"/>
    <n v="1"/>
    <x v="1"/>
    <s v="January"/>
  </r>
  <r>
    <s v="CMP-00802"/>
    <s v="Q2_Summer_CMP-00802"/>
    <x v="0"/>
    <s v="Summer"/>
    <d v="2023-01-09T00:00:00"/>
    <d v="2023-01-12T00:00:00"/>
    <x v="1"/>
    <n v="19384"/>
    <n v="702"/>
    <n v="1147.42"/>
    <n v="105"/>
    <s v="Yes"/>
    <s v="Email"/>
    <n v="3"/>
    <n v="3.6215435410647957E-2"/>
    <n v="0.14957264957264957"/>
    <n v="1.6345014245014247"/>
    <n v="10.927809523809524"/>
    <n v="1"/>
    <x v="1"/>
    <s v="January"/>
  </r>
  <r>
    <s v="CMP-01017"/>
    <s v="Q2_Summer_CMP-01017"/>
    <x v="0"/>
    <s v="Summer"/>
    <d v="2023-01-09T00:00:00"/>
    <d v="2023-09-05T00:00:00"/>
    <x v="1"/>
    <n v="77323"/>
    <n v="2049"/>
    <n v="1837.35"/>
    <n v="0"/>
    <s v="Yes"/>
    <s v="Email"/>
    <n v="239"/>
    <n v="2.649923050062724E-2"/>
    <n v="0"/>
    <n v="0.89670571010248901"/>
    <s v="0"/>
    <n v="1"/>
    <x v="1"/>
    <s v="January"/>
  </r>
  <r>
    <s v="CMP-00706"/>
    <s v="Q2_BlackFriday_CMP-00706"/>
    <x v="0"/>
    <s v="BlackFriday"/>
    <d v="2023-01-09T00:00:00"/>
    <d v="2023-04-01T00:00:00"/>
    <x v="1"/>
    <n v="40298"/>
    <n v="1929"/>
    <n v="2250.7399999999998"/>
    <n v="124"/>
    <s v="Yes"/>
    <s v="Email"/>
    <n v="82"/>
    <n v="4.7868380564792298E-2"/>
    <n v="6.4282011404872996E-2"/>
    <n v="1.166791083462934"/>
    <n v="18.151129032258062"/>
    <n v="1"/>
    <x v="1"/>
    <s v="January"/>
  </r>
  <r>
    <s v="CMP-01826"/>
    <s v="Q1_Winstagramter_CMP-01826"/>
    <x v="3"/>
    <s v="Winstagramter"/>
    <d v="2023-01-10T00:00:00"/>
    <d v="2023-01-31T00:00:00"/>
    <x v="4"/>
    <n v="76932"/>
    <n v="2306"/>
    <n v="2544.81"/>
    <n v="399"/>
    <s v="No"/>
    <s v="Google Ads"/>
    <n v="21"/>
    <n v="2.9974522955337181E-2"/>
    <n v="0.17302688638334779"/>
    <n v="1.1035602775368603"/>
    <n v="6.3779699248120298"/>
    <n v="1"/>
    <x v="1"/>
    <s v="January"/>
  </r>
  <r>
    <s v="CMP-00197"/>
    <s v="Q3_Launch_CMP-00197"/>
    <x v="1"/>
    <s v="Launch"/>
    <d v="2023-01-10T00:00:00"/>
    <d v="2023-10-15T00:00:00"/>
    <x v="2"/>
    <n v="74530"/>
    <n v="2585"/>
    <n v="2992.62"/>
    <n v="226"/>
    <s v="Yes"/>
    <s v="IG"/>
    <n v="278"/>
    <n v="3.4684019857775396E-2"/>
    <n v="8.7427466150870409E-2"/>
    <n v="1.1576866537717601"/>
    <n v="13.241681415929204"/>
    <n v="1"/>
    <x v="1"/>
    <s v="January"/>
  </r>
  <r>
    <s v="CMP-01726"/>
    <s v="Q3_Winstagramter_CMP-01726"/>
    <x v="1"/>
    <s v="Winstagramter"/>
    <d v="2023-01-10T00:00:00"/>
    <d v="2023-01-14T00:00:00"/>
    <x v="0"/>
    <n v="34130"/>
    <n v="1091"/>
    <n v="1176.46"/>
    <n v="99"/>
    <s v="No"/>
    <s v="TikTok"/>
    <n v="4"/>
    <n v="3.1966012305889246E-2"/>
    <n v="9.0742438130155825E-2"/>
    <n v="1.0783318056828597"/>
    <n v="11.883434343434343"/>
    <n v="1"/>
    <x v="1"/>
    <s v="January"/>
  </r>
  <r>
    <s v="CMP-00387"/>
    <s v="Q3_Winstagramter_CMP-00387"/>
    <x v="1"/>
    <s v="Winstagramter"/>
    <d v="2023-01-11T00:00:00"/>
    <d v="2023-01-18T00:00:00"/>
    <x v="3"/>
    <n v="36777"/>
    <n v="1080"/>
    <n v="1827.06"/>
    <n v="138"/>
    <s v="No"/>
    <s v="FB"/>
    <n v="7"/>
    <n v="2.9366179949424913E-2"/>
    <n v="0.12777777777777777"/>
    <n v="1.6917222222222221"/>
    <n v="13.239565217391304"/>
    <n v="1"/>
    <x v="1"/>
    <s v="January"/>
  </r>
  <r>
    <s v="CMP-01296"/>
    <s v="Q3_Winstagramter_CMP-01296"/>
    <x v="1"/>
    <s v="Winstagramter"/>
    <d v="2023-01-11T00:00:00"/>
    <d v="2023-02-10T00:00:00"/>
    <x v="3"/>
    <n v="39000"/>
    <n v="978"/>
    <n v="632.04"/>
    <n v="0"/>
    <s v="Yes"/>
    <s v="FB"/>
    <n v="30"/>
    <n v="2.5076923076923077E-2"/>
    <n v="0"/>
    <n v="0.64625766871165635"/>
    <s v="0"/>
    <n v="1"/>
    <x v="1"/>
    <s v="January"/>
  </r>
  <r>
    <s v="CMP-01085"/>
    <s v="Q3_BlackFriday_CMP-01085"/>
    <x v="1"/>
    <s v="BlackFriday"/>
    <d v="2023-01-11T00:00:00"/>
    <d v="2023-01-16T00:00:00"/>
    <x v="2"/>
    <n v="37159"/>
    <n v="711"/>
    <n v="414.6"/>
    <n v="55"/>
    <s v="Yes"/>
    <s v="IG"/>
    <n v="5"/>
    <n v="1.9133991765117469E-2"/>
    <n v="7.7355836849507739E-2"/>
    <n v="0.58312236286919839"/>
    <n v="7.538181818181819"/>
    <n v="1"/>
    <x v="1"/>
    <s v="January"/>
  </r>
  <r>
    <s v="CMP-00242"/>
    <s v="Q4_Summer_CMP-00242"/>
    <x v="2"/>
    <s v="Summer"/>
    <d v="2023-01-11T00:00:00"/>
    <d v="2023-10-01T00:00:00"/>
    <x v="2"/>
    <n v="94384"/>
    <n v="2544"/>
    <n v="2032.32"/>
    <n v="259"/>
    <s v="Yes"/>
    <s v="IG"/>
    <n v="263"/>
    <n v="2.6953720969655873E-2"/>
    <n v="0.10180817610062894"/>
    <n v="0.79886792452830191"/>
    <n v="7.8467953667953667"/>
    <n v="1"/>
    <x v="1"/>
    <s v="January"/>
  </r>
  <r>
    <s v="CMP-01647"/>
    <s v="Q2_BlackFriday_CMP-01647"/>
    <x v="0"/>
    <s v="BlackFriday"/>
    <d v="2023-01-12T00:00:00"/>
    <d v="2023-01-29T00:00:00"/>
    <x v="2"/>
    <n v="28376"/>
    <n v="301"/>
    <n v="457.82"/>
    <n v="28"/>
    <s v="Yes"/>
    <s v="IG"/>
    <n v="17"/>
    <n v="1.0607555680857063E-2"/>
    <n v="9.3023255813953487E-2"/>
    <n v="1.5209966777408637"/>
    <n v="16.350714285714286"/>
    <n v="1"/>
    <x v="1"/>
    <s v="January"/>
  </r>
  <r>
    <s v="CMP-01291"/>
    <s v="Q3_Launch_CMP-01291"/>
    <x v="1"/>
    <s v="Launch"/>
    <d v="2023-01-12T00:00:00"/>
    <d v="2023-01-20T00:00:00"/>
    <x v="2"/>
    <n v="65077"/>
    <n v="2906"/>
    <n v="5490.33"/>
    <n v="232"/>
    <s v="Yes"/>
    <s v="IG"/>
    <n v="8"/>
    <n v="4.4654793552253484E-2"/>
    <n v="7.9834824501032353E-2"/>
    <n v="1.8893083275980729"/>
    <n v="23.665215517241379"/>
    <n v="1"/>
    <x v="1"/>
    <s v="January"/>
  </r>
  <r>
    <s v="CMP-00368"/>
    <s v="Q1_Launch_CMP-00368"/>
    <x v="3"/>
    <s v="Launch"/>
    <d v="2023-01-13T00:00:00"/>
    <d v="2023-01-20T00:00:00"/>
    <x v="4"/>
    <n v="46236"/>
    <n v="1346"/>
    <n v="1343.72"/>
    <n v="251"/>
    <s v="Yes"/>
    <s v="Google Ads"/>
    <n v="7"/>
    <n v="2.9111514836923608E-2"/>
    <n v="0.18647845468053492"/>
    <n v="0.99830609212481425"/>
    <n v="5.3534661354581674"/>
    <n v="1"/>
    <x v="1"/>
    <s v="January"/>
  </r>
  <r>
    <s v="CMP-01951"/>
    <s v="Q2_Summer_CMP-01951"/>
    <x v="0"/>
    <s v="Summer"/>
    <d v="2023-01-13T00:00:00"/>
    <d v="2023-02-05T00:00:00"/>
    <x v="3"/>
    <n v="10078"/>
    <n v="215"/>
    <n v="372.13"/>
    <n v="42"/>
    <s v="Yes"/>
    <s v="FB"/>
    <n v="23"/>
    <n v="2.1333597936098431E-2"/>
    <n v="0.19534883720930232"/>
    <n v="1.7308372093023257"/>
    <n v="8.8602380952380955"/>
    <n v="1"/>
    <x v="1"/>
    <s v="January"/>
  </r>
  <r>
    <s v="CMP-01060"/>
    <s v="Q3_BlackFriday_CMP-01060"/>
    <x v="1"/>
    <s v="BlackFriday"/>
    <d v="2023-01-13T00:00:00"/>
    <d v="2023-01-30T00:00:00"/>
    <x v="3"/>
    <n v="6287"/>
    <n v="69"/>
    <n v="129.47"/>
    <n v="6"/>
    <s v="Yes"/>
    <s v="FB"/>
    <n v="17"/>
    <n v="1.0975027835215524E-2"/>
    <n v="8.6956521739130432E-2"/>
    <n v="1.8763768115942028"/>
    <n v="21.578333333333333"/>
    <n v="1"/>
    <x v="1"/>
    <s v="January"/>
  </r>
  <r>
    <s v="CMP-01923"/>
    <s v="Q3_Summer_CMP-01923"/>
    <x v="1"/>
    <s v="Summer"/>
    <d v="2023-01-13T00:00:00"/>
    <d v="2023-01-16T00:00:00"/>
    <x v="3"/>
    <n v="39559"/>
    <n v="1891"/>
    <n v="2294.15"/>
    <n v="219"/>
    <s v="Yes"/>
    <s v="FB"/>
    <n v="3"/>
    <n v="4.7802017240071791E-2"/>
    <n v="0.11581173982020095"/>
    <n v="1.2131940772078267"/>
    <n v="10.475570776255708"/>
    <n v="1"/>
    <x v="1"/>
    <s v="January"/>
  </r>
  <r>
    <s v="CMP-00904"/>
    <s v="Q4_Launch_CMP-00904"/>
    <x v="2"/>
    <s v="Launch"/>
    <d v="2023-01-13T00:00:00"/>
    <d v="2023-01-30T00:00:00"/>
    <x v="4"/>
    <n v="70724"/>
    <n v="889"/>
    <n v="894.29"/>
    <n v="44"/>
    <s v="Yes"/>
    <s v="Google Ads"/>
    <n v="17"/>
    <n v="1.256999038515921E-2"/>
    <n v="4.9493813273340834E-2"/>
    <n v="1.0059505061867267"/>
    <n v="20.324772727272727"/>
    <n v="1"/>
    <x v="1"/>
    <s v="January"/>
  </r>
  <r>
    <s v="CMP-01876"/>
    <s v="Q4_BlackFriday_CMP-01876"/>
    <x v="2"/>
    <s v="BlackFriday"/>
    <d v="2023-01-13T00:00:00"/>
    <d v="2023-02-07T00:00:00"/>
    <x v="3"/>
    <n v="83879"/>
    <n v="3504"/>
    <n v="3532.8"/>
    <n v="656"/>
    <s v="No"/>
    <s v="FB"/>
    <n v="25"/>
    <n v="4.1774460830482002E-2"/>
    <n v="0.18721461187214611"/>
    <n v="1.0082191780821919"/>
    <n v="5.3853658536585369"/>
    <n v="1"/>
    <x v="1"/>
    <s v="January"/>
  </r>
  <r>
    <s v="CMP-01776"/>
    <s v="Q3_Winstagramter_CMP-01776"/>
    <x v="1"/>
    <s v="Winstagramter"/>
    <d v="2023-01-13T00:00:00"/>
    <d v="2023-11-01T00:00:00"/>
    <x v="4"/>
    <n v="14281"/>
    <n v="634"/>
    <n v="650.04"/>
    <n v="49"/>
    <s v="Yes"/>
    <s v="Google Ads"/>
    <n v="292"/>
    <n v="4.4394650234577414E-2"/>
    <n v="7.7287066246056788E-2"/>
    <n v="1.0252996845425868"/>
    <n v="13.266122448979591"/>
    <n v="1"/>
    <x v="1"/>
    <s v="January"/>
  </r>
  <r>
    <s v="CMP-01007"/>
    <s v="Q1_BlackFriday_CMP-01007"/>
    <x v="3"/>
    <s v="BlackFriday"/>
    <d v="2023-01-14T00:00:00"/>
    <d v="2023-01-26T00:00:00"/>
    <x v="4"/>
    <n v="28139"/>
    <n v="1030"/>
    <n v="694.93"/>
    <n v="66"/>
    <s v="Yes"/>
    <s v="Google Ads"/>
    <n v="12"/>
    <n v="3.6604001563666083E-2"/>
    <n v="6.4077669902912623E-2"/>
    <n v="0.6746893203883495"/>
    <n v="10.529242424242424"/>
    <n v="1"/>
    <x v="1"/>
    <s v="January"/>
  </r>
  <r>
    <s v="CMP-00529"/>
    <s v="Q4_Summer_CMP-00529"/>
    <x v="2"/>
    <s v="Summer"/>
    <d v="2023-01-14T00:00:00"/>
    <d v="2023-01-16T00:00:00"/>
    <x v="1"/>
    <n v="95704"/>
    <n v="1803"/>
    <n v="1527.54"/>
    <n v="276"/>
    <s v="No"/>
    <s v="Email"/>
    <n v="2"/>
    <n v="1.8839337958706012E-2"/>
    <n v="0.15307820299500832"/>
    <n v="0.84722129783693845"/>
    <n v="5.5345652173913038"/>
    <n v="1"/>
    <x v="1"/>
    <s v="January"/>
  </r>
  <r>
    <s v="CMP-00293"/>
    <s v="Q1_Launch_CMP-00293"/>
    <x v="3"/>
    <s v="Launch"/>
    <d v="2023-01-15T00:00:00"/>
    <d v="2023-01-18T00:00:00"/>
    <x v="2"/>
    <n v="7295"/>
    <n v="170"/>
    <n v="91.44"/>
    <n v="14"/>
    <s v="Yes"/>
    <s v="IG"/>
    <n v="3"/>
    <n v="2.3303632625085675E-2"/>
    <n v="8.2352941176470587E-2"/>
    <n v="0.53788235294117648"/>
    <n v="6.5314285714285711"/>
    <n v="1"/>
    <x v="1"/>
    <s v="January"/>
  </r>
  <r>
    <s v="CMP-00136"/>
    <s v="Q2_Winstagramter_CMP-00136"/>
    <x v="0"/>
    <s v="Winstagramter"/>
    <d v="2023-01-15T00:00:00"/>
    <d v="2023-02-04T00:00:00"/>
    <x v="4"/>
    <n v="53992"/>
    <n v="883"/>
    <n v="989.61"/>
    <n v="91"/>
    <s v="Yes"/>
    <s v="Google Ads"/>
    <n v="20"/>
    <n v="1.6354274707364055E-2"/>
    <n v="0.10305775764439411"/>
    <n v="1.1207361268403171"/>
    <n v="10.874835164835165"/>
    <n v="1"/>
    <x v="1"/>
    <s v="January"/>
  </r>
  <r>
    <s v="CMP-01230"/>
    <s v="Q2_Summer_CMP-01230"/>
    <x v="0"/>
    <s v="Summer"/>
    <d v="2023-01-15T00:00:00"/>
    <d v="2023-02-14T00:00:00"/>
    <x v="3"/>
    <n v="98945"/>
    <n v="3687"/>
    <n v="6356.83"/>
    <n v="185"/>
    <s v="Yes"/>
    <s v="FB"/>
    <n v="30"/>
    <n v="3.7263125979079284E-2"/>
    <n v="5.0176295090859781E-2"/>
    <n v="1.7241198806617846"/>
    <n v="34.361243243243244"/>
    <n v="1"/>
    <x v="1"/>
    <s v="January"/>
  </r>
  <r>
    <s v="CMP-01972"/>
    <s v="Q3_Winstagramter_CMP-01972"/>
    <x v="1"/>
    <s v="Winstagramter"/>
    <d v="2023-01-15T00:00:00"/>
    <d v="2023-01-28T00:00:00"/>
    <x v="1"/>
    <n v="47163"/>
    <n v="2337"/>
    <n v="2185.9899999999998"/>
    <n v="0"/>
    <s v="Yes"/>
    <s v="Email"/>
    <n v="13"/>
    <n v="4.9551555244577314E-2"/>
    <n v="0"/>
    <n v="0.93538296961916978"/>
    <s v="0"/>
    <n v="1"/>
    <x v="1"/>
    <s v="January"/>
  </r>
  <r>
    <s v="CMP-00200"/>
    <s v="Q2_BlackFriday_CMP-00200"/>
    <x v="0"/>
    <s v="BlackFriday"/>
    <d v="2023-01-16T00:00:00"/>
    <d v="2023-02-13T00:00:00"/>
    <x v="4"/>
    <n v="96839"/>
    <n v="4569"/>
    <n v="3422.33"/>
    <n v="0"/>
    <s v="No"/>
    <s v="Google Ads"/>
    <n v="28"/>
    <n v="4.7181404186329885E-2"/>
    <n v="0"/>
    <n v="0.74903261107463337"/>
    <s v="0"/>
    <n v="1"/>
    <x v="1"/>
    <s v="January"/>
  </r>
  <r>
    <s v="CMP-00403"/>
    <s v="Q2_Summer_CMP-00403"/>
    <x v="0"/>
    <s v="Summer"/>
    <d v="2023-01-16T00:00:00"/>
    <d v="2023-01-23T00:00:00"/>
    <x v="2"/>
    <n v="89891"/>
    <n v="1523"/>
    <n v="1541.49"/>
    <n v="113"/>
    <s v="Yes"/>
    <s v="IG"/>
    <n v="7"/>
    <n v="1.6942741765026532E-2"/>
    <n v="7.4195666447800387E-2"/>
    <n v="1.0121405121470781"/>
    <n v="13.641504424778761"/>
    <n v="1"/>
    <x v="1"/>
    <s v="January"/>
  </r>
  <r>
    <s v="CMP-01037"/>
    <s v="Q2_Winstagramter_CMP-01037"/>
    <x v="0"/>
    <s v="Winstagramter"/>
    <d v="2023-01-16T00:00:00"/>
    <d v="2023-01-30T00:00:00"/>
    <x v="1"/>
    <n v="43101"/>
    <n v="1119"/>
    <n v="1470.92"/>
    <n v="99"/>
    <s v="Yes"/>
    <s v="Email"/>
    <n v="14"/>
    <n v="2.5962274657200531E-2"/>
    <n v="8.8471849865951746E-2"/>
    <n v="1.3144950848972297"/>
    <n v="14.857777777777779"/>
    <n v="1"/>
    <x v="1"/>
    <s v="January"/>
  </r>
  <r>
    <s v="CMP-01830"/>
    <s v="Q2_Summer_CMP-01830"/>
    <x v="0"/>
    <s v="Summer"/>
    <d v="2023-01-16T00:00:00"/>
    <d v="2023-01-31T00:00:00"/>
    <x v="5"/>
    <n v="61545"/>
    <n v="1647"/>
    <n v="1745"/>
    <n v="262"/>
    <s v="Yes"/>
    <s v="Not specified"/>
    <n v="15"/>
    <n v="2.6760906653668048E-2"/>
    <n v="0.15907710989678203"/>
    <n v="1.0595021250758956"/>
    <n v="6.6603053435114505"/>
    <n v="1"/>
    <x v="1"/>
    <s v="January"/>
  </r>
  <r>
    <s v="CMP-00581"/>
    <s v="Q4_Winstagramter_CMP-00581"/>
    <x v="2"/>
    <s v="Winstagramter"/>
    <d v="2023-01-16T00:00:00"/>
    <d v="2023-01-18T00:00:00"/>
    <x v="4"/>
    <n v="19888"/>
    <n v="800"/>
    <n v="658.25"/>
    <n v="46"/>
    <s v="No"/>
    <s v="Google Ads"/>
    <n v="2"/>
    <n v="4.0225261464199517E-2"/>
    <n v="5.7500000000000002E-2"/>
    <n v="0.82281249999999995"/>
    <n v="14.309782608695652"/>
    <n v="1"/>
    <x v="1"/>
    <s v="January"/>
  </r>
  <r>
    <s v="CMP-00894"/>
    <s v="Q4_Winstagramter_CMP-00894"/>
    <x v="2"/>
    <s v="Winstagramter"/>
    <d v="2023-01-16T00:00:00"/>
    <d v="2023-11-01T00:00:00"/>
    <x v="0"/>
    <n v="81719"/>
    <n v="1040"/>
    <n v="760.11"/>
    <n v="115"/>
    <s v="Yes"/>
    <s v="TikTok"/>
    <n v="289"/>
    <n v="1.2726538503897503E-2"/>
    <n v="0.11057692307692307"/>
    <n v="0.73087500000000005"/>
    <n v="6.6096521739130436"/>
    <n v="1"/>
    <x v="1"/>
    <s v="January"/>
  </r>
  <r>
    <s v="CMP-00064"/>
    <s v="Q2_BlackFriday_CMP-00064"/>
    <x v="0"/>
    <s v="BlackFriday"/>
    <d v="2023-01-17T00:00:00"/>
    <d v="2023-02-03T00:00:00"/>
    <x v="1"/>
    <n v="78189"/>
    <n v="2164"/>
    <n v="1734.66"/>
    <n v="187"/>
    <s v="Yes"/>
    <s v="Email"/>
    <n v="17"/>
    <n v="2.7676527388763125E-2"/>
    <n v="8.641404805914972E-2"/>
    <n v="0.80159889094269876"/>
    <n v="9.2762566844919796"/>
    <n v="1"/>
    <x v="1"/>
    <s v="January"/>
  </r>
  <r>
    <s v="CMP-00830"/>
    <s v="Q2_Summer_CMP-00830"/>
    <x v="0"/>
    <s v="Summer"/>
    <d v="2023-01-17T00:00:00"/>
    <d v="2023-02-02T00:00:00"/>
    <x v="3"/>
    <n v="15489"/>
    <n v="613"/>
    <n v="1128.9000000000001"/>
    <n v="0"/>
    <s v="Yes"/>
    <s v="FB"/>
    <n v="16"/>
    <n v="3.9576473626444571E-2"/>
    <n v="0"/>
    <n v="1.841598694942904"/>
    <s v="0"/>
    <n v="1"/>
    <x v="1"/>
    <s v="January"/>
  </r>
  <r>
    <s v="CMP-01691"/>
    <s v="Q2_Winstagramter_CMP-01691"/>
    <x v="0"/>
    <s v="Winstagramter"/>
    <d v="2023-01-17T00:00:00"/>
    <d v="2023-02-04T00:00:00"/>
    <x v="1"/>
    <n v="65772"/>
    <n v="1307"/>
    <n v="2034.35"/>
    <n v="240"/>
    <s v="Yes"/>
    <s v="Email"/>
    <n v="18"/>
    <n v="1.9871677917654929E-2"/>
    <n v="0.18362662586074982"/>
    <n v="1.5565034429992348"/>
    <n v="8.4764583333333334"/>
    <n v="1"/>
    <x v="1"/>
    <s v="January"/>
  </r>
  <r>
    <s v="CMP-01901"/>
    <s v="Q4_Winstagramter_CMP-01901"/>
    <x v="2"/>
    <s v="Winstagramter"/>
    <d v="2023-01-17T00:00:00"/>
    <d v="2023-02-05T00:00:00"/>
    <x v="2"/>
    <n v="27589"/>
    <n v="918"/>
    <n v="481.94"/>
    <n v="93"/>
    <s v="Yes"/>
    <s v="IG"/>
    <n v="19"/>
    <n v="3.3274130994236831E-2"/>
    <n v="0.10130718954248366"/>
    <n v="0.52498910675381261"/>
    <n v="5.1821505376344081"/>
    <n v="1"/>
    <x v="1"/>
    <s v="January"/>
  </r>
  <r>
    <s v="CMP-00381"/>
    <s v="Q2_BlackFriday_CMP-00381"/>
    <x v="0"/>
    <s v="BlackFriday"/>
    <d v="2023-01-17T00:00:00"/>
    <d v="2023-05-01T00:00:00"/>
    <x v="3"/>
    <n v="52885"/>
    <n v="1803"/>
    <n v="1820.41"/>
    <n v="145"/>
    <s v="No"/>
    <s v="FB"/>
    <n v="104"/>
    <n v="3.4092842961142102E-2"/>
    <n v="8.0421519689406543E-2"/>
    <n v="1.0096561286744314"/>
    <n v="12.554551724137932"/>
    <n v="1"/>
    <x v="1"/>
    <s v="January"/>
  </r>
  <r>
    <s v="CMP-01156"/>
    <s v="Q2_Launch_CMP-01156"/>
    <x v="0"/>
    <s v="Launch"/>
    <d v="2023-01-18T00:00:00"/>
    <d v="2023-02-07T00:00:00"/>
    <x v="3"/>
    <n v="60201"/>
    <n v="2887"/>
    <n v="2416.14"/>
    <n v="564"/>
    <s v="No"/>
    <s v="FB"/>
    <n v="20"/>
    <n v="4.795601401970067E-2"/>
    <n v="0.19535850363699342"/>
    <n v="0.8369033598891582"/>
    <n v="4.2839361702127654"/>
    <n v="1"/>
    <x v="1"/>
    <s v="January"/>
  </r>
  <r>
    <s v="CMP-01188"/>
    <s v="Q3_Launch_CMP-01188"/>
    <x v="1"/>
    <s v="Launch"/>
    <d v="2023-01-18T00:00:00"/>
    <d v="2023-02-03T00:00:00"/>
    <x v="1"/>
    <n v="74319"/>
    <n v="2925"/>
    <n v="2012.58"/>
    <n v="422"/>
    <s v="No"/>
    <s v="Email"/>
    <n v="16"/>
    <n v="3.9357364873047272E-2"/>
    <n v="0.14427350427350427"/>
    <n v="0.68806153846153839"/>
    <n v="4.7691469194312797"/>
    <n v="1"/>
    <x v="1"/>
    <s v="January"/>
  </r>
  <r>
    <s v="CMP-01698"/>
    <s v="Q3_Winstagramter_CMP-01698"/>
    <x v="1"/>
    <s v="Winstagramter"/>
    <d v="2023-01-18T00:00:00"/>
    <d v="2023-02-08T00:00:00"/>
    <x v="4"/>
    <n v="81199"/>
    <n v="2050"/>
    <n v="1310.0999999999999"/>
    <n v="125"/>
    <s v="No"/>
    <s v="Google Ads"/>
    <n v="21"/>
    <n v="2.5246616337639628E-2"/>
    <n v="6.097560975609756E-2"/>
    <n v="0.63907317073170722"/>
    <n v="10.480799999999999"/>
    <n v="1"/>
    <x v="1"/>
    <s v="January"/>
  </r>
  <r>
    <s v="CMP-01762"/>
    <s v="Q4_Winstagramter_CMP-01762"/>
    <x v="2"/>
    <s v="Winstagramter"/>
    <d v="2023-01-18T00:00:00"/>
    <d v="2023-02-16T00:00:00"/>
    <x v="4"/>
    <n v="35832"/>
    <n v="1135"/>
    <n v="1915.77"/>
    <n v="226"/>
    <s v="No"/>
    <s v="Google Ads"/>
    <n v="29"/>
    <n v="3.1675597231524896E-2"/>
    <n v="0.19911894273127753"/>
    <n v="1.6879030837004405"/>
    <n v="8.4768584070796464"/>
    <n v="1"/>
    <x v="1"/>
    <s v="January"/>
  </r>
  <r>
    <s v="CMP-01047"/>
    <s v="Q2_BlackFriday_CMP-01047"/>
    <x v="0"/>
    <s v="BlackFriday"/>
    <d v="2023-01-19T00:00:00"/>
    <d v="2023-02-11T00:00:00"/>
    <x v="0"/>
    <n v="2828"/>
    <n v="37"/>
    <n v="71.36"/>
    <n v="4"/>
    <s v="No"/>
    <s v="TikTok"/>
    <n v="23"/>
    <n v="1.3083451202263084E-2"/>
    <n v="0.10810810810810811"/>
    <n v="1.9286486486486487"/>
    <n v="17.84"/>
    <n v="1"/>
    <x v="1"/>
    <s v="January"/>
  </r>
  <r>
    <s v="CMP-01934"/>
    <s v="Q2_Launch_CMP-01934"/>
    <x v="0"/>
    <s v="Launch"/>
    <d v="2023-01-19T00:00:00"/>
    <d v="2023-01-28T00:00:00"/>
    <x v="2"/>
    <n v="50153"/>
    <n v="2410"/>
    <n v="1777.79"/>
    <n v="415"/>
    <s v="Yes"/>
    <s v="IG"/>
    <n v="9"/>
    <n v="4.8052957948677047E-2"/>
    <n v="0.17219917012448133"/>
    <n v="0.7376721991701245"/>
    <n v="4.2838313253012048"/>
    <n v="1"/>
    <x v="1"/>
    <s v="January"/>
  </r>
  <r>
    <s v="CMP-01956"/>
    <s v="Q3_Winstagramter_CMP-01956"/>
    <x v="1"/>
    <s v="Winstagramter"/>
    <d v="2023-01-19T00:00:00"/>
    <d v="2023-02-14T00:00:00"/>
    <x v="5"/>
    <n v="58660"/>
    <n v="1723"/>
    <n v="2025.14"/>
    <n v="222"/>
    <s v="No"/>
    <s v="Not specified"/>
    <n v="26"/>
    <n v="2.9372655983634505E-2"/>
    <n v="0.12884503772489844"/>
    <n v="1.1753569355774811"/>
    <n v="9.1222522522522524"/>
    <n v="1"/>
    <x v="1"/>
    <s v="January"/>
  </r>
  <r>
    <s v="CMP-00314"/>
    <s v="Q4_BlackFriday_CMP-00314"/>
    <x v="2"/>
    <s v="BlackFriday"/>
    <d v="2023-01-19T00:00:00"/>
    <d v="2023-02-06T00:00:00"/>
    <x v="3"/>
    <n v="95179"/>
    <n v="3508"/>
    <n v="4858.3100000000004"/>
    <n v="700"/>
    <s v="No"/>
    <s v="FB"/>
    <n v="18"/>
    <n v="3.6856869687641181E-2"/>
    <n v="0.19954389965792474"/>
    <n v="1.3849230330672748"/>
    <n v="6.940442857142858"/>
    <n v="1"/>
    <x v="1"/>
    <s v="January"/>
  </r>
  <r>
    <s v="CMP-00509"/>
    <s v="Q1_BlackFriday_CMP-00509"/>
    <x v="3"/>
    <s v="BlackFriday"/>
    <d v="2023-01-20T00:00:00"/>
    <d v="2023-02-13T00:00:00"/>
    <x v="4"/>
    <n v="60101"/>
    <n v="706"/>
    <n v="370.74"/>
    <n v="121"/>
    <s v="Yes"/>
    <s v="Google Ads"/>
    <n v="24"/>
    <n v="1.1746892730570207E-2"/>
    <n v="0.17138810198300283"/>
    <n v="0.52512747875354104"/>
    <n v="3.0639669421487605"/>
    <n v="1"/>
    <x v="1"/>
    <s v="January"/>
  </r>
  <r>
    <s v="CMP-00657"/>
    <s v="Q1_Winstagramter_CMP-00657"/>
    <x v="3"/>
    <s v="Winstagramter"/>
    <d v="2023-01-20T00:00:00"/>
    <d v="2023-02-04T00:00:00"/>
    <x v="0"/>
    <n v="2542"/>
    <n v="89"/>
    <n v="56.19"/>
    <n v="7"/>
    <s v="No"/>
    <s v="TikTok"/>
    <n v="15"/>
    <n v="3.5011801730920535E-2"/>
    <n v="7.8651685393258425E-2"/>
    <n v="0.63134831460674157"/>
    <n v="8.0271428571428576"/>
    <n v="1"/>
    <x v="1"/>
    <s v="January"/>
  </r>
  <r>
    <s v="CMP-00705"/>
    <s v="Q1_Winstagramter_CMP-00705"/>
    <x v="3"/>
    <s v="Winstagramter"/>
    <d v="2023-01-20T00:00:00"/>
    <d v="2023-02-08T00:00:00"/>
    <x v="2"/>
    <n v="53224"/>
    <n v="1189"/>
    <n v="648.04"/>
    <n v="183"/>
    <s v="No"/>
    <s v="IG"/>
    <n v="19"/>
    <n v="2.2339546069442356E-2"/>
    <n v="0.15391084945332212"/>
    <n v="0.54502943650126157"/>
    <n v="3.5412021857923497"/>
    <n v="1"/>
    <x v="1"/>
    <s v="January"/>
  </r>
  <r>
    <s v="CMP-01123"/>
    <s v="Q1_Winstagramter_CMP-01123"/>
    <x v="3"/>
    <s v="Winstagramter"/>
    <d v="2023-01-20T00:00:00"/>
    <d v="2023-01-27T00:00:00"/>
    <x v="3"/>
    <n v="37455"/>
    <n v="726"/>
    <n v="1159.67"/>
    <n v="41"/>
    <s v="Yes"/>
    <s v="FB"/>
    <n v="7"/>
    <n v="1.9383259911894272E-2"/>
    <n v="5.647382920110193E-2"/>
    <n v="1.5973415977961434"/>
    <n v="28.284634146341464"/>
    <n v="1"/>
    <x v="1"/>
    <s v="January"/>
  </r>
  <r>
    <s v="CMP-00373"/>
    <s v="Q2_Launch_CMP-00373"/>
    <x v="0"/>
    <s v="Launch"/>
    <d v="2023-01-20T00:00:00"/>
    <d v="2023-02-08T00:00:00"/>
    <x v="5"/>
    <n v="7102"/>
    <n v="105"/>
    <n v="155.41"/>
    <n v="19"/>
    <s v="Yes"/>
    <s v="Not specified"/>
    <n v="19"/>
    <n v="1.4784567727400732E-2"/>
    <n v="0.18095238095238095"/>
    <n v="1.4800952380952381"/>
    <n v="8.1794736842105262"/>
    <n v="1"/>
    <x v="1"/>
    <s v="January"/>
  </r>
  <r>
    <s v="CMP-01208"/>
    <s v="Q2_Launch_CMP-01208"/>
    <x v="0"/>
    <s v="Launch"/>
    <d v="2023-01-20T00:00:00"/>
    <d v="2023-02-12T00:00:00"/>
    <x v="2"/>
    <n v="69904"/>
    <n v="2468"/>
    <n v="3416.9"/>
    <n v="444"/>
    <s v="Yes"/>
    <s v="IG"/>
    <n v="23"/>
    <n v="3.5305561913481345E-2"/>
    <n v="0.17990275526742303"/>
    <n v="1.3844813614262561"/>
    <n v="7.695720720720721"/>
    <n v="1"/>
    <x v="1"/>
    <s v="January"/>
  </r>
  <r>
    <s v="CMP-01206"/>
    <s v="Q3_Launch_CMP-01206"/>
    <x v="1"/>
    <s v="Launch"/>
    <d v="2023-01-20T00:00:00"/>
    <d v="2023-01-31T00:00:00"/>
    <x v="0"/>
    <n v="87066"/>
    <n v="1024"/>
    <n v="1181.69"/>
    <n v="0"/>
    <s v="No"/>
    <s v="TikTok"/>
    <n v="11"/>
    <n v="1.1761192658443021E-2"/>
    <n v="0"/>
    <n v="1.1539941406250001"/>
    <s v="0"/>
    <n v="1"/>
    <x v="1"/>
    <s v="January"/>
  </r>
  <r>
    <s v="CMP-00138"/>
    <s v="Q4_Summer_CMP-00138"/>
    <x v="2"/>
    <s v="Summer"/>
    <d v="2023-01-20T00:00:00"/>
    <d v="2023-02-18T00:00:00"/>
    <x v="3"/>
    <n v="99806"/>
    <n v="2268"/>
    <n v="1278.05"/>
    <n v="260"/>
    <s v="Yes"/>
    <s v="FB"/>
    <n v="29"/>
    <n v="2.2724084724365268E-2"/>
    <n v="0.1146384479717813"/>
    <n v="0.56351410934744262"/>
    <n v="4.9155769230769231"/>
    <n v="1"/>
    <x v="1"/>
    <s v="January"/>
  </r>
  <r>
    <s v="CMP-00120"/>
    <s v="Q2_Launch_CMP-00120"/>
    <x v="0"/>
    <s v="Launch"/>
    <d v="2023-01-21T00:00:00"/>
    <d v="2023-02-06T00:00:00"/>
    <x v="3"/>
    <n v="79603"/>
    <n v="3912"/>
    <n v="7471.52"/>
    <n v="344"/>
    <s v="No"/>
    <s v="FB"/>
    <n v="16"/>
    <n v="4.914387648706707E-2"/>
    <n v="8.7934560327198361E-2"/>
    <n v="1.9098977505112475"/>
    <n v="21.719534883720932"/>
    <n v="1"/>
    <x v="1"/>
    <s v="January"/>
  </r>
  <r>
    <s v="CMP-01718"/>
    <s v="Q2_BlackFriday_CMP-01718"/>
    <x v="0"/>
    <s v="BlackFriday"/>
    <d v="2023-01-21T00:00:00"/>
    <d v="2023-02-16T00:00:00"/>
    <x v="2"/>
    <n v="93108"/>
    <n v="3099"/>
    <n v="2706.14"/>
    <n v="474"/>
    <s v="Yes"/>
    <s v="IG"/>
    <n v="26"/>
    <n v="3.3283928341281091E-2"/>
    <n v="0.15295256534365925"/>
    <n v="0.87323007421748944"/>
    <n v="5.7091561181434596"/>
    <n v="1"/>
    <x v="1"/>
    <s v="January"/>
  </r>
  <r>
    <s v="CMP-01426"/>
    <s v="Q3_Launch_CMP-01426"/>
    <x v="1"/>
    <s v="Launch"/>
    <d v="2023-01-21T00:00:00"/>
    <d v="2023-01-29T00:00:00"/>
    <x v="1"/>
    <n v="30373"/>
    <n v="1454"/>
    <n v="2640.72"/>
    <n v="110"/>
    <s v="Yes"/>
    <s v="Email"/>
    <n v="8"/>
    <n v="4.7871464787804956E-2"/>
    <n v="7.5653370013755161E-2"/>
    <n v="1.8161760660247592"/>
    <n v="24.006545454545453"/>
    <n v="1"/>
    <x v="1"/>
    <s v="January"/>
  </r>
  <r>
    <s v="CMP-01824"/>
    <s v="Q3_BlackFriday_CMP-01824"/>
    <x v="1"/>
    <s v="BlackFriday"/>
    <d v="2023-01-21T00:00:00"/>
    <d v="2023-02-07T00:00:00"/>
    <x v="3"/>
    <n v="69878"/>
    <n v="2481"/>
    <n v="3013.13"/>
    <n v="213"/>
    <s v="Yes"/>
    <s v="FB"/>
    <n v="17"/>
    <n v="3.5504736827041417E-2"/>
    <n v="8.5852478839177751E-2"/>
    <n v="1.2144820636839984"/>
    <n v="14.146150234741784"/>
    <n v="1"/>
    <x v="1"/>
    <s v="January"/>
  </r>
  <r>
    <s v="CMP-01409"/>
    <s v="Q4_Summer_CMP-01409"/>
    <x v="2"/>
    <s v="Summer"/>
    <d v="2023-01-21T00:00:00"/>
    <d v="2023-02-10T00:00:00"/>
    <x v="3"/>
    <n v="41809"/>
    <n v="1506"/>
    <n v="1300.07"/>
    <n v="115"/>
    <s v="No"/>
    <s v="FB"/>
    <n v="20"/>
    <n v="3.6020952426511037E-2"/>
    <n v="7.6361221779548474E-2"/>
    <n v="0.86326029216467459"/>
    <n v="11.304956521739129"/>
    <n v="1"/>
    <x v="1"/>
    <s v="January"/>
  </r>
  <r>
    <s v="CMP-01744"/>
    <s v="Q4_Launch_CMP-01744"/>
    <x v="2"/>
    <s v="Launch"/>
    <d v="2023-01-21T00:00:00"/>
    <d v="2023-02-15T00:00:00"/>
    <x v="3"/>
    <n v="3719"/>
    <n v="123"/>
    <n v="73.14"/>
    <n v="6"/>
    <s v="No"/>
    <s v="FB"/>
    <n v="25"/>
    <n v="3.3073406829792956E-2"/>
    <n v="4.878048780487805E-2"/>
    <n v="0.59463414634146339"/>
    <n v="12.19"/>
    <n v="1"/>
    <x v="1"/>
    <s v="January"/>
  </r>
  <r>
    <s v="CMP-01867"/>
    <s v="Q4_Launch_CMP-01867"/>
    <x v="2"/>
    <s v="Launch"/>
    <d v="2023-01-21T00:00:00"/>
    <d v="2023-02-12T00:00:00"/>
    <x v="2"/>
    <n v="37444"/>
    <n v="933"/>
    <n v="511.92"/>
    <n v="170"/>
    <s v="Yes"/>
    <s v="IG"/>
    <n v="22"/>
    <n v="2.4917209699818397E-2"/>
    <n v="0.18220793140407288"/>
    <n v="0.54868167202572349"/>
    <n v="3.0112941176470591"/>
    <n v="1"/>
    <x v="1"/>
    <s v="January"/>
  </r>
  <r>
    <s v="CMP-00483"/>
    <s v="Q1_Winstagramter_CMP-00483"/>
    <x v="3"/>
    <s v="Winstagramter"/>
    <d v="2023-01-22T00:00:00"/>
    <d v="2023-02-07T00:00:00"/>
    <x v="2"/>
    <n v="60638"/>
    <n v="2620"/>
    <n v="3367.69"/>
    <n v="487"/>
    <s v="No"/>
    <s v="IG"/>
    <n v="16"/>
    <n v="4.3207229789900721E-2"/>
    <n v="0.18587786259541986"/>
    <n v="1.28537786259542"/>
    <n v="6.9151745379876797"/>
    <n v="1"/>
    <x v="1"/>
    <s v="January"/>
  </r>
  <r>
    <s v="CMP-01457"/>
    <s v="Q1_BlackFriday_CMP-01457"/>
    <x v="3"/>
    <s v="BlackFriday"/>
    <d v="2023-01-22T00:00:00"/>
    <d v="2023-01-23T00:00:00"/>
    <x v="2"/>
    <n v="16850"/>
    <n v="432"/>
    <n v="451.4"/>
    <n v="0"/>
    <s v="Yes"/>
    <s v="IG"/>
    <n v="1"/>
    <n v="2.5637982195845697E-2"/>
    <n v="0"/>
    <n v="1.0449074074074074"/>
    <s v="0"/>
    <n v="1"/>
    <x v="1"/>
    <s v="January"/>
  </r>
  <r>
    <s v="CMP-00456"/>
    <s v="Q3_BlackFriday_CMP-00456"/>
    <x v="1"/>
    <s v="BlackFriday"/>
    <d v="2023-01-22T00:00:00"/>
    <d v="2023-02-10T00:00:00"/>
    <x v="1"/>
    <n v="83750"/>
    <n v="2497"/>
    <n v="2199.62"/>
    <n v="142"/>
    <s v="Yes"/>
    <s v="Email"/>
    <n v="19"/>
    <n v="2.9814925373134328E-2"/>
    <n v="5.6868241890268324E-2"/>
    <n v="0.88090508610332396"/>
    <n v="15.490281690140844"/>
    <n v="1"/>
    <x v="1"/>
    <s v="January"/>
  </r>
  <r>
    <s v="CMP-01708"/>
    <s v="Q3_Summer_CMP-01708"/>
    <x v="1"/>
    <s v="Summer"/>
    <d v="2023-01-22T00:00:00"/>
    <d v="2023-02-16T00:00:00"/>
    <x v="1"/>
    <n v="87988"/>
    <n v="4192"/>
    <n v="6571.66"/>
    <n v="786"/>
    <s v="Yes"/>
    <s v="Email"/>
    <n v="25"/>
    <n v="4.7642860390053186E-2"/>
    <n v="0.1875"/>
    <n v="1.5676669847328244"/>
    <n v="8.3608905852417301"/>
    <n v="1"/>
    <x v="1"/>
    <s v="January"/>
  </r>
  <r>
    <s v="CMP-00622"/>
    <s v="Q4_Summer_CMP-00622"/>
    <x v="2"/>
    <s v="Summer"/>
    <d v="2023-01-22T00:00:00"/>
    <d v="2023-02-14T00:00:00"/>
    <x v="5"/>
    <n v="52934"/>
    <n v="1028"/>
    <n v="876.36"/>
    <n v="114"/>
    <s v="Yes"/>
    <s v="Not specified"/>
    <n v="23"/>
    <n v="1.9420410322288133E-2"/>
    <n v="0.11089494163424124"/>
    <n v="0.85249027237354091"/>
    <n v="7.6873684210526321"/>
    <n v="1"/>
    <x v="1"/>
    <s v="January"/>
  </r>
  <r>
    <s v="CMP-00311"/>
    <s v="Q1_BlackFriday_CMP-00311"/>
    <x v="3"/>
    <s v="BlackFriday"/>
    <d v="2023-01-23T00:00:00"/>
    <d v="2023-02-05T00:00:00"/>
    <x v="1"/>
    <n v="3869"/>
    <n v="152"/>
    <n v="215.07"/>
    <n v="19"/>
    <s v="Yes"/>
    <s v="Email"/>
    <n v="13"/>
    <n v="3.928663737399845E-2"/>
    <n v="0.125"/>
    <n v="1.4149342105263158"/>
    <n v="11.319473684210527"/>
    <n v="1"/>
    <x v="1"/>
    <s v="January"/>
  </r>
  <r>
    <s v="CMP-00555"/>
    <s v="Q1_Summer_CMP-00555"/>
    <x v="3"/>
    <s v="Summer"/>
    <d v="2023-01-23T00:00:00"/>
    <d v="2023-01-27T00:00:00"/>
    <x v="3"/>
    <n v="93658"/>
    <n v="4222"/>
    <n v="4093.55"/>
    <n v="655"/>
    <s v="Yes"/>
    <s v="FB"/>
    <n v="4"/>
    <n v="4.5078904097888062E-2"/>
    <n v="0.155139744197063"/>
    <n v="0.96957603031738515"/>
    <n v="6.2496946564885496"/>
    <n v="1"/>
    <x v="1"/>
    <s v="January"/>
  </r>
  <r>
    <s v="CMP-01517"/>
    <s v="Q2_Winstagramter_CMP-01517"/>
    <x v="0"/>
    <s v="Winstagramter"/>
    <d v="2023-01-23T00:00:00"/>
    <d v="2023-02-18T00:00:00"/>
    <x v="1"/>
    <n v="30711"/>
    <n v="645"/>
    <n v="1147.71"/>
    <n v="64"/>
    <s v="No"/>
    <s v="Email"/>
    <n v="26"/>
    <n v="2.1002246751978117E-2"/>
    <n v="9.9224806201550386E-2"/>
    <n v="1.7793953488372094"/>
    <n v="17.932968750000001"/>
    <n v="1"/>
    <x v="1"/>
    <s v="January"/>
  </r>
  <r>
    <s v="CMP-00112"/>
    <s v="Q4_BlackFriday_CMP-00112"/>
    <x v="2"/>
    <s v="BlackFriday"/>
    <d v="2023-01-23T00:00:00"/>
    <d v="2023-02-11T00:00:00"/>
    <x v="1"/>
    <n v="39660"/>
    <n v="654"/>
    <n v="691.43"/>
    <n v="73"/>
    <s v="No"/>
    <s v="Email"/>
    <n v="19"/>
    <n v="1.6490166414523451E-2"/>
    <n v="0.11162079510703364"/>
    <n v="1.0572324159021407"/>
    <n v="9.4716438356164385"/>
    <n v="1"/>
    <x v="1"/>
    <s v="January"/>
  </r>
  <r>
    <s v="CMP-00910"/>
    <s v="Q4_Summer_CMP-00910"/>
    <x v="2"/>
    <s v="Summer"/>
    <d v="2023-01-23T00:00:00"/>
    <d v="2023-02-05T00:00:00"/>
    <x v="5"/>
    <n v="88044"/>
    <n v="3085"/>
    <n v="5398.15"/>
    <n v="348"/>
    <s v="Yes"/>
    <s v="Not specified"/>
    <n v="13"/>
    <n v="3.5039298532551909E-2"/>
    <n v="0.11280388978930309"/>
    <n v="1.749805510534846"/>
    <n v="15.511925287356322"/>
    <n v="1"/>
    <x v="1"/>
    <s v="January"/>
  </r>
  <r>
    <s v="CMP-01958"/>
    <s v="Q4_Winstagramter_CMP-01958"/>
    <x v="2"/>
    <s v="Winstagramter"/>
    <d v="2023-01-23T00:00:00"/>
    <d v="2023-02-17T00:00:00"/>
    <x v="3"/>
    <n v="2925"/>
    <n v="77"/>
    <n v="79.14"/>
    <n v="13"/>
    <s v="No"/>
    <s v="FB"/>
    <n v="25"/>
    <n v="2.6324786324786326E-2"/>
    <n v="0.16883116883116883"/>
    <n v="1.0277922077922077"/>
    <n v="6.0876923076923077"/>
    <n v="1"/>
    <x v="1"/>
    <s v="January"/>
  </r>
  <r>
    <s v="CMP-00623"/>
    <s v="Q1_Winstagramter_CMP-00623"/>
    <x v="3"/>
    <s v="Winstagramter"/>
    <d v="2023-01-24T00:00:00"/>
    <d v="2023-02-09T00:00:00"/>
    <x v="3"/>
    <n v="65895"/>
    <n v="1637"/>
    <n v="2856.94"/>
    <n v="322"/>
    <s v="No"/>
    <s v="FB"/>
    <n v="16"/>
    <n v="2.484255254571667E-2"/>
    <n v="0.19670128283445326"/>
    <n v="1.7452290775809407"/>
    <n v="8.87248447204969"/>
    <n v="1"/>
    <x v="1"/>
    <s v="January"/>
  </r>
  <r>
    <s v="CMP-00746"/>
    <s v="Q2_Launch_CMP-00746"/>
    <x v="0"/>
    <s v="Launch"/>
    <d v="2023-01-24T00:00:00"/>
    <d v="2023-02-10T00:00:00"/>
    <x v="4"/>
    <n v="10337"/>
    <n v="376"/>
    <n v="619.92999999999995"/>
    <n v="44"/>
    <s v="No"/>
    <s v="Google Ads"/>
    <n v="17"/>
    <n v="3.6374189803618069E-2"/>
    <n v="0.11702127659574468"/>
    <n v="1.6487499999999999"/>
    <n v="14.089318181818181"/>
    <n v="1"/>
    <x v="1"/>
    <s v="January"/>
  </r>
  <r>
    <s v="CMP-01285"/>
    <s v="Q2_BlackFriday_CMP-01285"/>
    <x v="0"/>
    <s v="BlackFriday"/>
    <d v="2023-01-24T00:00:00"/>
    <d v="2023-01-30T00:00:00"/>
    <x v="3"/>
    <n v="91397"/>
    <n v="4352"/>
    <n v="3921.69"/>
    <n v="254"/>
    <s v="Yes"/>
    <s v="FB"/>
    <n v="6"/>
    <n v="4.7616442552819022E-2"/>
    <n v="5.8363970588235295E-2"/>
    <n v="0.90112362132352941"/>
    <n v="15.43972440944882"/>
    <n v="1"/>
    <x v="1"/>
    <s v="January"/>
  </r>
  <r>
    <s v="CMP-01500"/>
    <s v="Q3_Winstagramter_CMP-01500"/>
    <x v="1"/>
    <s v="Winstagramter"/>
    <d v="2023-01-24T00:00:00"/>
    <d v="2023-02-03T00:00:00"/>
    <x v="1"/>
    <n v="1338"/>
    <n v="26"/>
    <n v="20.58"/>
    <n v="0"/>
    <s v="Yes"/>
    <s v="Email"/>
    <n v="10"/>
    <n v="1.9431988041853511E-2"/>
    <n v="0"/>
    <n v="0.79153846153846152"/>
    <s v="0"/>
    <n v="1"/>
    <x v="1"/>
    <s v="January"/>
  </r>
  <r>
    <s v="CMP-01319"/>
    <s v="Q4_Summer_CMP-01319"/>
    <x v="2"/>
    <s v="Summer"/>
    <d v="2023-01-24T00:00:00"/>
    <d v="2023-02-08T00:00:00"/>
    <x v="1"/>
    <n v="75055"/>
    <n v="1906"/>
    <n v="2802.31"/>
    <n v="302"/>
    <s v="Yes"/>
    <s v="Email"/>
    <n v="15"/>
    <n v="2.5394710545599893E-2"/>
    <n v="0.1584470094438615"/>
    <n v="1.4702570828961175"/>
    <n v="9.279172185430463"/>
    <n v="1"/>
    <x v="1"/>
    <s v="January"/>
  </r>
  <r>
    <s v="CMP-01295"/>
    <s v="Q1_Summer_CMP-01295"/>
    <x v="3"/>
    <s v="Summer"/>
    <d v="2023-01-25T00:00:00"/>
    <d v="2023-02-03T00:00:00"/>
    <x v="1"/>
    <n v="7645"/>
    <n v="205"/>
    <n v="382.88"/>
    <n v="34"/>
    <s v="Yes"/>
    <s v="Email"/>
    <n v="9"/>
    <n v="2.6814911706998037E-2"/>
    <n v="0.16585365853658537"/>
    <n v="1.8677073170731706"/>
    <n v="11.261176470588236"/>
    <n v="1"/>
    <x v="1"/>
    <s v="January"/>
  </r>
  <r>
    <s v="CMP-00565"/>
    <s v="Q2_Launch_CMP-00565"/>
    <x v="0"/>
    <s v="Launch"/>
    <d v="2023-01-25T00:00:00"/>
    <d v="2023-02-03T00:00:00"/>
    <x v="2"/>
    <n v="58458"/>
    <n v="2122"/>
    <n v="3546.81"/>
    <n v="303"/>
    <s v="Yes"/>
    <s v="IG"/>
    <n v="9"/>
    <n v="3.6299565500017103E-2"/>
    <n v="0.14278982092365694"/>
    <n v="1.6714467483506126"/>
    <n v="11.705643564356436"/>
    <n v="1"/>
    <x v="1"/>
    <s v="January"/>
  </r>
  <r>
    <s v="CMP-00777"/>
    <s v="Q2_Launch_CMP-00777"/>
    <x v="0"/>
    <s v="Launch"/>
    <d v="2023-01-25T00:00:00"/>
    <d v="2023-02-24T00:00:00"/>
    <x v="3"/>
    <n v="96084"/>
    <n v="1598"/>
    <n v="2317.29"/>
    <n v="144"/>
    <s v="Yes"/>
    <s v="FB"/>
    <n v="30"/>
    <n v="1.6631280962491155E-2"/>
    <n v="9.0112640801001245E-2"/>
    <n v="1.4501188986232791"/>
    <n v="16.092291666666668"/>
    <n v="1"/>
    <x v="1"/>
    <s v="January"/>
  </r>
  <r>
    <s v="CMP-00696"/>
    <s v="Q1_Winstagramter_CMP-00696"/>
    <x v="3"/>
    <s v="Winstagramter"/>
    <d v="2023-01-26T00:00:00"/>
    <d v="2023-02-15T00:00:00"/>
    <x v="5"/>
    <n v="10435"/>
    <n v="449"/>
    <n v="319.54000000000002"/>
    <n v="84"/>
    <s v="Yes"/>
    <s v="Not specified"/>
    <n v="20"/>
    <n v="4.3028270244369907E-2"/>
    <n v="0.18708240534521159"/>
    <n v="0.71167037861915372"/>
    <n v="3.8040476190476191"/>
    <n v="1"/>
    <x v="1"/>
    <s v="January"/>
  </r>
  <r>
    <s v="CMP-01096"/>
    <s v="Q2_Summer_CMP-01096"/>
    <x v="0"/>
    <s v="Summer"/>
    <d v="2023-01-26T00:00:00"/>
    <d v="2023-02-20T00:00:00"/>
    <x v="5"/>
    <n v="20282"/>
    <n v="598"/>
    <n v="1162.95"/>
    <n v="0"/>
    <s v="No"/>
    <s v="Not specified"/>
    <n v="25"/>
    <n v="2.9484271768070211E-2"/>
    <n v="0"/>
    <n v="1.9447324414715721"/>
    <s v="0"/>
    <n v="1"/>
    <x v="1"/>
    <s v="January"/>
  </r>
  <r>
    <s v="CMP-00649"/>
    <s v="Q1_Launch_CMP-00649"/>
    <x v="3"/>
    <s v="Launch"/>
    <d v="2023-01-27T00:00:00"/>
    <d v="2023-02-20T00:00:00"/>
    <x v="2"/>
    <n v="7801"/>
    <n v="344"/>
    <n v="436.8"/>
    <n v="46"/>
    <s v="Yes"/>
    <s v="IG"/>
    <n v="24"/>
    <n v="4.4096910652480455E-2"/>
    <n v="0.13372093023255813"/>
    <n v="1.2697674418604652"/>
    <n v="9.4956521739130437"/>
    <n v="1"/>
    <x v="1"/>
    <s v="January"/>
  </r>
  <r>
    <s v="CMP-00247"/>
    <s v="Q2_BlackFriday_CMP-00247"/>
    <x v="0"/>
    <s v="BlackFriday"/>
    <d v="2023-01-27T00:00:00"/>
    <d v="2023-02-14T00:00:00"/>
    <x v="0"/>
    <n v="92906"/>
    <n v="2918"/>
    <n v="5575.21"/>
    <n v="0"/>
    <s v="No"/>
    <s v="TikTok"/>
    <n v="18"/>
    <n v="3.1408089897315569E-2"/>
    <n v="0"/>
    <n v="1.9106271418779985"/>
    <s v="0"/>
    <n v="1"/>
    <x v="1"/>
    <s v="January"/>
  </r>
  <r>
    <s v="CMP-01704"/>
    <s v="Q4_Winstagramter_CMP-01704"/>
    <x v="2"/>
    <s v="Winstagramter"/>
    <d v="2023-01-27T00:00:00"/>
    <d v="2023-02-19T00:00:00"/>
    <x v="4"/>
    <n v="10903"/>
    <n v="451"/>
    <n v="551.76"/>
    <n v="40"/>
    <s v="Yes"/>
    <s v="Google Ads"/>
    <n v="23"/>
    <n v="4.136476199211226E-2"/>
    <n v="8.8691796008869186E-2"/>
    <n v="1.2234146341463414"/>
    <n v="13.794"/>
    <n v="1"/>
    <x v="1"/>
    <s v="January"/>
  </r>
  <r>
    <s v="CMP-00072"/>
    <s v="Q1_Summer_CMP-00072"/>
    <x v="3"/>
    <s v="Summer"/>
    <d v="2023-01-27T00:00:00"/>
    <d v="2023-02-01T00:00:00"/>
    <x v="1"/>
    <n v="66697"/>
    <n v="1340"/>
    <n v="2090.7399999999998"/>
    <n v="0"/>
    <s v="Yes"/>
    <s v="Email"/>
    <n v="5"/>
    <n v="2.0090858659310012E-2"/>
    <n v="0"/>
    <n v="1.5602537313432834"/>
    <s v="0"/>
    <n v="1"/>
    <x v="1"/>
    <s v="January"/>
  </r>
  <r>
    <s v="CMP-01782"/>
    <s v="Q1_Launch_CMP-01782"/>
    <x v="3"/>
    <s v="Launch"/>
    <d v="2023-01-28T00:00:00"/>
    <d v="2023-02-01T00:00:00"/>
    <x v="1"/>
    <n v="6084"/>
    <n v="193"/>
    <n v="500000"/>
    <n v="0"/>
    <s v="No"/>
    <s v="Email"/>
    <n v="4"/>
    <n v="3.1722550953320182E-2"/>
    <n v="0"/>
    <n v="2590.6735751295337"/>
    <s v="0"/>
    <n v="1"/>
    <x v="1"/>
    <s v="January"/>
  </r>
  <r>
    <s v="CMP-01464"/>
    <s v="Q3_Summer_CMP-01464"/>
    <x v="1"/>
    <s v="Summer"/>
    <d v="2023-01-28T00:00:00"/>
    <d v="2023-02-13T00:00:00"/>
    <x v="2"/>
    <n v="33921"/>
    <n v="1048"/>
    <n v="1057.42"/>
    <n v="72"/>
    <s v="No"/>
    <s v="IG"/>
    <n v="16"/>
    <n v="3.0895315586215027E-2"/>
    <n v="6.8702290076335881E-2"/>
    <n v="1.0089885496183206"/>
    <n v="14.68638888888889"/>
    <n v="1"/>
    <x v="1"/>
    <s v="January"/>
  </r>
  <r>
    <s v="CMP-00243"/>
    <s v="Q4_Summer_CMP-00243"/>
    <x v="2"/>
    <s v="Summer"/>
    <d v="2023-01-28T00:00:00"/>
    <d v="2023-02-01T00:00:00"/>
    <x v="3"/>
    <n v="43107"/>
    <n v="694"/>
    <n v="393.8"/>
    <n v="36"/>
    <s v="No"/>
    <s v="FB"/>
    <n v="4"/>
    <n v="1.6099473403391559E-2"/>
    <n v="5.1873198847262249E-2"/>
    <n v="0.56743515850144088"/>
    <n v="10.93888888888889"/>
    <n v="1"/>
    <x v="1"/>
    <s v="January"/>
  </r>
  <r>
    <s v="CMP-01010"/>
    <s v="Q4_Launch_CMP-01010"/>
    <x v="2"/>
    <s v="Launch"/>
    <d v="2023-01-28T00:00:00"/>
    <d v="2023-02-14T00:00:00"/>
    <x v="4"/>
    <n v="77125"/>
    <n v="1055"/>
    <n v="1254.3900000000001"/>
    <n v="173"/>
    <s v="No"/>
    <s v="Google Ads"/>
    <n v="17"/>
    <n v="1.3679092382495948E-2"/>
    <n v="0.16398104265402844"/>
    <n v="1.1889952606635072"/>
    <n v="7.2508092485549138"/>
    <n v="1"/>
    <x v="1"/>
    <s v="January"/>
  </r>
  <r>
    <s v="CMP-01268"/>
    <s v="Q4_Launch_CMP-01268"/>
    <x v="2"/>
    <s v="Launch"/>
    <d v="2023-01-28T00:00:00"/>
    <d v="2023-02-12T00:00:00"/>
    <x v="2"/>
    <n v="63823"/>
    <n v="2478"/>
    <n v="2403.41"/>
    <n v="461"/>
    <s v="No"/>
    <s v="IG"/>
    <n v="15"/>
    <n v="3.8826128511665073E-2"/>
    <n v="0.18603712671509282"/>
    <n v="0.96989911218724767"/>
    <n v="5.2134707158351405"/>
    <n v="1"/>
    <x v="1"/>
    <s v="January"/>
  </r>
  <r>
    <s v="CMP-01392"/>
    <s v="Q1_Launch_CMP-01392"/>
    <x v="3"/>
    <s v="Launch"/>
    <d v="2023-01-29T00:00:00"/>
    <d v="2023-02-16T00:00:00"/>
    <x v="0"/>
    <n v="77908"/>
    <n v="2483"/>
    <n v="1247.6199999999999"/>
    <n v="0"/>
    <s v="No"/>
    <s v="TikTok"/>
    <n v="18"/>
    <n v="3.1870924680392258E-2"/>
    <n v="0"/>
    <n v="0.50246476037051946"/>
    <s v="0"/>
    <n v="1"/>
    <x v="1"/>
    <s v="January"/>
  </r>
  <r>
    <s v="CMP-01937"/>
    <s v="Q1_BlackFriday_CMP-01937"/>
    <x v="3"/>
    <s v="BlackFriday"/>
    <d v="2023-01-29T00:00:00"/>
    <d v="2023-02-16T00:00:00"/>
    <x v="1"/>
    <n v="46004"/>
    <n v="2037"/>
    <n v="1969.93"/>
    <n v="329"/>
    <s v="Yes"/>
    <s v="Email"/>
    <n v="18"/>
    <n v="4.427875836883749E-2"/>
    <n v="0.16151202749140894"/>
    <n v="0.96707412862052045"/>
    <n v="5.9876291793313072"/>
    <n v="1"/>
    <x v="1"/>
    <s v="January"/>
  </r>
  <r>
    <s v="CMP-00769"/>
    <s v="Q2_BlackFriday_CMP-00769"/>
    <x v="0"/>
    <s v="BlackFriday"/>
    <d v="2023-01-29T00:00:00"/>
    <d v="2023-01-30T00:00:00"/>
    <x v="2"/>
    <n v="71340"/>
    <n v="1502"/>
    <n v="2154.02"/>
    <n v="0"/>
    <s v="Yes"/>
    <s v="IG"/>
    <n v="1"/>
    <n v="2.1054107092795066E-2"/>
    <n v="0"/>
    <n v="1.4341011984021306"/>
    <s v="0"/>
    <n v="1"/>
    <x v="1"/>
    <s v="January"/>
  </r>
  <r>
    <s v="CMP-01115"/>
    <s v="Q3_BlackFriday_CMP-01115"/>
    <x v="1"/>
    <s v="BlackFriday"/>
    <d v="2023-01-29T00:00:00"/>
    <d v="2023-02-23T00:00:00"/>
    <x v="3"/>
    <n v="19574"/>
    <n v="389"/>
    <n v="480.34"/>
    <n v="57"/>
    <s v="No"/>
    <s v="FB"/>
    <n v="25"/>
    <n v="1.9873301318074996E-2"/>
    <n v="0.14652956298200515"/>
    <n v="1.2348071979434447"/>
    <n v="8.4270175438596482"/>
    <n v="1"/>
    <x v="1"/>
    <s v="January"/>
  </r>
  <r>
    <s v="CMP-01218"/>
    <s v="Q3_Launch_CMP-01218"/>
    <x v="1"/>
    <s v="Launch"/>
    <d v="2023-01-29T00:00:00"/>
    <d v="2023-02-07T00:00:00"/>
    <x v="3"/>
    <n v="20256"/>
    <n v="788"/>
    <n v="1108.92"/>
    <n v="121"/>
    <s v="Yes"/>
    <s v="FB"/>
    <n v="9"/>
    <n v="3.8902053712480254E-2"/>
    <n v="0.15355329949238578"/>
    <n v="1.4072588832487312"/>
    <n v="9.1646280991735551"/>
    <n v="1"/>
    <x v="1"/>
    <s v="January"/>
  </r>
  <r>
    <s v="CMP-00612"/>
    <s v="Q4_Launch_CMP-00612"/>
    <x v="2"/>
    <s v="Launch"/>
    <d v="2023-01-29T00:00:00"/>
    <d v="2023-02-24T00:00:00"/>
    <x v="0"/>
    <n v="80459"/>
    <n v="1284"/>
    <n v="1493.78"/>
    <n v="72"/>
    <s v="Yes"/>
    <s v="TikTok"/>
    <n v="26"/>
    <n v="1.595843845933954E-2"/>
    <n v="5.6074766355140186E-2"/>
    <n v="1.1633800623052959"/>
    <n v="20.746944444444445"/>
    <n v="1"/>
    <x v="1"/>
    <s v="January"/>
  </r>
  <r>
    <s v="CMP-00743"/>
    <s v="Q1_Launch_CMP-00743"/>
    <x v="3"/>
    <s v="Launch"/>
    <d v="2023-01-30T00:00:00"/>
    <d v="2023-02-17T00:00:00"/>
    <x v="4"/>
    <n v="24959"/>
    <n v="1002"/>
    <n v="729.12"/>
    <n v="66"/>
    <s v="Yes"/>
    <s v="Google Ads"/>
    <n v="18"/>
    <n v="4.0145839176249046E-2"/>
    <n v="6.5868263473053898E-2"/>
    <n v="0.72766467065868268"/>
    <n v="11.047272727272727"/>
    <n v="1"/>
    <x v="1"/>
    <s v="January"/>
  </r>
  <r>
    <s v="CMP-01222"/>
    <s v="Q2_Winstagramter_CMP-01222"/>
    <x v="0"/>
    <s v="Winstagramter"/>
    <d v="2023-01-30T00:00:00"/>
    <d v="2023-02-09T00:00:00"/>
    <x v="0"/>
    <n v="64374"/>
    <n v="1432"/>
    <n v="1346.51"/>
    <n v="232"/>
    <s v="Yes"/>
    <s v="TikTok"/>
    <n v="10"/>
    <n v="2.2245005747662101E-2"/>
    <n v="0.16201117318435754"/>
    <n v="0.94030027932960891"/>
    <n v="5.8039224137931038"/>
    <n v="1"/>
    <x v="1"/>
    <s v="January"/>
  </r>
  <r>
    <s v="CMP-01743"/>
    <s v="Q2_BlackFriday_CMP-01743"/>
    <x v="0"/>
    <s v="BlackFriday"/>
    <d v="2023-01-30T00:00:00"/>
    <d v="2023-02-20T00:00:00"/>
    <x v="2"/>
    <n v="79249"/>
    <n v="2922"/>
    <n v="4193.88"/>
    <n v="151"/>
    <s v="Yes"/>
    <s v="IG"/>
    <n v="21"/>
    <n v="3.6871127711390679E-2"/>
    <n v="5.1676933607118412E-2"/>
    <n v="1.4352772073921971"/>
    <n v="27.77403973509934"/>
    <n v="1"/>
    <x v="1"/>
    <s v="January"/>
  </r>
  <r>
    <s v="CMP-01273"/>
    <s v="Q3_Summer_CMP-01273"/>
    <x v="1"/>
    <s v="Summer"/>
    <d v="2023-01-30T00:00:00"/>
    <d v="2023-02-23T00:00:00"/>
    <x v="4"/>
    <n v="93374"/>
    <n v="3629"/>
    <n v="6830.76"/>
    <n v="481"/>
    <s v="Yes"/>
    <s v="Google Ads"/>
    <n v="24"/>
    <n v="3.8865208730481722E-2"/>
    <n v="0.13254340038578122"/>
    <n v="1.8822705979608709"/>
    <n v="14.201164241164241"/>
    <n v="1"/>
    <x v="1"/>
    <s v="January"/>
  </r>
  <r>
    <s v="CMP-00479"/>
    <s v="Q4_Launch_CMP-00479"/>
    <x v="2"/>
    <s v="Launch"/>
    <d v="2023-01-30T00:00:00"/>
    <d v="2023-02-19T00:00:00"/>
    <x v="5"/>
    <n v="54222"/>
    <n v="2242"/>
    <n v="1928.36"/>
    <n v="246"/>
    <s v="No"/>
    <s v="Not specified"/>
    <n v="20"/>
    <n v="4.1348530116926706E-2"/>
    <n v="0.10972346119536129"/>
    <n v="0.86010704727921494"/>
    <n v="7.8388617886178862"/>
    <n v="1"/>
    <x v="1"/>
    <s v="January"/>
  </r>
  <r>
    <s v="CMP-00783"/>
    <s v="Q4_Winstagramter_CMP-00783"/>
    <x v="2"/>
    <s v="Winstagramter"/>
    <d v="2023-01-30T00:00:00"/>
    <d v="2023-02-12T00:00:00"/>
    <x v="4"/>
    <n v="63292"/>
    <n v="2147"/>
    <n v="1153"/>
    <n v="343"/>
    <s v="No"/>
    <s v="Google Ads"/>
    <n v="13"/>
    <n v="3.392213865891424E-2"/>
    <n v="0.15975780158360503"/>
    <n v="0.53702841173730786"/>
    <n v="3.361516034985423"/>
    <n v="1"/>
    <x v="1"/>
    <s v="January"/>
  </r>
  <r>
    <s v="CMP-01327"/>
    <s v="Q1_Launch_CMP-01327"/>
    <x v="3"/>
    <s v="Launch"/>
    <d v="2023-01-31T00:00:00"/>
    <d v="2023-02-14T00:00:00"/>
    <x v="0"/>
    <n v="86595"/>
    <n v="1510"/>
    <n v="1195.6199999999999"/>
    <n v="208"/>
    <s v="Yes"/>
    <s v="TikTok"/>
    <n v="14"/>
    <n v="1.7437496391246608E-2"/>
    <n v="0.13774834437086092"/>
    <n v="0.7918013245033112"/>
    <n v="5.7481730769230763"/>
    <n v="1"/>
    <x v="1"/>
    <s v="January"/>
  </r>
  <r>
    <s v="CMP-01019"/>
    <s v="Q3_Summer_CMP-01019"/>
    <x v="1"/>
    <s v="Summer"/>
    <d v="2023-01-31T00:00:00"/>
    <d v="2023-02-06T00:00:00"/>
    <x v="5"/>
    <n v="39110"/>
    <n v="1402"/>
    <n v="844.23"/>
    <n v="157"/>
    <s v="Yes"/>
    <s v="Not specified"/>
    <n v="6"/>
    <n v="3.5847609307082591E-2"/>
    <n v="0.11198288159771755"/>
    <n v="0.60216119828815984"/>
    <n v="5.3772611464968154"/>
    <n v="1"/>
    <x v="1"/>
    <s v="January"/>
  </r>
  <r>
    <s v="CMP-00499"/>
    <s v="Q2_BlackFriday_CMP-00499"/>
    <x v="0"/>
    <s v="BlackFriday"/>
    <d v="2023-01-31T00:00:00"/>
    <d v="2023-11-01T00:00:00"/>
    <x v="4"/>
    <n v="79781"/>
    <n v="3656"/>
    <n v="3793.11"/>
    <n v="0"/>
    <s v="Yes"/>
    <s v="Google Ads"/>
    <n v="274"/>
    <n v="4.5825447161604894E-2"/>
    <n v="0"/>
    <n v="1.0375027352297594"/>
    <s v="0"/>
    <n v="1"/>
    <x v="1"/>
    <s v="January"/>
  </r>
  <r>
    <s v="CMP-00676"/>
    <s v="Q1_BlackFriday_CMP-00676"/>
    <x v="3"/>
    <s v="BlackFriday"/>
    <d v="2023-02-01T00:00:00"/>
    <d v="2023-02-06T00:00:00"/>
    <x v="5"/>
    <n v="58854"/>
    <n v="2883"/>
    <n v="3808.8"/>
    <n v="406"/>
    <s v="No"/>
    <s v="Not specified"/>
    <n v="5"/>
    <n v="4.8985625446018963E-2"/>
    <n v="0.14082552896288589"/>
    <n v="1.321123829344433"/>
    <n v="9.3812807881773406"/>
    <n v="2"/>
    <x v="1"/>
    <s v="February"/>
  </r>
  <r>
    <s v="CMP-01103"/>
    <s v="Q1_Winstagramter_CMP-01103"/>
    <x v="3"/>
    <s v="Winstagramter"/>
    <d v="2023-02-01T00:00:00"/>
    <d v="2023-02-09T00:00:00"/>
    <x v="4"/>
    <n v="85056"/>
    <n v="4235"/>
    <n v="5850.85"/>
    <n v="678"/>
    <s v="No"/>
    <s v="Google Ads"/>
    <n v="8"/>
    <n v="4.9790726109857034E-2"/>
    <n v="0.16009445100354192"/>
    <n v="1.3815466351829988"/>
    <n v="8.6295722713864311"/>
    <n v="2"/>
    <x v="1"/>
    <s v="February"/>
  </r>
  <r>
    <s v="CMP-00181"/>
    <s v="Q2_Launch_CMP-00181"/>
    <x v="0"/>
    <s v="Launch"/>
    <d v="2023-02-01T00:00:00"/>
    <d v="2023-02-21T00:00:00"/>
    <x v="2"/>
    <n v="67842"/>
    <n v="1748"/>
    <n v="2908.44"/>
    <n v="0"/>
    <s v="Yes"/>
    <s v="IG"/>
    <n v="20"/>
    <n v="2.5765749830488488E-2"/>
    <n v="0"/>
    <n v="1.6638672768878719"/>
    <s v="0"/>
    <n v="2"/>
    <x v="1"/>
    <s v="February"/>
  </r>
  <r>
    <s v="CMP-00061"/>
    <s v="Q1_Summer_CMP-00061"/>
    <x v="3"/>
    <s v="Summer"/>
    <d v="2023-02-02T00:00:00"/>
    <d v="2023-02-06T00:00:00"/>
    <x v="4"/>
    <n v="90475"/>
    <n v="1762"/>
    <n v="3149.01"/>
    <n v="274"/>
    <s v="Yes"/>
    <s v="Google Ads"/>
    <n v="4"/>
    <n v="1.9474993092014368E-2"/>
    <n v="0.15550510783200908"/>
    <n v="1.7871793416572079"/>
    <n v="11.492737226277374"/>
    <n v="2"/>
    <x v="1"/>
    <s v="February"/>
  </r>
  <r>
    <s v="CMP-00920"/>
    <s v="Q2_Winstagramter_CMP-00920"/>
    <x v="0"/>
    <s v="Winstagramter"/>
    <d v="2023-02-02T00:00:00"/>
    <d v="2023-02-25T00:00:00"/>
    <x v="3"/>
    <n v="92865"/>
    <n v="1746"/>
    <n v="1705.8"/>
    <n v="0"/>
    <s v="No"/>
    <s v="FB"/>
    <n v="23"/>
    <n v="1.8801486028105316E-2"/>
    <n v="0"/>
    <n v="0.9769759450171821"/>
    <s v="0"/>
    <n v="2"/>
    <x v="1"/>
    <s v="February"/>
  </r>
  <r>
    <s v="CMP-00370"/>
    <s v="Q3_Summer_CMP-00370"/>
    <x v="1"/>
    <s v="Summer"/>
    <d v="2023-02-02T00:00:00"/>
    <d v="2023-02-04T00:00:00"/>
    <x v="4"/>
    <n v="55240"/>
    <n v="1066"/>
    <n v="599.36"/>
    <n v="79"/>
    <s v="Yes"/>
    <s v="Google Ads"/>
    <n v="2"/>
    <n v="1.9297610427226646E-2"/>
    <n v="7.410881801125703E-2"/>
    <n v="0.56225140712945587"/>
    <n v="7.586835443037975"/>
    <n v="2"/>
    <x v="1"/>
    <s v="February"/>
  </r>
  <r>
    <s v="CMP-00125"/>
    <s v="Q4_Summer_CMP-00125"/>
    <x v="2"/>
    <s v="Summer"/>
    <d v="2023-02-02T00:00:00"/>
    <d v="2023-04-01T00:00:00"/>
    <x v="1"/>
    <n v="80575"/>
    <n v="3592"/>
    <n v="6449.3"/>
    <n v="589"/>
    <s v="No"/>
    <s v="Email"/>
    <n v="58"/>
    <n v="4.4579584238287312E-2"/>
    <n v="0.16397550111358575"/>
    <n v="1.7954621380846325"/>
    <n v="10.949575551782683"/>
    <n v="2"/>
    <x v="1"/>
    <s v="February"/>
  </r>
  <r>
    <s v="CMP-00605"/>
    <s v="Q2_BlackFriday_CMP-00605"/>
    <x v="0"/>
    <s v="BlackFriday"/>
    <d v="2023-02-03T00:00:00"/>
    <d v="2023-02-25T00:00:00"/>
    <x v="1"/>
    <n v="42555"/>
    <n v="515"/>
    <n v="942.8"/>
    <n v="57"/>
    <s v="Yes"/>
    <s v="Email"/>
    <n v="22"/>
    <n v="1.2101985665609211E-2"/>
    <n v="0.11067961165048544"/>
    <n v="1.8306796116504853"/>
    <n v="16.540350877192981"/>
    <n v="2"/>
    <x v="1"/>
    <s v="February"/>
  </r>
  <r>
    <s v="CMP-01910"/>
    <s v="Q3_Summer_CMP-01910"/>
    <x v="1"/>
    <s v="Summer"/>
    <d v="2023-02-03T00:00:00"/>
    <d v="2023-02-12T00:00:00"/>
    <x v="4"/>
    <n v="65288"/>
    <n v="2146"/>
    <n v="3639.81"/>
    <n v="160"/>
    <s v="Yes"/>
    <s v="Google Ads"/>
    <n v="9"/>
    <n v="3.2869746354613406E-2"/>
    <n v="7.4557315936626276E-2"/>
    <n v="1.696090400745573"/>
    <n v="22.7488125"/>
    <n v="2"/>
    <x v="1"/>
    <s v="February"/>
  </r>
  <r>
    <s v="CMP-01093"/>
    <s v="Q4_Launch_CMP-01093"/>
    <x v="2"/>
    <s v="Launch"/>
    <d v="2023-02-03T00:00:00"/>
    <d v="2023-02-20T00:00:00"/>
    <x v="3"/>
    <n v="89861"/>
    <n v="2319"/>
    <n v="1303.6099999999999"/>
    <n v="424"/>
    <s v="No"/>
    <s v="FB"/>
    <n v="17"/>
    <n v="2.5806523408375158E-2"/>
    <n v="0.18283742992669255"/>
    <n v="0.56214316515739537"/>
    <n v="3.0745518867924524"/>
    <n v="2"/>
    <x v="1"/>
    <s v="February"/>
  </r>
  <r>
    <s v="CMP-00583"/>
    <s v="Q1_Winstagramter_CMP-00583"/>
    <x v="3"/>
    <s v="Winstagramter"/>
    <d v="2023-02-04T00:00:00"/>
    <d v="2023-02-18T00:00:00"/>
    <x v="3"/>
    <n v="48295"/>
    <n v="1391"/>
    <n v="1862.7"/>
    <n v="247"/>
    <s v="No"/>
    <s v="FB"/>
    <n v="14"/>
    <n v="2.8802153432032303E-2"/>
    <n v="0.17757009345794392"/>
    <n v="1.3391085549964055"/>
    <n v="7.5412955465587048"/>
    <n v="2"/>
    <x v="1"/>
    <s v="February"/>
  </r>
  <r>
    <s v="CMP-01909"/>
    <s v="Q2_BlackFriday_CMP-01909"/>
    <x v="0"/>
    <s v="BlackFriday"/>
    <d v="2023-02-04T00:00:00"/>
    <d v="2023-02-06T00:00:00"/>
    <x v="0"/>
    <n v="42688"/>
    <n v="1706"/>
    <n v="1188.3800000000001"/>
    <n v="263"/>
    <s v="Yes"/>
    <s v="TikTok"/>
    <n v="2"/>
    <n v="3.9964392803598203E-2"/>
    <n v="0.15416178194607269"/>
    <n v="0.69658851113716302"/>
    <n v="4.5185551330798486"/>
    <n v="2"/>
    <x v="1"/>
    <s v="February"/>
  </r>
  <r>
    <s v="CMP-00091"/>
    <s v="Q3_Launch_CMP-00091"/>
    <x v="1"/>
    <s v="Launch"/>
    <d v="2023-02-04T00:00:00"/>
    <d v="2023-03-06T00:00:00"/>
    <x v="2"/>
    <n v="64704"/>
    <n v="1112"/>
    <n v="582.26"/>
    <n v="213"/>
    <s v="Yes"/>
    <s v="IG"/>
    <n v="30"/>
    <n v="1.7185954500494559E-2"/>
    <n v="0.19154676258992806"/>
    <n v="0.52361510791366905"/>
    <n v="2.7336150234741785"/>
    <n v="2"/>
    <x v="1"/>
    <s v="February"/>
  </r>
  <r>
    <s v="CMP-01196"/>
    <s v="Q4_Summer_CMP-01196"/>
    <x v="2"/>
    <s v="Summer"/>
    <d v="2023-02-04T00:00:00"/>
    <d v="2023-02-22T00:00:00"/>
    <x v="5"/>
    <n v="38219"/>
    <n v="1635"/>
    <n v="2355.14"/>
    <n v="247"/>
    <s v="Yes"/>
    <s v="Not specified"/>
    <n v="18"/>
    <n v="4.2779769224731153E-2"/>
    <n v="0.1510703363914373"/>
    <n v="1.4404525993883792"/>
    <n v="9.5349797570850203"/>
    <n v="2"/>
    <x v="1"/>
    <s v="February"/>
  </r>
  <r>
    <s v="CMP-00325"/>
    <s v="Q1_BlackFriday_CMP-00325"/>
    <x v="3"/>
    <s v="BlackFriday"/>
    <d v="2023-02-05T00:00:00"/>
    <d v="2023-02-14T00:00:00"/>
    <x v="0"/>
    <n v="71271"/>
    <n v="1686"/>
    <n v="2046.01"/>
    <n v="258"/>
    <s v="Yes"/>
    <s v="TikTok"/>
    <n v="9"/>
    <n v="2.3656185545312961E-2"/>
    <n v="0.15302491103202848"/>
    <n v="1.2135290628706998"/>
    <n v="7.9302713178294573"/>
    <n v="2"/>
    <x v="1"/>
    <s v="February"/>
  </r>
  <r>
    <s v="CMP-00748"/>
    <s v="Q1_Launch_CMP-00748"/>
    <x v="3"/>
    <s v="Launch"/>
    <d v="2023-02-05T00:00:00"/>
    <d v="2023-03-04T00:00:00"/>
    <x v="0"/>
    <n v="62529"/>
    <n v="1264"/>
    <n v="634.54999999999995"/>
    <n v="193"/>
    <s v="No"/>
    <s v="TikTok"/>
    <n v="27"/>
    <n v="2.0214620416126917E-2"/>
    <n v="0.15268987341772153"/>
    <n v="0.50201740506329107"/>
    <n v="3.2878238341968911"/>
    <n v="2"/>
    <x v="1"/>
    <s v="February"/>
  </r>
  <r>
    <s v="CMP-01576"/>
    <s v="Q2_Launch_CMP-01576"/>
    <x v="0"/>
    <s v="Launch"/>
    <d v="2023-02-05T00:00:00"/>
    <d v="2023-02-10T00:00:00"/>
    <x v="4"/>
    <n v="30430"/>
    <n v="378"/>
    <n v="383.39"/>
    <n v="62"/>
    <s v="Yes"/>
    <s v="Google Ads"/>
    <n v="5"/>
    <n v="1.2421952021031876E-2"/>
    <n v="0.16402116402116401"/>
    <n v="1.0142592592592592"/>
    <n v="6.1837096774193547"/>
    <n v="2"/>
    <x v="1"/>
    <s v="February"/>
  </r>
  <r>
    <s v="CMP-00302"/>
    <s v="Q3_Launch_CMP-00302"/>
    <x v="1"/>
    <s v="Launch"/>
    <d v="2023-02-05T00:00:00"/>
    <d v="2023-02-08T00:00:00"/>
    <x v="2"/>
    <n v="49354"/>
    <n v="2115"/>
    <n v="2252.04"/>
    <n v="322"/>
    <s v="Yes"/>
    <s v="IG"/>
    <n v="3"/>
    <n v="4.2853669408761196E-2"/>
    <n v="0.15224586288416075"/>
    <n v="1.0647943262411348"/>
    <n v="6.993913043478261"/>
    <n v="2"/>
    <x v="1"/>
    <s v="February"/>
  </r>
  <r>
    <s v="CMP-00997"/>
    <s v="Q4_Winstagramter_CMP-00997"/>
    <x v="2"/>
    <s v="Winstagramter"/>
    <d v="2023-02-05T00:00:00"/>
    <d v="2023-05-16T00:00:00"/>
    <x v="2"/>
    <n v="77090"/>
    <n v="2986"/>
    <n v="5013.16"/>
    <n v="347"/>
    <s v="No"/>
    <s v="IG"/>
    <n v="100"/>
    <n v="3.8733947334284605E-2"/>
    <n v="0.11620897521768252"/>
    <n v="1.6788881446751507"/>
    <n v="14.447146974063401"/>
    <n v="2"/>
    <x v="1"/>
    <s v="February"/>
  </r>
  <r>
    <s v="CMP-01053"/>
    <s v="Q4_Winstagramter_CMP-01053"/>
    <x v="2"/>
    <s v="Winstagramter"/>
    <d v="2023-02-05T00:00:00"/>
    <d v="2023-03-03T00:00:00"/>
    <x v="3"/>
    <n v="60383"/>
    <n v="1691"/>
    <n v="910.97"/>
    <n v="128"/>
    <s v="No"/>
    <s v="FB"/>
    <n v="26"/>
    <n v="2.8004570822913733E-2"/>
    <n v="7.5694855115316387E-2"/>
    <n v="0.53871673565937317"/>
    <n v="7.1169531250000002"/>
    <n v="2"/>
    <x v="1"/>
    <s v="February"/>
  </r>
  <r>
    <s v="CMP-01315"/>
    <s v="Q1_Winstagramter_CMP-01315"/>
    <x v="3"/>
    <s v="Winstagramter"/>
    <d v="2023-02-05T00:00:00"/>
    <d v="2023-06-01T00:00:00"/>
    <x v="3"/>
    <n v="56106"/>
    <n v="1984"/>
    <n v="3382.46"/>
    <n v="306"/>
    <s v="No"/>
    <s v="FB"/>
    <n v="116"/>
    <n v="3.5361636901579153E-2"/>
    <n v="0.15423387096774194"/>
    <n v="1.7048689516129032"/>
    <n v="11.053790849673202"/>
    <n v="2"/>
    <x v="1"/>
    <s v="February"/>
  </r>
  <r>
    <s v="CMP-00263"/>
    <s v="Q3_BlackFriday_CMP-00263"/>
    <x v="1"/>
    <s v="BlackFriday"/>
    <d v="2023-02-06T00:00:00"/>
    <d v="2023-02-17T00:00:00"/>
    <x v="3"/>
    <n v="12111"/>
    <n v="128"/>
    <n v="221.03"/>
    <n v="0"/>
    <s v="Yes"/>
    <s v="FB"/>
    <n v="11"/>
    <n v="1.056890430187433E-2"/>
    <n v="0"/>
    <n v="1.726796875"/>
    <s v="0"/>
    <n v="2"/>
    <x v="1"/>
    <s v="February"/>
  </r>
  <r>
    <s v="CMP-01641"/>
    <s v="Q3_Launch_CMP-01641"/>
    <x v="1"/>
    <s v="Launch"/>
    <d v="2023-02-06T00:00:00"/>
    <d v="2023-03-03T00:00:00"/>
    <x v="2"/>
    <n v="65754"/>
    <n v="2102"/>
    <n v="2984.27"/>
    <n v="235"/>
    <s v="No"/>
    <s v="IG"/>
    <n v="25"/>
    <n v="3.1967636949843357E-2"/>
    <n v="0.11179828734538534"/>
    <n v="1.4197288296860133"/>
    <n v="12.699021276595744"/>
    <n v="2"/>
    <x v="1"/>
    <s v="February"/>
  </r>
  <r>
    <s v="CMP-00249"/>
    <s v="Q1_Summer_CMP-00249"/>
    <x v="3"/>
    <s v="Summer"/>
    <d v="2023-02-07T00:00:00"/>
    <d v="2023-02-19T00:00:00"/>
    <x v="3"/>
    <n v="3811"/>
    <n v="85"/>
    <n v="109.15"/>
    <n v="7"/>
    <s v="Yes"/>
    <s v="FB"/>
    <n v="12"/>
    <n v="2.2303857255313565E-2"/>
    <n v="8.2352941176470587E-2"/>
    <n v="1.2841176470588236"/>
    <n v="15.592857142857143"/>
    <n v="2"/>
    <x v="1"/>
    <s v="February"/>
  </r>
  <r>
    <s v="CMP-00789"/>
    <s v="Q1_Summer_CMP-00789"/>
    <x v="3"/>
    <s v="Summer"/>
    <d v="2023-02-07T00:00:00"/>
    <d v="2023-02-11T00:00:00"/>
    <x v="4"/>
    <n v="73474"/>
    <n v="3081"/>
    <n v="5528.9"/>
    <n v="363"/>
    <s v="Yes"/>
    <s v="Google Ads"/>
    <n v="4"/>
    <n v="4.1933200860168225E-2"/>
    <n v="0.11781888997078871"/>
    <n v="1.7945147679324893"/>
    <n v="15.231129476584021"/>
    <n v="2"/>
    <x v="1"/>
    <s v="February"/>
  </r>
  <r>
    <s v="CMP-01416"/>
    <s v="Q1_Launch_CMP-01416"/>
    <x v="3"/>
    <s v="Launch"/>
    <d v="2023-02-07T00:00:00"/>
    <d v="2023-03-07T00:00:00"/>
    <x v="1"/>
    <n v="5263"/>
    <n v="241"/>
    <n v="159.55000000000001"/>
    <n v="42"/>
    <s v="Yes"/>
    <s v="Email"/>
    <n v="28"/>
    <n v="4.5791373741212234E-2"/>
    <n v="0.17427385892116182"/>
    <n v="0.66203319502074698"/>
    <n v="3.7988095238095241"/>
    <n v="2"/>
    <x v="1"/>
    <s v="February"/>
  </r>
  <r>
    <s v="CMP-01447"/>
    <s v="Q1_Launch_CMP-01447"/>
    <x v="3"/>
    <s v="Launch"/>
    <d v="2023-02-07T00:00:00"/>
    <d v="2023-02-22T00:00:00"/>
    <x v="1"/>
    <n v="24150"/>
    <n v="415"/>
    <n v="770.32"/>
    <n v="70"/>
    <s v="Yes"/>
    <s v="Email"/>
    <n v="15"/>
    <n v="1.7184265010351966E-2"/>
    <n v="0.16867469879518071"/>
    <n v="1.8561927710843376"/>
    <n v="11.004571428571429"/>
    <n v="2"/>
    <x v="1"/>
    <s v="February"/>
  </r>
  <r>
    <s v="CMP-00100"/>
    <s v="Q2_BlackFriday_CMP-00100"/>
    <x v="0"/>
    <s v="BlackFriday"/>
    <d v="2023-02-07T00:00:00"/>
    <d v="2023-02-18T00:00:00"/>
    <x v="0"/>
    <n v="3568"/>
    <n v="81"/>
    <n v="90.9"/>
    <n v="8"/>
    <s v="Yes"/>
    <s v="TikTok"/>
    <n v="11"/>
    <n v="2.2701793721973094E-2"/>
    <n v="9.8765432098765427E-2"/>
    <n v="1.1222222222222222"/>
    <n v="11.362500000000001"/>
    <n v="2"/>
    <x v="1"/>
    <s v="February"/>
  </r>
  <r>
    <s v="CMP-00406"/>
    <s v="Q2_BlackFriday_CMP-00406"/>
    <x v="0"/>
    <s v="BlackFriday"/>
    <d v="2023-02-07T00:00:00"/>
    <d v="2023-02-16T00:00:00"/>
    <x v="3"/>
    <n v="71316"/>
    <n v="2779"/>
    <n v="2178.9899999999998"/>
    <n v="234"/>
    <s v="No"/>
    <s v="FB"/>
    <n v="9"/>
    <n v="3.8967412642324305E-2"/>
    <n v="8.4202950701691259E-2"/>
    <n v="0.78409139978409492"/>
    <n v="9.3119230769230761"/>
    <n v="2"/>
    <x v="1"/>
    <s v="February"/>
  </r>
  <r>
    <s v="CMP-01131"/>
    <s v="Q3_Launch_CMP-01131"/>
    <x v="1"/>
    <s v="Launch"/>
    <d v="2023-02-07T00:00:00"/>
    <d v="2023-03-06T00:00:00"/>
    <x v="1"/>
    <n v="97646"/>
    <n v="1786"/>
    <n v="2124.39"/>
    <n v="272"/>
    <s v="Yes"/>
    <s v="Email"/>
    <n v="27"/>
    <n v="1.829055977715421E-2"/>
    <n v="0.1522956326987682"/>
    <n v="1.1894680851063828"/>
    <n v="7.8102573529411758"/>
    <n v="2"/>
    <x v="1"/>
    <s v="February"/>
  </r>
  <r>
    <s v="CMP-00098"/>
    <s v="Q4_Summer_CMP-00098"/>
    <x v="2"/>
    <s v="Summer"/>
    <d v="2023-02-07T00:00:00"/>
    <d v="2023-02-26T00:00:00"/>
    <x v="5"/>
    <n v="49984"/>
    <n v="1871"/>
    <n v="950.5"/>
    <n v="273"/>
    <s v="No"/>
    <s v="Not specified"/>
    <n v="19"/>
    <n v="3.7431978233034569E-2"/>
    <n v="0.1459112773917691"/>
    <n v="0.50801710315339388"/>
    <n v="3.4816849816849818"/>
    <n v="2"/>
    <x v="1"/>
    <s v="February"/>
  </r>
  <r>
    <s v="CMP-00478"/>
    <s v="Q4_BlackFriday_CMP-00478"/>
    <x v="2"/>
    <s v="BlackFriday"/>
    <d v="2023-02-07T00:00:00"/>
    <d v="2023-02-20T00:00:00"/>
    <x v="4"/>
    <n v="14500"/>
    <n v="691"/>
    <n v="1156.0999999999999"/>
    <n v="44"/>
    <s v="Yes"/>
    <s v="Google Ads"/>
    <n v="13"/>
    <n v="4.7655172413793107E-2"/>
    <n v="6.3675832127351659E-2"/>
    <n v="1.6730824891461649"/>
    <n v="26.274999999999999"/>
    <n v="2"/>
    <x v="1"/>
    <s v="February"/>
  </r>
  <r>
    <s v="CMP-01440"/>
    <s v="Q4_BlackFriday_CMP-01440"/>
    <x v="2"/>
    <s v="BlackFriday"/>
    <d v="2023-02-07T00:00:00"/>
    <d v="2023-02-14T00:00:00"/>
    <x v="3"/>
    <n v="73355"/>
    <n v="1773"/>
    <n v="1596.79"/>
    <n v="251"/>
    <s v="No"/>
    <s v="FB"/>
    <n v="7"/>
    <n v="2.4170131552041441E-2"/>
    <n v="0.14156796390298929"/>
    <n v="0.90061477721376193"/>
    <n v="6.3617131474103585"/>
    <n v="2"/>
    <x v="1"/>
    <s v="February"/>
  </r>
  <r>
    <s v="CMP-01344"/>
    <s v="Q1_Launch_CMP-01344"/>
    <x v="3"/>
    <s v="Launch"/>
    <d v="2023-02-08T00:00:00"/>
    <d v="2023-02-20T00:00:00"/>
    <x v="3"/>
    <n v="5425"/>
    <n v="202"/>
    <n v="193.19"/>
    <n v="36"/>
    <s v="Yes"/>
    <s v="FB"/>
    <n v="12"/>
    <n v="3.7235023041474656E-2"/>
    <n v="0.17821782178217821"/>
    <n v="0.95638613861386135"/>
    <n v="5.3663888888888884"/>
    <n v="2"/>
    <x v="1"/>
    <s v="February"/>
  </r>
  <r>
    <s v="CMP-00209"/>
    <s v="Q2_Launch_CMP-00209"/>
    <x v="0"/>
    <s v="Launch"/>
    <d v="2023-02-08T00:00:00"/>
    <d v="2023-03-01T00:00:00"/>
    <x v="5"/>
    <n v="66318"/>
    <n v="990"/>
    <n v="1037.9100000000001"/>
    <n v="122"/>
    <s v="No"/>
    <s v="Not specified"/>
    <n v="21"/>
    <n v="1.4928073826110558E-2"/>
    <n v="0.12323232323232323"/>
    <n v="1.0483939393939394"/>
    <n v="8.5074590163934438"/>
    <n v="2"/>
    <x v="1"/>
    <s v="February"/>
  </r>
  <r>
    <s v="CMP-00579"/>
    <s v="Q2_BlackFriday_CMP-00579"/>
    <x v="0"/>
    <s v="BlackFriday"/>
    <d v="2023-02-08T00:00:00"/>
    <d v="2023-02-21T00:00:00"/>
    <x v="0"/>
    <n v="45425"/>
    <n v="1832"/>
    <n v="1670.01"/>
    <n v="141"/>
    <s v="Yes"/>
    <s v="TikTok"/>
    <n v="13"/>
    <n v="4.0330214639515687E-2"/>
    <n v="7.6965065502183405E-2"/>
    <n v="0.91157751091703054"/>
    <n v="11.844042553191489"/>
    <n v="2"/>
    <x v="1"/>
    <s v="February"/>
  </r>
  <r>
    <s v="CMP-00812"/>
    <s v="Q2_BlackFriday_CMP-00812"/>
    <x v="0"/>
    <s v="BlackFriday"/>
    <d v="2023-02-08T00:00:00"/>
    <d v="2023-03-03T00:00:00"/>
    <x v="1"/>
    <n v="5809"/>
    <n v="126"/>
    <n v="87.07"/>
    <n v="16"/>
    <s v="Yes"/>
    <s v="Email"/>
    <n v="23"/>
    <n v="2.1690480289206403E-2"/>
    <n v="0.12698412698412698"/>
    <n v="0.691031746031746"/>
    <n v="5.4418749999999996"/>
    <n v="2"/>
    <x v="1"/>
    <s v="February"/>
  </r>
  <r>
    <s v="CMP-01159"/>
    <s v="Q2_Launch_CMP-01159"/>
    <x v="0"/>
    <s v="Launch"/>
    <d v="2023-02-08T00:00:00"/>
    <d v="2023-02-11T00:00:00"/>
    <x v="4"/>
    <n v="47197"/>
    <n v="1896"/>
    <n v="1671.91"/>
    <n v="234"/>
    <s v="No"/>
    <s v="Google Ads"/>
    <n v="3"/>
    <n v="4.0172044833358053E-2"/>
    <n v="0.12341772151898735"/>
    <n v="0.88180907172995782"/>
    <n v="7.14491452991453"/>
    <n v="2"/>
    <x v="1"/>
    <s v="February"/>
  </r>
  <r>
    <s v="CMP-00361"/>
    <s v="Q3_Launch_CMP-00361"/>
    <x v="1"/>
    <s v="Launch"/>
    <d v="2023-02-08T00:00:00"/>
    <d v="2023-03-02T00:00:00"/>
    <x v="5"/>
    <n v="33635"/>
    <n v="1544"/>
    <n v="1508.6"/>
    <n v="0"/>
    <s v="Yes"/>
    <s v="Not specified"/>
    <n v="22"/>
    <n v="4.5904563698528321E-2"/>
    <n v="0"/>
    <n v="0.97707253886010359"/>
    <s v="0"/>
    <n v="2"/>
    <x v="1"/>
    <s v="February"/>
  </r>
  <r>
    <s v="CMP-01092"/>
    <s v="Q3_Summer_CMP-01092"/>
    <x v="1"/>
    <s v="Summer"/>
    <d v="2023-02-08T00:00:00"/>
    <d v="2023-03-08T00:00:00"/>
    <x v="1"/>
    <n v="31523"/>
    <n v="837"/>
    <n v="1659.61"/>
    <n v="75"/>
    <s v="Yes"/>
    <s v="Email"/>
    <n v="28"/>
    <n v="2.6552041366621197E-2"/>
    <n v="8.9605734767025089E-2"/>
    <n v="1.9828076463560333"/>
    <n v="22.128133333333331"/>
    <n v="2"/>
    <x v="1"/>
    <s v="February"/>
  </r>
  <r>
    <s v="CMP-01313"/>
    <s v="Q3_BlackFriday_CMP-01313"/>
    <x v="1"/>
    <s v="BlackFriday"/>
    <d v="2023-02-08T00:00:00"/>
    <d v="2023-02-15T00:00:00"/>
    <x v="1"/>
    <n v="82244"/>
    <n v="1707"/>
    <n v="1594.61"/>
    <n v="143"/>
    <s v="Yes"/>
    <s v="Email"/>
    <n v="7"/>
    <n v="2.0755313457516657E-2"/>
    <n v="8.3772700644405396E-2"/>
    <n v="0.9341593438781487"/>
    <n v="11.151118881118881"/>
    <n v="2"/>
    <x v="1"/>
    <s v="February"/>
  </r>
  <r>
    <s v="CMP-00838"/>
    <s v="Q4_Launch_CMP-00838"/>
    <x v="2"/>
    <s v="Launch"/>
    <d v="2023-02-08T00:00:00"/>
    <d v="2023-02-24T00:00:00"/>
    <x v="3"/>
    <n v="43944"/>
    <n v="885"/>
    <n v="742.15"/>
    <n v="103"/>
    <s v="Yes"/>
    <s v="FB"/>
    <n v="16"/>
    <n v="2.0139268159475695E-2"/>
    <n v="0.11638418079096045"/>
    <n v="0.83858757062146894"/>
    <n v="7.2053398058252425"/>
    <n v="2"/>
    <x v="1"/>
    <s v="February"/>
  </r>
  <r>
    <s v="CMP-01482"/>
    <s v="Q4_Winstagramter_CMP-01482"/>
    <x v="2"/>
    <s v="Winstagramter"/>
    <d v="2023-02-08T00:00:00"/>
    <d v="2023-03-03T00:00:00"/>
    <x v="3"/>
    <n v="86469"/>
    <n v="1936"/>
    <n v="1371.66"/>
    <n v="148"/>
    <s v="Yes"/>
    <s v="FB"/>
    <n v="23"/>
    <n v="2.2389526882466548E-2"/>
    <n v="7.6446280991735532E-2"/>
    <n v="0.70850206611570254"/>
    <n v="9.2679729729729736"/>
    <n v="2"/>
    <x v="1"/>
    <s v="February"/>
  </r>
  <r>
    <s v="CMP-00176"/>
    <s v="Q1_Launch_CMP-00176"/>
    <x v="3"/>
    <s v="Launch"/>
    <d v="2023-02-09T00:00:00"/>
    <d v="2023-03-08T00:00:00"/>
    <x v="0"/>
    <n v="16707"/>
    <n v="239"/>
    <n v="197.02"/>
    <n v="22"/>
    <s v="No"/>
    <s v="TikTok"/>
    <n v="27"/>
    <n v="1.4305380978033159E-2"/>
    <n v="9.2050209205020925E-2"/>
    <n v="0.82435146443514651"/>
    <n v="8.9554545454545451"/>
    <n v="2"/>
    <x v="1"/>
    <s v="February"/>
  </r>
  <r>
    <s v="CMP-01773"/>
    <s v="Q1_Winstagramter_CMP-01773"/>
    <x v="3"/>
    <s v="Winstagramter"/>
    <d v="2023-02-09T00:00:00"/>
    <d v="2023-02-24T00:00:00"/>
    <x v="3"/>
    <n v="30257"/>
    <n v="1379"/>
    <n v="2470.06"/>
    <n v="0"/>
    <s v="Yes"/>
    <s v="FB"/>
    <n v="15"/>
    <n v="4.5576230293816307E-2"/>
    <n v="0"/>
    <n v="1.7911965192168238"/>
    <s v="0"/>
    <n v="2"/>
    <x v="1"/>
    <s v="February"/>
  </r>
  <r>
    <s v="CMP-00457"/>
    <s v="Q2_Summer_CMP-00457"/>
    <x v="0"/>
    <s v="Summer"/>
    <d v="2023-02-09T00:00:00"/>
    <d v="2023-03-10T00:00:00"/>
    <x v="3"/>
    <n v="80634"/>
    <n v="2052"/>
    <n v="3426.8"/>
    <n v="280"/>
    <s v="No"/>
    <s v="FB"/>
    <n v="29"/>
    <n v="2.5448322047771411E-2"/>
    <n v="0.1364522417153996"/>
    <n v="1.6699805068226121"/>
    <n v="12.238571428571429"/>
    <n v="2"/>
    <x v="1"/>
    <s v="February"/>
  </r>
  <r>
    <s v="CMP-00871"/>
    <s v="Q2_Winstagramter_CMP-00871"/>
    <x v="0"/>
    <s v="Winstagramter"/>
    <d v="2023-02-09T00:00:00"/>
    <d v="2023-03-11T00:00:00"/>
    <x v="0"/>
    <n v="98239"/>
    <n v="1488"/>
    <n v="1842.27"/>
    <n v="287"/>
    <s v="Yes"/>
    <s v="TikTok"/>
    <n v="30"/>
    <n v="1.5146733985484381E-2"/>
    <n v="0.1928763440860215"/>
    <n v="1.2380846774193548"/>
    <n v="6.4190592334494774"/>
    <n v="2"/>
    <x v="1"/>
    <s v="February"/>
  </r>
  <r>
    <s v="CMP-01050"/>
    <s v="Q2_Launch_CMP-01050"/>
    <x v="0"/>
    <s v="Launch"/>
    <d v="2023-02-09T00:00:00"/>
    <d v="2023-02-21T00:00:00"/>
    <x v="2"/>
    <n v="33254"/>
    <n v="1117"/>
    <n v="883.82"/>
    <n v="214"/>
    <s v="No"/>
    <s v="IG"/>
    <n v="12"/>
    <n v="3.3589944066879172E-2"/>
    <n v="0.19158460161145927"/>
    <n v="0.79124440465532686"/>
    <n v="4.13"/>
    <n v="2"/>
    <x v="1"/>
    <s v="February"/>
  </r>
  <r>
    <s v="CMP-01745"/>
    <s v="Q4_Launch_CMP-01745"/>
    <x v="2"/>
    <s v="Launch"/>
    <d v="2023-02-09T00:00:00"/>
    <d v="2023-02-14T00:00:00"/>
    <x v="5"/>
    <n v="23890"/>
    <n v="741"/>
    <n v="731.3"/>
    <n v="145"/>
    <s v="Yes"/>
    <s v="Not specified"/>
    <n v="5"/>
    <n v="3.1017161992465465E-2"/>
    <n v="0.19568151147098514"/>
    <n v="0.98690958164642373"/>
    <n v="5.0434482758620689"/>
    <n v="2"/>
    <x v="1"/>
    <s v="February"/>
  </r>
  <r>
    <s v="CMP-01024"/>
    <s v="Q1_Winstagramter_CMP-01024"/>
    <x v="3"/>
    <s v="Winstagramter"/>
    <d v="2023-02-10T00:00:00"/>
    <d v="2023-02-17T00:00:00"/>
    <x v="0"/>
    <n v="88886"/>
    <n v="1300"/>
    <n v="678.41"/>
    <n v="66"/>
    <s v="Yes"/>
    <s v="TikTok"/>
    <n v="7"/>
    <n v="1.4625475327948159E-2"/>
    <n v="5.0769230769230768E-2"/>
    <n v="0.52185384615384611"/>
    <n v="10.278939393939394"/>
    <n v="2"/>
    <x v="1"/>
    <s v="February"/>
  </r>
  <r>
    <s v="CMP-01601"/>
    <s v="Q1_Summer_CMP-01601"/>
    <x v="3"/>
    <s v="Summer"/>
    <d v="2023-02-10T00:00:00"/>
    <d v="2023-02-16T00:00:00"/>
    <x v="0"/>
    <n v="13676"/>
    <n v="553"/>
    <n v="348.76"/>
    <n v="87"/>
    <s v="No"/>
    <s v="TikTok"/>
    <n v="6"/>
    <n v="4.0435799941503363E-2"/>
    <n v="0.15732368896925858"/>
    <n v="0.63066907775768533"/>
    <n v="4.0087356321839076"/>
    <n v="2"/>
    <x v="1"/>
    <s v="February"/>
  </r>
  <r>
    <s v="CMP-00015"/>
    <s v="Q2_Summer_CMP-00015"/>
    <x v="0"/>
    <s v="Summer"/>
    <d v="2023-02-10T00:00:00"/>
    <d v="2023-02-16T00:00:00"/>
    <x v="4"/>
    <n v="1769"/>
    <n v="85"/>
    <n v="139.18"/>
    <n v="11"/>
    <s v="Yes"/>
    <s v="Google Ads"/>
    <n v="6"/>
    <n v="4.8049745618993785E-2"/>
    <n v="0.12941176470588237"/>
    <n v="1.6374117647058823"/>
    <n v="12.652727272727274"/>
    <n v="2"/>
    <x v="1"/>
    <s v="February"/>
  </r>
  <r>
    <s v="CMP-00536"/>
    <s v="Q2_Winstagramter_CMP-00536"/>
    <x v="0"/>
    <s v="Winstagramter"/>
    <d v="2023-02-10T00:00:00"/>
    <d v="2023-03-12T00:00:00"/>
    <x v="0"/>
    <n v="60275"/>
    <n v="2418"/>
    <n v="4699.12"/>
    <n v="391"/>
    <s v="Yes"/>
    <s v="TikTok"/>
    <n v="30"/>
    <n v="4.0116134384073E-2"/>
    <n v="0.16170388751033912"/>
    <n v="1.9433912324234905"/>
    <n v="12.018209718670077"/>
    <n v="2"/>
    <x v="1"/>
    <s v="February"/>
  </r>
  <r>
    <s v="CMP-01649"/>
    <s v="Q2_Winstagramter_CMP-01649"/>
    <x v="0"/>
    <s v="Winstagramter"/>
    <d v="2023-02-10T00:00:00"/>
    <d v="2023-02-12T00:00:00"/>
    <x v="2"/>
    <n v="15199"/>
    <n v="227"/>
    <n v="287.49"/>
    <n v="24"/>
    <s v="No"/>
    <s v="IG"/>
    <n v="2"/>
    <n v="1.4935193104809527E-2"/>
    <n v="0.10572687224669604"/>
    <n v="1.2664757709251102"/>
    <n v="11.97875"/>
    <n v="2"/>
    <x v="1"/>
    <s v="February"/>
  </r>
  <r>
    <s v="CMP-01187"/>
    <s v="Q4_Launch_CMP-01187"/>
    <x v="2"/>
    <s v="Launch"/>
    <d v="2023-02-10T00:00:00"/>
    <d v="2023-02-27T00:00:00"/>
    <x v="1"/>
    <n v="76916"/>
    <n v="1448"/>
    <n v="1509.5"/>
    <n v="258"/>
    <s v="Yes"/>
    <s v="Email"/>
    <n v="17"/>
    <n v="1.8825731967340994E-2"/>
    <n v="0.17817679558011049"/>
    <n v="1.0424723756906078"/>
    <n v="5.8507751937984498"/>
    <n v="2"/>
    <x v="1"/>
    <s v="February"/>
  </r>
  <r>
    <s v="CMP-01193"/>
    <s v="Q4_Launch_CMP-01193"/>
    <x v="2"/>
    <s v="Launch"/>
    <d v="2023-02-10T00:00:00"/>
    <d v="2023-03-05T00:00:00"/>
    <x v="0"/>
    <n v="28306"/>
    <n v="880"/>
    <n v="600.64"/>
    <n v="126"/>
    <s v="No"/>
    <s v="TikTok"/>
    <n v="23"/>
    <n v="3.1088815092206599E-2"/>
    <n v="0.14318181818181819"/>
    <n v="0.68254545454545457"/>
    <n v="4.7669841269841271"/>
    <n v="2"/>
    <x v="1"/>
    <s v="February"/>
  </r>
  <r>
    <s v="CMP-01740"/>
    <s v="Q4_Winstagramter_CMP-01740"/>
    <x v="2"/>
    <s v="Winstagramter"/>
    <d v="2023-02-10T00:00:00"/>
    <d v="2023-02-17T00:00:00"/>
    <x v="3"/>
    <n v="50138"/>
    <n v="1249"/>
    <n v="2221.12"/>
    <n v="107"/>
    <s v="No"/>
    <s v="FB"/>
    <n v="7"/>
    <n v="2.4911244963899636E-2"/>
    <n v="8.5668534827862283E-2"/>
    <n v="1.7783186549239391"/>
    <n v="20.758130841121496"/>
    <n v="2"/>
    <x v="1"/>
    <s v="February"/>
  </r>
  <r>
    <s v="CMP-01851"/>
    <s v="Q4_Launch_CMP-01851"/>
    <x v="2"/>
    <s v="Launch"/>
    <d v="2023-02-10T00:00:00"/>
    <d v="2023-03-07T00:00:00"/>
    <x v="1"/>
    <n v="13857"/>
    <n v="596"/>
    <n v="658.31"/>
    <n v="0"/>
    <s v="Yes"/>
    <s v="Email"/>
    <n v="25"/>
    <n v="4.3010752688172046E-2"/>
    <n v="0"/>
    <n v="1.1045469798657717"/>
    <s v="0"/>
    <n v="2"/>
    <x v="1"/>
    <s v="February"/>
  </r>
  <r>
    <s v="CMP-01505"/>
    <s v="Q2_Winstagramter_CMP-01505"/>
    <x v="0"/>
    <s v="Winstagramter"/>
    <d v="2023-02-10T00:00:00"/>
    <d v="2023-12-01T00:00:00"/>
    <x v="0"/>
    <n v="2750"/>
    <n v="126"/>
    <n v="188.38"/>
    <n v="12"/>
    <s v="No"/>
    <s v="TikTok"/>
    <n v="294"/>
    <n v="4.581818181818182E-2"/>
    <n v="9.5238095238095233E-2"/>
    <n v="1.495079365079365"/>
    <n v="15.698333333333332"/>
    <n v="2"/>
    <x v="1"/>
    <s v="February"/>
  </r>
  <r>
    <s v="CMP-00090"/>
    <s v="Q3_BlackFriday_CMP-00090"/>
    <x v="1"/>
    <s v="BlackFriday"/>
    <d v="2023-02-11T00:00:00"/>
    <d v="2023-11-23T00:00:00"/>
    <x v="2"/>
    <n v="13185"/>
    <n v="250"/>
    <n v="242.07"/>
    <n v="14"/>
    <s v="Yes"/>
    <s v="IG"/>
    <n v="285"/>
    <n v="1.8960940462646948E-2"/>
    <n v="5.6000000000000001E-2"/>
    <n v="0.96827999999999992"/>
    <n v="17.290714285714284"/>
    <n v="2"/>
    <x v="1"/>
    <s v="February"/>
  </r>
  <r>
    <s v="CMP-00829"/>
    <s v="Q3_Summer_CMP-00829"/>
    <x v="1"/>
    <s v="Summer"/>
    <d v="2023-02-11T00:00:00"/>
    <d v="2023-03-05T00:00:00"/>
    <x v="5"/>
    <n v="8239"/>
    <n v="380"/>
    <n v="654.71"/>
    <n v="61"/>
    <s v="Yes"/>
    <s v="Not specified"/>
    <n v="22"/>
    <n v="4.6122102196868554E-2"/>
    <n v="0.16052631578947368"/>
    <n v="1.722921052631579"/>
    <n v="10.732950819672132"/>
    <n v="2"/>
    <x v="1"/>
    <s v="February"/>
  </r>
  <r>
    <s v="CMP-00272"/>
    <s v="Q4_Launch_CMP-00272"/>
    <x v="2"/>
    <s v="Launch"/>
    <d v="2023-02-11T00:00:00"/>
    <d v="2023-03-08T00:00:00"/>
    <x v="0"/>
    <n v="61713"/>
    <n v="2087"/>
    <n v="1918.21"/>
    <n v="200"/>
    <s v="Yes"/>
    <s v="TikTok"/>
    <n v="25"/>
    <n v="3.3817834167841461E-2"/>
    <n v="9.5831336847149021E-2"/>
    <n v="0.91912314326784861"/>
    <n v="9.591050000000001"/>
    <n v="2"/>
    <x v="1"/>
    <s v="February"/>
  </r>
  <r>
    <s v="CMP-01215"/>
    <s v="Q2_Launch_CMP-01215"/>
    <x v="0"/>
    <s v="Launch"/>
    <d v="2023-02-11T00:00:00"/>
    <d v="2023-08-02T00:00:00"/>
    <x v="4"/>
    <n v="37244"/>
    <n v="1415"/>
    <n v="1936.38"/>
    <n v="142"/>
    <s v="Yes"/>
    <s v="Google Ads"/>
    <n v="172"/>
    <n v="3.7992696810224463E-2"/>
    <n v="0.10035335689045936"/>
    <n v="1.3684664310954064"/>
    <n v="13.636478873239437"/>
    <n v="2"/>
    <x v="1"/>
    <s v="February"/>
  </r>
  <r>
    <s v="CMP-01543"/>
    <s v="Q2_Winstagramter_CMP-01543"/>
    <x v="0"/>
    <s v="Winstagramter"/>
    <d v="2023-02-12T00:00:00"/>
    <d v="2023-02-20T00:00:00"/>
    <x v="0"/>
    <n v="18850"/>
    <n v="869"/>
    <n v="749.74"/>
    <n v="99"/>
    <s v="Yes"/>
    <s v="TikTok"/>
    <n v="8"/>
    <n v="4.610079575596817E-2"/>
    <n v="0.11392405063291139"/>
    <n v="0.86276179516685847"/>
    <n v="7.5731313131313129"/>
    <n v="2"/>
    <x v="1"/>
    <s v="February"/>
  </r>
  <r>
    <s v="CMP-00856"/>
    <s v="Q4_Summer_CMP-00856"/>
    <x v="2"/>
    <s v="Summer"/>
    <d v="2023-02-12T00:00:00"/>
    <d v="2023-02-14T00:00:00"/>
    <x v="2"/>
    <n v="82317"/>
    <n v="2167"/>
    <n v="3341.47"/>
    <n v="234"/>
    <s v="Yes"/>
    <s v="IG"/>
    <n v="2"/>
    <n v="2.632506043709076E-2"/>
    <n v="0.10798338717120443"/>
    <n v="1.541979695431472"/>
    <n v="14.279786324786324"/>
    <n v="2"/>
    <x v="1"/>
    <s v="February"/>
  </r>
  <r>
    <s v="CMP-01459"/>
    <s v="Q1_Launch_CMP-01459"/>
    <x v="3"/>
    <s v="Launch"/>
    <d v="2023-02-13T00:00:00"/>
    <d v="2023-03-10T00:00:00"/>
    <x v="0"/>
    <n v="25058"/>
    <n v="359"/>
    <n v="705.88"/>
    <n v="68"/>
    <s v="Yes"/>
    <s v="TikTok"/>
    <n v="25"/>
    <n v="1.4326761912363317E-2"/>
    <n v="0.1894150417827298"/>
    <n v="1.9662395543175488"/>
    <n v="10.380588235294118"/>
    <n v="2"/>
    <x v="1"/>
    <s v="February"/>
  </r>
  <r>
    <s v="CMP-00905"/>
    <s v="Q2_Summer_CMP-00905"/>
    <x v="0"/>
    <s v="Summer"/>
    <d v="2023-02-13T00:00:00"/>
    <d v="2023-02-19T00:00:00"/>
    <x v="3"/>
    <n v="76697"/>
    <n v="3458"/>
    <n v="6612.96"/>
    <n v="432"/>
    <s v="No"/>
    <s v="FB"/>
    <n v="6"/>
    <n v="4.5086509250687773E-2"/>
    <n v="0.12492770387507229"/>
    <n v="1.9123655292076345"/>
    <n v="15.307777777777778"/>
    <n v="2"/>
    <x v="1"/>
    <s v="February"/>
  </r>
  <r>
    <s v="CMP-01068"/>
    <s v="Q3_BlackFriday_CMP-01068"/>
    <x v="1"/>
    <s v="BlackFriday"/>
    <d v="2023-02-13T00:00:00"/>
    <d v="2023-02-21T00:00:00"/>
    <x v="0"/>
    <n v="98829"/>
    <n v="4730"/>
    <n v="5588.11"/>
    <n v="634"/>
    <s v="No"/>
    <s v="TikTok"/>
    <n v="8"/>
    <n v="4.786044582055874E-2"/>
    <n v="0.13403805496828752"/>
    <n v="1.1814186046511628"/>
    <n v="8.8140536277602521"/>
    <n v="2"/>
    <x v="1"/>
    <s v="February"/>
  </r>
  <r>
    <s v="CMP-01803"/>
    <s v="Q3_Launch_CMP-01803"/>
    <x v="1"/>
    <s v="Launch"/>
    <d v="2023-02-13T00:00:00"/>
    <d v="2023-03-15T00:00:00"/>
    <x v="1"/>
    <n v="88266"/>
    <n v="2235"/>
    <n v="1460.69"/>
    <n v="417"/>
    <s v="Yes"/>
    <s v="Email"/>
    <n v="30"/>
    <n v="2.532118822649718E-2"/>
    <n v="0.18657718120805369"/>
    <n v="0.65355257270693512"/>
    <n v="3.5028537170263792"/>
    <n v="2"/>
    <x v="1"/>
    <s v="February"/>
  </r>
  <r>
    <s v="CMP-00419"/>
    <s v="Q4_BlackFriday_CMP-00419"/>
    <x v="2"/>
    <s v="BlackFriday"/>
    <d v="2023-02-13T00:00:00"/>
    <d v="2023-03-05T00:00:00"/>
    <x v="4"/>
    <n v="94848"/>
    <n v="3946"/>
    <n v="3449.54"/>
    <n v="473"/>
    <s v="No"/>
    <s v="Google Ads"/>
    <n v="20"/>
    <n v="4.1603407557354928E-2"/>
    <n v="0.1198682209832742"/>
    <n v="0.87418651799290414"/>
    <n v="7.2928964059196613"/>
    <n v="2"/>
    <x v="1"/>
    <s v="February"/>
  </r>
  <r>
    <s v="CMP-01091"/>
    <s v="Q4_Winstagramter_CMP-01091"/>
    <x v="2"/>
    <s v="Winstagramter"/>
    <d v="2023-02-13T00:00:00"/>
    <d v="2023-02-18T00:00:00"/>
    <x v="2"/>
    <n v="59596"/>
    <n v="2802"/>
    <n v="1494.38"/>
    <n v="475"/>
    <s v="No"/>
    <s v="IG"/>
    <n v="5"/>
    <n v="4.7016578293845222E-2"/>
    <n v="0.16952177016416844"/>
    <n v="0.5333261955745896"/>
    <n v="3.1460631578947371"/>
    <n v="2"/>
    <x v="1"/>
    <s v="February"/>
  </r>
  <r>
    <s v="CMP-01815"/>
    <s v="Q2_Winstagramter_CMP-01815"/>
    <x v="0"/>
    <s v="Winstagramter"/>
    <d v="2023-02-13T00:00:00"/>
    <d v="2023-12-02T00:00:00"/>
    <x v="0"/>
    <n v="45569"/>
    <n v="1913"/>
    <n v="3097.66"/>
    <n v="259"/>
    <s v="Yes"/>
    <s v="TikTok"/>
    <n v="292"/>
    <n v="4.1980293620663169E-2"/>
    <n v="0.1353894406691061"/>
    <n v="1.6192681651855723"/>
    <n v="11.960077220077219"/>
    <n v="2"/>
    <x v="1"/>
    <s v="February"/>
  </r>
  <r>
    <s v="CMP-00221"/>
    <s v="Q1_Launch_CMP-00221"/>
    <x v="3"/>
    <s v="Launch"/>
    <d v="2023-02-14T00:00:00"/>
    <d v="2023-02-27T00:00:00"/>
    <x v="3"/>
    <n v="56680"/>
    <n v="1760"/>
    <n v="2745.62"/>
    <n v="205"/>
    <s v="No"/>
    <s v="FB"/>
    <n v="13"/>
    <n v="3.1051517290049402E-2"/>
    <n v="0.11647727272727272"/>
    <n v="1.5600113636363635"/>
    <n v="13.393268292682926"/>
    <n v="2"/>
    <x v="1"/>
    <s v="February"/>
  </r>
  <r>
    <s v="CMP-00596"/>
    <s v="Q2_BlackFriday_CMP-00596"/>
    <x v="0"/>
    <s v="BlackFriday"/>
    <d v="2023-02-14T00:00:00"/>
    <d v="2023-02-23T00:00:00"/>
    <x v="1"/>
    <n v="45811"/>
    <n v="790"/>
    <n v="933.47"/>
    <n v="153"/>
    <s v="Yes"/>
    <s v="Email"/>
    <n v="9"/>
    <n v="1.7244766540787146E-2"/>
    <n v="0.19367088607594937"/>
    <n v="1.1816075949367089"/>
    <n v="6.1011111111111109"/>
    <n v="2"/>
    <x v="1"/>
    <s v="February"/>
  </r>
  <r>
    <s v="CMP-01030"/>
    <s v="Q2_Winstagramter_CMP-01030"/>
    <x v="0"/>
    <s v="Winstagramter"/>
    <d v="2023-02-14T00:00:00"/>
    <d v="2023-02-23T00:00:00"/>
    <x v="3"/>
    <n v="11954"/>
    <n v="515"/>
    <n v="627.01"/>
    <n v="96"/>
    <s v="Yes"/>
    <s v="FB"/>
    <n v="9"/>
    <n v="4.3081813618872346E-2"/>
    <n v="0.18640776699029127"/>
    <n v="1.2174951456310679"/>
    <n v="6.5313541666666666"/>
    <n v="2"/>
    <x v="1"/>
    <s v="February"/>
  </r>
  <r>
    <s v="CMP-01449"/>
    <s v="Q2_Winstagramter_CMP-01449"/>
    <x v="0"/>
    <s v="Winstagramter"/>
    <d v="2023-02-14T00:00:00"/>
    <d v="2023-02-19T00:00:00"/>
    <x v="4"/>
    <n v="5853"/>
    <n v="189"/>
    <n v="375.7"/>
    <n v="9"/>
    <s v="Yes"/>
    <s v="Google Ads"/>
    <n v="5"/>
    <n v="3.2291132752434649E-2"/>
    <n v="4.7619047619047616E-2"/>
    <n v="1.9878306878306877"/>
    <n v="41.74444444444444"/>
    <n v="2"/>
    <x v="1"/>
    <s v="February"/>
  </r>
  <r>
    <s v="CMP-01573"/>
    <s v="Q3_Summer_CMP-01573"/>
    <x v="1"/>
    <s v="Summer"/>
    <d v="2023-02-14T00:00:00"/>
    <d v="2023-03-01T00:00:00"/>
    <x v="2"/>
    <n v="75038"/>
    <n v="2391"/>
    <n v="2620.31"/>
    <n v="363"/>
    <s v="Yes"/>
    <s v="IG"/>
    <n v="15"/>
    <n v="3.1863855646472455E-2"/>
    <n v="0.15181932245922208"/>
    <n v="1.09590547887913"/>
    <n v="7.2184848484848487"/>
    <n v="2"/>
    <x v="1"/>
    <s v="February"/>
  </r>
  <r>
    <s v="CMP-01915"/>
    <s v="Q3_Summer_CMP-01915"/>
    <x v="1"/>
    <s v="Summer"/>
    <d v="2023-02-14T00:00:00"/>
    <d v="2023-02-22T00:00:00"/>
    <x v="5"/>
    <n v="50930"/>
    <n v="1892"/>
    <n v="3377.7"/>
    <n v="264"/>
    <s v="No"/>
    <s v="Not specified"/>
    <n v="8"/>
    <n v="3.7149028077753776E-2"/>
    <n v="0.13953488372093023"/>
    <n v="1.7852536997885835"/>
    <n v="12.794318181818181"/>
    <n v="2"/>
    <x v="1"/>
    <s v="February"/>
  </r>
  <r>
    <s v="CMP-00951"/>
    <s v="Q4_BlackFriday_CMP-00951"/>
    <x v="2"/>
    <s v="BlackFriday"/>
    <d v="2023-02-14T00:00:00"/>
    <d v="2023-03-11T00:00:00"/>
    <x v="1"/>
    <n v="6126"/>
    <n v="160"/>
    <n v="119.01"/>
    <n v="28"/>
    <s v="No"/>
    <s v="Email"/>
    <n v="25"/>
    <n v="2.6118184786157361E-2"/>
    <n v="0.17499999999999999"/>
    <n v="0.74381249999999999"/>
    <n v="4.2503571428571432"/>
    <n v="2"/>
    <x v="1"/>
    <s v="February"/>
  </r>
  <r>
    <s v="CMP-01959"/>
    <s v="Q4_BlackFriday_CMP-01959"/>
    <x v="2"/>
    <s v="BlackFriday"/>
    <d v="2023-02-14T00:00:00"/>
    <d v="2023-03-15T00:00:00"/>
    <x v="0"/>
    <n v="84976"/>
    <n v="3051"/>
    <n v="4754.75"/>
    <n v="577"/>
    <s v="Yes"/>
    <s v="TikTok"/>
    <n v="29"/>
    <n v="3.5904255319148939E-2"/>
    <n v="0.1891183218616847"/>
    <n v="1.5584234677155031"/>
    <n v="8.2404679376083187"/>
    <n v="2"/>
    <x v="1"/>
    <s v="February"/>
  </r>
  <r>
    <s v="CMP-00396"/>
    <s v="Q3_Summer_CMP-00396"/>
    <x v="1"/>
    <s v="Summer"/>
    <d v="2023-02-14T00:00:00"/>
    <d v="2023-05-02T00:00:00"/>
    <x v="5"/>
    <n v="6801"/>
    <n v="116"/>
    <n v="221.39"/>
    <n v="13"/>
    <s v="Yes"/>
    <s v="Not specified"/>
    <n v="77"/>
    <n v="1.7056315247757681E-2"/>
    <n v="0.11206896551724138"/>
    <n v="1.9085344827586206"/>
    <n v="17.029999999999998"/>
    <n v="2"/>
    <x v="1"/>
    <s v="February"/>
  </r>
  <r>
    <s v="CMP-01822"/>
    <s v="Q1_Launch_CMP-01822"/>
    <x v="3"/>
    <s v="Launch"/>
    <d v="2023-02-15T00:00:00"/>
    <d v="2023-02-17T00:00:00"/>
    <x v="0"/>
    <n v="98768"/>
    <n v="2612"/>
    <n v="2544.9299999999998"/>
    <n v="250"/>
    <s v="Yes"/>
    <s v="TikTok"/>
    <n v="2"/>
    <n v="2.6445812408877369E-2"/>
    <n v="9.5712098009188368E-2"/>
    <n v="0.97432235834609493"/>
    <n v="10.17972"/>
    <n v="2"/>
    <x v="1"/>
    <s v="February"/>
  </r>
  <r>
    <s v="CMP-01276"/>
    <s v="Q2_BlackFriday_CMP-01276"/>
    <x v="0"/>
    <s v="BlackFriday"/>
    <d v="2023-02-15T00:00:00"/>
    <d v="2023-02-25T00:00:00"/>
    <x v="1"/>
    <n v="34719"/>
    <n v="489"/>
    <n v="827.68"/>
    <n v="62"/>
    <s v="Yes"/>
    <s v="Email"/>
    <n v="10"/>
    <n v="1.4084507042253521E-2"/>
    <n v="0.12678936605316973"/>
    <n v="1.6925971370143149"/>
    <n v="13.349677419354839"/>
    <n v="2"/>
    <x v="1"/>
    <s v="February"/>
  </r>
  <r>
    <s v="CMP-01710"/>
    <s v="Q3_Summer_CMP-01710"/>
    <x v="1"/>
    <s v="Summer"/>
    <d v="2023-02-15T00:00:00"/>
    <d v="2023-03-04T00:00:00"/>
    <x v="0"/>
    <n v="10516"/>
    <n v="109"/>
    <n v="149.77000000000001"/>
    <n v="7"/>
    <s v="Yes"/>
    <s v="TikTok"/>
    <n v="17"/>
    <n v="1.0365157854697604E-2"/>
    <n v="6.4220183486238536E-2"/>
    <n v="1.3740366972477065"/>
    <n v="21.395714285714288"/>
    <n v="2"/>
    <x v="1"/>
    <s v="February"/>
  </r>
  <r>
    <s v="CMP-00462"/>
    <s v="Q4_BlackFriday_CMP-00462"/>
    <x v="2"/>
    <s v="BlackFriday"/>
    <d v="2023-02-15T00:00:00"/>
    <d v="2023-03-04T00:00:00"/>
    <x v="0"/>
    <n v="9308"/>
    <n v="421"/>
    <n v="579.98"/>
    <n v="25"/>
    <s v="No"/>
    <s v="TikTok"/>
    <n v="17"/>
    <n v="4.5229909755049418E-2"/>
    <n v="5.9382422802850353E-2"/>
    <n v="1.3776247030878861"/>
    <n v="23.199200000000001"/>
    <n v="2"/>
    <x v="1"/>
    <s v="February"/>
  </r>
  <r>
    <s v="CMP-00704"/>
    <s v="Q4_Summer_CMP-00704"/>
    <x v="2"/>
    <s v="Summer"/>
    <d v="2023-02-15T00:00:00"/>
    <d v="2023-03-13T00:00:00"/>
    <x v="5"/>
    <n v="43918"/>
    <n v="1033"/>
    <n v="2050.13"/>
    <n v="0"/>
    <s v="No"/>
    <s v="Not specified"/>
    <n v="26"/>
    <n v="2.3521107518557311E-2"/>
    <n v="0"/>
    <n v="1.9846369796708616"/>
    <s v="0"/>
    <n v="2"/>
    <x v="1"/>
    <s v="February"/>
  </r>
  <r>
    <s v="CMP-01797"/>
    <s v="Q4_Launch_CMP-01797"/>
    <x v="2"/>
    <s v="Launch"/>
    <d v="2023-02-15T00:00:00"/>
    <d v="2023-02-27T00:00:00"/>
    <x v="2"/>
    <n v="24821"/>
    <n v="462"/>
    <n v="610.29999999999995"/>
    <n v="0"/>
    <s v="Yes"/>
    <s v="IG"/>
    <n v="12"/>
    <n v="1.861327102050683E-2"/>
    <n v="0"/>
    <n v="1.3209956709956709"/>
    <s v="0"/>
    <n v="2"/>
    <x v="1"/>
    <s v="February"/>
  </r>
  <r>
    <s v="CMP-01902"/>
    <s v="Q4_Summer_CMP-01902"/>
    <x v="2"/>
    <s v="Summer"/>
    <d v="2023-02-15T00:00:00"/>
    <d v="2023-06-02T00:00:00"/>
    <x v="2"/>
    <n v="31015"/>
    <n v="457"/>
    <n v="460.85"/>
    <n v="61"/>
    <s v="No"/>
    <s v="IG"/>
    <n v="107"/>
    <n v="1.4734805739158472E-2"/>
    <n v="0.13347921225382933"/>
    <n v="1.0084245076586433"/>
    <n v="7.5549180327868859"/>
    <n v="2"/>
    <x v="1"/>
    <s v="February"/>
  </r>
  <r>
    <s v="CMP-00438"/>
    <s v="Q1_BlackFriday_CMP-00438"/>
    <x v="3"/>
    <s v="BlackFriday"/>
    <d v="2023-02-16T00:00:00"/>
    <d v="2023-03-07T00:00:00"/>
    <x v="5"/>
    <n v="88142"/>
    <n v="1739"/>
    <n v="1227.0999999999999"/>
    <n v="249"/>
    <s v="Yes"/>
    <s v="Not specified"/>
    <n v="19"/>
    <n v="1.9729527353588527E-2"/>
    <n v="0.14318573893041978"/>
    <n v="0.70563542265669921"/>
    <n v="4.9281124497991966"/>
    <n v="2"/>
    <x v="1"/>
    <s v="February"/>
  </r>
  <r>
    <s v="CMP-01878"/>
    <s v="Q1_Summer_CMP-01878"/>
    <x v="3"/>
    <s v="Summer"/>
    <d v="2023-02-16T00:00:00"/>
    <d v="2023-02-23T00:00:00"/>
    <x v="4"/>
    <n v="6655"/>
    <n v="158"/>
    <n v="135.65"/>
    <n v="19"/>
    <s v="Yes"/>
    <s v="Google Ads"/>
    <n v="7"/>
    <n v="2.3741547708489859E-2"/>
    <n v="0.12025316455696203"/>
    <n v="0.85854430379746838"/>
    <n v="7.1394736842105262"/>
    <n v="2"/>
    <x v="1"/>
    <s v="February"/>
  </r>
  <r>
    <s v="CMP-01080"/>
    <s v="Q2_BlackFriday_CMP-01080"/>
    <x v="0"/>
    <s v="BlackFriday"/>
    <d v="2023-02-16T00:00:00"/>
    <d v="2023-02-22T00:00:00"/>
    <x v="2"/>
    <n v="71792"/>
    <n v="2384"/>
    <n v="4510.71"/>
    <n v="267"/>
    <s v="No"/>
    <s v="IG"/>
    <n v="6"/>
    <n v="3.3207042567416981E-2"/>
    <n v="0.11199664429530201"/>
    <n v="1.8920763422818792"/>
    <n v="16.894044943820226"/>
    <n v="2"/>
    <x v="1"/>
    <s v="February"/>
  </r>
  <r>
    <s v="CMP-01873"/>
    <s v="Q2_Launch_CMP-01873"/>
    <x v="0"/>
    <s v="Launch"/>
    <d v="2023-02-16T00:00:00"/>
    <d v="2023-02-25T00:00:00"/>
    <x v="2"/>
    <n v="31707"/>
    <n v="1368"/>
    <n v="2642.74"/>
    <n v="198"/>
    <s v="Yes"/>
    <s v="IG"/>
    <n v="9"/>
    <n v="4.3145046835083738E-2"/>
    <n v="0.14473684210526316"/>
    <n v="1.9318274853801167"/>
    <n v="13.347171717171715"/>
    <n v="2"/>
    <x v="1"/>
    <s v="February"/>
  </r>
  <r>
    <s v="CMP-01490"/>
    <s v="Q4_Winstagramter_CMP-01490"/>
    <x v="2"/>
    <s v="Winstagramter"/>
    <d v="2023-02-16T00:00:00"/>
    <d v="2023-03-14T00:00:00"/>
    <x v="0"/>
    <n v="36772"/>
    <n v="1596"/>
    <n v="2720.34"/>
    <n v="0"/>
    <s v="Yes"/>
    <s v="TikTok"/>
    <n v="26"/>
    <n v="4.3402588926357011E-2"/>
    <n v="0"/>
    <n v="1.7044736842105264"/>
    <s v="0"/>
    <n v="2"/>
    <x v="1"/>
    <s v="February"/>
  </r>
  <r>
    <s v="CMP-01561"/>
    <s v="Q4_Winstagramter_CMP-01561"/>
    <x v="2"/>
    <s v="Winstagramter"/>
    <d v="2023-02-16T00:00:00"/>
    <d v="2023-03-18T00:00:00"/>
    <x v="2"/>
    <n v="57846"/>
    <n v="2491"/>
    <n v="1515.56"/>
    <n v="304"/>
    <s v="No"/>
    <s v="IG"/>
    <n v="30"/>
    <n v="4.3062614528230125E-2"/>
    <n v="0.12203934162986753"/>
    <n v="0.60841429144921721"/>
    <n v="4.985394736842105"/>
    <n v="2"/>
    <x v="1"/>
    <s v="February"/>
  </r>
  <r>
    <s v="CMP-00625"/>
    <s v="Q1_Winstagramter_CMP-00625"/>
    <x v="3"/>
    <s v="Winstagramter"/>
    <d v="2023-02-16T00:00:00"/>
    <d v="2023-08-02T00:00:00"/>
    <x v="4"/>
    <n v="55098"/>
    <n v="2317"/>
    <n v="2217.15"/>
    <n v="0"/>
    <s v="Yes"/>
    <s v="Google Ads"/>
    <n v="167"/>
    <n v="4.2052343097753096E-2"/>
    <n v="0"/>
    <n v="0.95690548122572294"/>
    <s v="0"/>
    <n v="2"/>
    <x v="1"/>
    <s v="February"/>
  </r>
  <r>
    <s v="CMP-01160"/>
    <s v="Q1_Summer_CMP-01160"/>
    <x v="3"/>
    <s v="Summer"/>
    <d v="2023-02-17T00:00:00"/>
    <d v="2023-03-07T00:00:00"/>
    <x v="2"/>
    <n v="56180"/>
    <n v="1667"/>
    <n v="2016.31"/>
    <n v="292"/>
    <s v="Yes"/>
    <s v="IG"/>
    <n v="18"/>
    <n v="2.9672481310074758E-2"/>
    <n v="0.17516496700659867"/>
    <n v="1.2095440911817636"/>
    <n v="6.9051712328767119"/>
    <n v="2"/>
    <x v="1"/>
    <s v="February"/>
  </r>
  <r>
    <s v="CMP-00111"/>
    <s v="Q4_Winstagramter_CMP-00111"/>
    <x v="2"/>
    <s v="Winstagramter"/>
    <d v="2023-02-17T00:00:00"/>
    <d v="2023-03-12T00:00:00"/>
    <x v="1"/>
    <n v="13666"/>
    <n v="537"/>
    <n v="573.89"/>
    <n v="92"/>
    <s v="No"/>
    <s v="Email"/>
    <n v="23"/>
    <n v="3.9294599736572518E-2"/>
    <n v="0.17132216014897581"/>
    <n v="1.0686964618249535"/>
    <n v="6.2379347826086953"/>
    <n v="2"/>
    <x v="1"/>
    <s v="February"/>
  </r>
  <r>
    <s v="CMP-00971"/>
    <s v="Q4_Launch_CMP-00971"/>
    <x v="2"/>
    <s v="Launch"/>
    <d v="2023-02-17T00:00:00"/>
    <d v="2023-02-23T00:00:00"/>
    <x v="4"/>
    <n v="57793"/>
    <n v="1236"/>
    <n v="1306.8499999999999"/>
    <n v="130"/>
    <s v="Yes"/>
    <s v="Google Ads"/>
    <n v="6"/>
    <n v="2.1386673126503209E-2"/>
    <n v="0.10517799352750809"/>
    <n v="1.0573220064724917"/>
    <n v="10.052692307692308"/>
    <n v="2"/>
    <x v="1"/>
    <s v="February"/>
  </r>
  <r>
    <s v="CMP-00862"/>
    <s v="Q3_Winstagramter_CMP-00862"/>
    <x v="1"/>
    <s v="Winstagramter"/>
    <d v="2023-02-17T00:00:00"/>
    <d v="2023-02-22T00:00:00"/>
    <x v="2"/>
    <n v="7941"/>
    <n v="364"/>
    <n v="322.18"/>
    <n v="23"/>
    <s v="No"/>
    <s v="IG"/>
    <n v="5"/>
    <n v="4.583805566049616E-2"/>
    <n v="6.3186813186813184E-2"/>
    <n v="0.88510989010989016"/>
    <n v="14.007826086956522"/>
    <n v="2"/>
    <x v="1"/>
    <s v="February"/>
  </r>
  <r>
    <s v="CMP-00960"/>
    <s v="Q1_Winstagramter_CMP-00960"/>
    <x v="3"/>
    <s v="Winstagramter"/>
    <d v="2023-02-18T00:00:00"/>
    <d v="2023-03-09T00:00:00"/>
    <x v="2"/>
    <n v="35674"/>
    <n v="1031"/>
    <n v="695.63"/>
    <n v="134"/>
    <s v="No"/>
    <s v="IG"/>
    <n v="19"/>
    <n v="2.8900599876660875E-2"/>
    <n v="0.12997090203685743"/>
    <n v="0.674713870029098"/>
    <n v="5.1912686567164181"/>
    <n v="2"/>
    <x v="1"/>
    <s v="February"/>
  </r>
  <r>
    <s v="CMP-01699"/>
    <s v="Q1_BlackFriday_CMP-01699"/>
    <x v="3"/>
    <s v="BlackFriday"/>
    <d v="2023-02-18T00:00:00"/>
    <d v="2023-03-07T00:00:00"/>
    <x v="2"/>
    <n v="22754"/>
    <n v="1121"/>
    <n v="1455.43"/>
    <n v="179"/>
    <s v="No"/>
    <s v="IG"/>
    <n v="17"/>
    <n v="4.9266063109782897E-2"/>
    <n v="0.15967885816235505"/>
    <n v="1.2983318465655664"/>
    <n v="8.1308938547486029"/>
    <n v="2"/>
    <x v="1"/>
    <s v="February"/>
  </r>
  <r>
    <s v="CMP-01650"/>
    <s v="Q2_Winstagramter_CMP-01650"/>
    <x v="0"/>
    <s v="Winstagramter"/>
    <d v="2023-02-18T00:00:00"/>
    <d v="2023-03-03T00:00:00"/>
    <x v="1"/>
    <n v="82412"/>
    <n v="3453"/>
    <n v="3947.28"/>
    <n v="355"/>
    <s v="No"/>
    <s v="Email"/>
    <n v="13"/>
    <n v="4.1899237975052177E-2"/>
    <n v="0.10280915146249638"/>
    <n v="1.1431450912250218"/>
    <n v="11.119098591549296"/>
    <n v="2"/>
    <x v="1"/>
    <s v="February"/>
  </r>
  <r>
    <s v="CMP-00835"/>
    <s v="Q4_BlackFriday_CMP-00835"/>
    <x v="2"/>
    <s v="BlackFriday"/>
    <d v="2023-02-18T00:00:00"/>
    <d v="2023-02-19T00:00:00"/>
    <x v="2"/>
    <n v="95074"/>
    <n v="3757"/>
    <n v="4042.77"/>
    <n v="599"/>
    <s v="No"/>
    <s v="IG"/>
    <n v="1"/>
    <n v="3.9516587079538042E-2"/>
    <n v="0.15943571998935321"/>
    <n v="1.0760633484162896"/>
    <n v="6.7491986644407342"/>
    <n v="2"/>
    <x v="1"/>
    <s v="February"/>
  </r>
  <r>
    <s v="CMP-00069"/>
    <s v="Q1_Winstagramter_CMP-00069"/>
    <x v="3"/>
    <s v="Winstagramter"/>
    <d v="2023-02-19T00:00:00"/>
    <d v="2023-03-17T00:00:00"/>
    <x v="1"/>
    <n v="46758"/>
    <n v="1308"/>
    <n v="839.07"/>
    <n v="91"/>
    <s v="Yes"/>
    <s v="Email"/>
    <n v="26"/>
    <n v="2.7973822661362762E-2"/>
    <n v="6.9571865443425071E-2"/>
    <n v="0.64149082568807347"/>
    <n v="9.2205494505494503"/>
    <n v="2"/>
    <x v="1"/>
    <s v="February"/>
  </r>
  <r>
    <s v="CMP-00653"/>
    <s v="Q1_BlackFriday_CMP-00653"/>
    <x v="3"/>
    <s v="BlackFriday"/>
    <d v="2023-02-19T00:00:00"/>
    <d v="2023-02-25T00:00:00"/>
    <x v="4"/>
    <n v="83873"/>
    <n v="2452"/>
    <n v="1826.75"/>
    <n v="269"/>
    <s v="No"/>
    <s v="Google Ads"/>
    <n v="6"/>
    <n v="2.9234676236691189E-2"/>
    <n v="0.10970636215334421"/>
    <n v="0.74500407830342574"/>
    <n v="6.79089219330855"/>
    <n v="2"/>
    <x v="1"/>
    <s v="February"/>
  </r>
  <r>
    <s v="CMP-01746"/>
    <s v="Q1_Launch_CMP-01746"/>
    <x v="3"/>
    <s v="Launch"/>
    <d v="2023-02-19T00:00:00"/>
    <d v="2023-03-06T00:00:00"/>
    <x v="3"/>
    <n v="78236"/>
    <n v="1563"/>
    <n v="2358.7800000000002"/>
    <n v="130"/>
    <s v="No"/>
    <s v="FB"/>
    <n v="15"/>
    <n v="1.9978015235952759E-2"/>
    <n v="8.3173384516954579E-2"/>
    <n v="1.5091362763915548"/>
    <n v="18.144461538461542"/>
    <n v="2"/>
    <x v="1"/>
    <s v="February"/>
  </r>
  <r>
    <s v="CMP-01432"/>
    <s v="Q2_BlackFriday_CMP-01432"/>
    <x v="0"/>
    <s v="BlackFriday"/>
    <d v="2023-02-19T00:00:00"/>
    <d v="2023-03-01T00:00:00"/>
    <x v="4"/>
    <n v="22172"/>
    <n v="833"/>
    <n v="1426.18"/>
    <n v="0"/>
    <s v="Yes"/>
    <s v="Google Ads"/>
    <n v="10"/>
    <n v="3.7569907992062057E-2"/>
    <n v="0"/>
    <n v="1.7121008403361346"/>
    <s v="0"/>
    <n v="2"/>
    <x v="1"/>
    <s v="February"/>
  </r>
  <r>
    <s v="CMP-02000"/>
    <s v="Q2_Winstagramter_CMP-02000"/>
    <x v="0"/>
    <s v="Winstagramter"/>
    <d v="2023-02-19T00:00:00"/>
    <d v="2023-03-04T00:00:00"/>
    <x v="0"/>
    <n v="71326"/>
    <n v="2877"/>
    <n v="4588.82"/>
    <n v="245"/>
    <s v="Yes"/>
    <s v="TikTok"/>
    <n v="13"/>
    <n v="4.0335922384544205E-2"/>
    <n v="8.5158150851581502E-2"/>
    <n v="1.5950017379214458"/>
    <n v="18.729877551020408"/>
    <n v="2"/>
    <x v="1"/>
    <s v="February"/>
  </r>
  <r>
    <s v="CMP-00420"/>
    <s v="Q3_Launch_CMP-00420"/>
    <x v="1"/>
    <s v="Launch"/>
    <d v="2023-02-19T00:00:00"/>
    <d v="2023-03-12T00:00:00"/>
    <x v="0"/>
    <n v="53921"/>
    <n v="1794"/>
    <n v="2826.77"/>
    <n v="274"/>
    <s v="Yes"/>
    <s v="TikTok"/>
    <n v="21"/>
    <n v="3.3270896311270191E-2"/>
    <n v="0.15273132664437011"/>
    <n v="1.5756800445930881"/>
    <n v="10.316678832116787"/>
    <n v="2"/>
    <x v="1"/>
    <s v="February"/>
  </r>
  <r>
    <s v="CMP-00636"/>
    <s v="Q3_BlackFriday_CMP-00636"/>
    <x v="1"/>
    <s v="BlackFriday"/>
    <d v="2023-02-19T00:00:00"/>
    <d v="2023-03-18T00:00:00"/>
    <x v="5"/>
    <n v="28192"/>
    <n v="1116"/>
    <n v="2142.87"/>
    <n v="62"/>
    <s v="Yes"/>
    <s v="Not specified"/>
    <n v="27"/>
    <n v="3.9585698070374577E-2"/>
    <n v="5.5555555555555552E-2"/>
    <n v="1.9201344086021503"/>
    <n v="34.56241935483871"/>
    <n v="2"/>
    <x v="1"/>
    <s v="February"/>
  </r>
  <r>
    <s v="CMP-00908"/>
    <s v="Q3_Winstagramter_CMP-00908"/>
    <x v="1"/>
    <s v="Winstagramter"/>
    <d v="2023-02-19T00:00:00"/>
    <d v="2023-03-14T00:00:00"/>
    <x v="1"/>
    <n v="24954"/>
    <n v="589"/>
    <n v="1110.95"/>
    <n v="43"/>
    <s v="Yes"/>
    <s v="Email"/>
    <n v="23"/>
    <n v="2.3603430311773664E-2"/>
    <n v="7.3005093378607805E-2"/>
    <n v="1.88616298811545"/>
    <n v="25.836046511627909"/>
    <n v="2"/>
    <x v="1"/>
    <s v="February"/>
  </r>
  <r>
    <s v="CMP-01172"/>
    <s v="Q3_Launch_CMP-01172"/>
    <x v="1"/>
    <s v="Launch"/>
    <d v="2023-02-19T00:00:00"/>
    <d v="2023-02-28T00:00:00"/>
    <x v="0"/>
    <n v="21609"/>
    <n v="599"/>
    <n v="354.24"/>
    <n v="116"/>
    <s v="Yes"/>
    <s v="TikTok"/>
    <n v="9"/>
    <n v="2.7719931510018975E-2"/>
    <n v="0.19365609348914858"/>
    <n v="0.59138564273789651"/>
    <n v="3.0537931034482759"/>
    <n v="2"/>
    <x v="1"/>
    <s v="February"/>
  </r>
  <r>
    <s v="CMP-01532"/>
    <s v="Q3_BlackFriday_CMP-01532"/>
    <x v="1"/>
    <s v="BlackFriday"/>
    <d v="2023-02-19T00:00:00"/>
    <d v="2023-03-05T00:00:00"/>
    <x v="3"/>
    <n v="74543"/>
    <n v="1187"/>
    <n v="2064.09"/>
    <n v="125"/>
    <s v="Yes"/>
    <s v="FB"/>
    <n v="14"/>
    <n v="1.5923695048495501E-2"/>
    <n v="0.10530749789385004"/>
    <n v="1.7389132266217355"/>
    <n v="16.512720000000002"/>
    <n v="2"/>
    <x v="1"/>
    <s v="February"/>
  </r>
  <r>
    <s v="CMP-00012"/>
    <s v="Q4_Launch_CMP-00012"/>
    <x v="2"/>
    <s v="Launch"/>
    <d v="2023-02-19T00:00:00"/>
    <d v="2023-02-20T00:00:00"/>
    <x v="4"/>
    <n v="42090"/>
    <n v="763"/>
    <n v="1267.69"/>
    <n v="109"/>
    <s v="No"/>
    <s v="Google Ads"/>
    <n v="1"/>
    <n v="1.8127821335234023E-2"/>
    <n v="0.14285714285714285"/>
    <n v="1.6614547837483618"/>
    <n v="11.630183486238533"/>
    <n v="2"/>
    <x v="1"/>
    <s v="February"/>
  </r>
  <r>
    <s v="CMP-00352"/>
    <s v="Q4_Summer_CMP-00352"/>
    <x v="2"/>
    <s v="Summer"/>
    <d v="2023-02-19T00:00:00"/>
    <d v="2023-03-12T00:00:00"/>
    <x v="2"/>
    <n v="57835"/>
    <n v="1095"/>
    <n v="638.70000000000005"/>
    <n v="90"/>
    <s v="Yes"/>
    <s v="IG"/>
    <n v="21"/>
    <n v="1.8933171954698711E-2"/>
    <n v="8.2191780821917804E-2"/>
    <n v="0.58328767123287673"/>
    <n v="7.0966666666666676"/>
    <n v="2"/>
    <x v="1"/>
    <s v="February"/>
  </r>
  <r>
    <s v="CMP-00374"/>
    <s v="Q4_BlackFriday_CMP-00374"/>
    <x v="2"/>
    <s v="BlackFriday"/>
    <d v="2023-02-19T00:00:00"/>
    <d v="2023-03-07T00:00:00"/>
    <x v="1"/>
    <n v="51336"/>
    <n v="1733"/>
    <n v="1366.41"/>
    <n v="101"/>
    <s v="Yes"/>
    <s v="Email"/>
    <n v="16"/>
    <n v="3.3757986598098803E-2"/>
    <n v="5.8280438545874204E-2"/>
    <n v="0.78846508944027704"/>
    <n v="13.528811881188119"/>
    <n v="2"/>
    <x v="1"/>
    <s v="February"/>
  </r>
  <r>
    <s v="CMP-01258"/>
    <s v="Q4_Launch_CMP-01258"/>
    <x v="2"/>
    <s v="Launch"/>
    <d v="2023-02-19T00:00:00"/>
    <d v="2023-02-26T00:00:00"/>
    <x v="3"/>
    <n v="28696"/>
    <n v="923"/>
    <n v="916.39"/>
    <n v="93"/>
    <s v="No"/>
    <s v="FB"/>
    <n v="7"/>
    <n v="3.2164761639252859E-2"/>
    <n v="0.10075839653304441"/>
    <n v="0.99283856988082342"/>
    <n v="9.8536559139784945"/>
    <n v="2"/>
    <x v="1"/>
    <s v="February"/>
  </r>
  <r>
    <s v="CMP-00257"/>
    <s v="Q2_Summer_CMP-00257"/>
    <x v="0"/>
    <s v="Summer"/>
    <d v="2023-02-20T00:00:00"/>
    <d v="2023-03-13T00:00:00"/>
    <x v="0"/>
    <n v="84763"/>
    <n v="1778"/>
    <n v="1217.6600000000001"/>
    <n v="308"/>
    <s v="Yes"/>
    <s v="TikTok"/>
    <n v="21"/>
    <n v="2.0976133454455363E-2"/>
    <n v="0.17322834645669291"/>
    <n v="0.68484814398200233"/>
    <n v="3.9534415584415585"/>
    <n v="2"/>
    <x v="1"/>
    <s v="February"/>
  </r>
  <r>
    <s v="CMP-01954"/>
    <s v="Q2_Summer_CMP-01954"/>
    <x v="0"/>
    <s v="Summer"/>
    <d v="2023-02-20T00:00:00"/>
    <d v="2023-03-14T00:00:00"/>
    <x v="2"/>
    <n v="52047"/>
    <n v="2228"/>
    <n v="2214.29"/>
    <n v="0"/>
    <s v="No"/>
    <s v="IG"/>
    <n v="22"/>
    <n v="4.2807462485830117E-2"/>
    <n v="0"/>
    <n v="0.99384649910233391"/>
    <s v="0"/>
    <n v="2"/>
    <x v="1"/>
    <s v="February"/>
  </r>
  <r>
    <s v="CMP-00077"/>
    <s v="Q3_Launch_CMP-00077"/>
    <x v="1"/>
    <s v="Launch"/>
    <d v="2023-02-20T00:00:00"/>
    <d v="2023-02-21T00:00:00"/>
    <x v="4"/>
    <n v="95663"/>
    <n v="2998"/>
    <n v="5102.66"/>
    <n v="460"/>
    <s v="No"/>
    <s v="Google Ads"/>
    <n v="1"/>
    <n v="3.1339180247326549E-2"/>
    <n v="0.15343562374916611"/>
    <n v="1.7020213475650434"/>
    <n v="11.092739130434783"/>
    <n v="2"/>
    <x v="1"/>
    <s v="February"/>
  </r>
  <r>
    <s v="CMP-00532"/>
    <s v="Q3_Summer_CMP-00532"/>
    <x v="1"/>
    <s v="Summer"/>
    <d v="2023-02-20T00:00:00"/>
    <d v="2023-03-02T00:00:00"/>
    <x v="3"/>
    <n v="89223"/>
    <n v="2883"/>
    <n v="1643.83"/>
    <n v="332"/>
    <s v="No"/>
    <s v="FB"/>
    <n v="10"/>
    <n v="3.2312296156820554E-2"/>
    <n v="0.11515782171349288"/>
    <n v="0.5701803676725633"/>
    <n v="4.9512951807228918"/>
    <n v="2"/>
    <x v="1"/>
    <s v="February"/>
  </r>
  <r>
    <s v="CMP-01628"/>
    <s v="Q4_Winstagramter_CMP-01628"/>
    <x v="2"/>
    <s v="Winstagramter"/>
    <d v="2023-02-20T00:00:00"/>
    <d v="2023-03-04T00:00:00"/>
    <x v="2"/>
    <n v="57638"/>
    <n v="864"/>
    <n v="1033.6099999999999"/>
    <n v="126"/>
    <s v="No"/>
    <s v="IG"/>
    <n v="12"/>
    <n v="1.4990110690863666E-2"/>
    <n v="0.14583333333333334"/>
    <n v="1.1963078703703702"/>
    <n v="8.2032539682539678"/>
    <n v="2"/>
    <x v="1"/>
    <s v="February"/>
  </r>
  <r>
    <s v="CMP-01002"/>
    <s v="Q1_Launch_CMP-01002"/>
    <x v="3"/>
    <s v="Launch"/>
    <d v="2023-02-21T00:00:00"/>
    <d v="2023-02-24T00:00:00"/>
    <x v="0"/>
    <n v="28285"/>
    <n v="1094"/>
    <n v="919"/>
    <n v="93"/>
    <s v="No"/>
    <s v="TikTok"/>
    <n v="3"/>
    <n v="3.8677744387484531E-2"/>
    <n v="8.5009140767824495E-2"/>
    <n v="0.84003656307129804"/>
    <n v="9.8817204301075261"/>
    <n v="2"/>
    <x v="1"/>
    <s v="February"/>
  </r>
  <r>
    <s v="CMP-01203"/>
    <s v="Q2_Winstagramter_CMP-01203"/>
    <x v="0"/>
    <s v="Winstagramter"/>
    <d v="2023-02-21T00:00:00"/>
    <d v="2023-03-12T00:00:00"/>
    <x v="2"/>
    <n v="28632"/>
    <n v="1425"/>
    <n v="1099.75"/>
    <n v="0"/>
    <s v="No"/>
    <s v="IG"/>
    <n v="19"/>
    <n v="4.9769488683989942E-2"/>
    <n v="0"/>
    <n v="0.7717543859649123"/>
    <s v="0"/>
    <n v="2"/>
    <x v="1"/>
    <s v="February"/>
  </r>
  <r>
    <s v="CMP-01613"/>
    <s v="Q3_BlackFriday_CMP-01613"/>
    <x v="1"/>
    <s v="BlackFriday"/>
    <d v="2023-02-21T00:00:00"/>
    <d v="2023-03-16T00:00:00"/>
    <x v="3"/>
    <n v="58775"/>
    <n v="1438"/>
    <n v="2283.06"/>
    <n v="199"/>
    <s v="No"/>
    <s v="FB"/>
    <n v="23"/>
    <n v="2.4466184602296895E-2"/>
    <n v="0.13838664812239221"/>
    <n v="1.5876634214186369"/>
    <n v="11.472663316582913"/>
    <n v="2"/>
    <x v="1"/>
    <s v="February"/>
  </r>
  <r>
    <s v="CMP-01202"/>
    <s v="Q4_Summer_CMP-01202"/>
    <x v="2"/>
    <s v="Summer"/>
    <d v="2023-02-21T00:00:00"/>
    <d v="2023-03-19T00:00:00"/>
    <x v="1"/>
    <n v="53329"/>
    <n v="961"/>
    <n v="717.8"/>
    <n v="171"/>
    <s v="No"/>
    <s v="Email"/>
    <n v="26"/>
    <n v="1.8020214142399071E-2"/>
    <n v="0.17793964620187305"/>
    <n v="0.74693028095733605"/>
    <n v="4.1976608187134499"/>
    <n v="2"/>
    <x v="1"/>
    <s v="February"/>
  </r>
  <r>
    <s v="CMP-01620"/>
    <s v="Q4_BlackFriday_CMP-01620"/>
    <x v="2"/>
    <s v="BlackFriday"/>
    <d v="2023-02-21T00:00:00"/>
    <d v="2023-03-19T00:00:00"/>
    <x v="2"/>
    <n v="75691"/>
    <n v="1277"/>
    <n v="1681.67"/>
    <n v="200"/>
    <s v="No"/>
    <s v="IG"/>
    <n v="26"/>
    <n v="1.6871226433790014E-2"/>
    <n v="0.15661707126076743"/>
    <n v="1.3168911511354737"/>
    <n v="8.4083500000000004"/>
    <n v="2"/>
    <x v="1"/>
    <s v="February"/>
  </r>
  <r>
    <s v="CMP-01686"/>
    <s v="Q1_Summer_CMP-01686"/>
    <x v="3"/>
    <s v="Summer"/>
    <d v="2023-02-22T00:00:00"/>
    <d v="2023-03-20T00:00:00"/>
    <x v="3"/>
    <n v="26931"/>
    <n v="712"/>
    <n v="506.1"/>
    <n v="0"/>
    <s v="No"/>
    <s v="FB"/>
    <n v="26"/>
    <n v="2.643793397942891E-2"/>
    <n v="0"/>
    <n v="0.71081460674157304"/>
    <s v="0"/>
    <n v="2"/>
    <x v="1"/>
    <s v="February"/>
  </r>
  <r>
    <s v="CMP-01960"/>
    <s v="Q1_Launch_CMP-01960"/>
    <x v="3"/>
    <s v="Launch"/>
    <d v="2023-02-22T00:00:00"/>
    <d v="2023-03-02T00:00:00"/>
    <x v="3"/>
    <n v="27015"/>
    <n v="286"/>
    <n v="366.75"/>
    <n v="55"/>
    <s v="No"/>
    <s v="FB"/>
    <n v="8"/>
    <n v="1.0586711086433463E-2"/>
    <n v="0.19230769230769232"/>
    <n v="1.2823426573426573"/>
    <n v="6.668181818181818"/>
    <n v="2"/>
    <x v="1"/>
    <s v="February"/>
  </r>
  <r>
    <s v="CMP-00860"/>
    <s v="Q2_Winstagramter_CMP-00860"/>
    <x v="0"/>
    <s v="Winstagramter"/>
    <d v="2023-02-22T00:00:00"/>
    <d v="2023-02-25T00:00:00"/>
    <x v="0"/>
    <n v="56393"/>
    <n v="2385"/>
    <n v="1620.23"/>
    <n v="151"/>
    <s v="Yes"/>
    <s v="TikTok"/>
    <n v="3"/>
    <n v="4.2292483109605802E-2"/>
    <n v="6.3312368972746336E-2"/>
    <n v="0.67934171907756813"/>
    <n v="10.73"/>
    <n v="2"/>
    <x v="1"/>
    <s v="February"/>
  </r>
  <r>
    <s v="CMP-00948"/>
    <s v="Q2_BlackFriday_CMP-00948"/>
    <x v="0"/>
    <s v="BlackFriday"/>
    <d v="2023-02-22T00:00:00"/>
    <d v="2023-03-15T00:00:00"/>
    <x v="1"/>
    <n v="17748"/>
    <n v="513"/>
    <n v="342.08"/>
    <n v="85"/>
    <s v="Yes"/>
    <s v="Email"/>
    <n v="21"/>
    <n v="2.8904665314401622E-2"/>
    <n v="0.16569200779727095"/>
    <n v="0.66682261208576998"/>
    <n v="4.0244705882352942"/>
    <n v="2"/>
    <x v="1"/>
    <s v="February"/>
  </r>
  <r>
    <s v="CMP-00486"/>
    <s v="Q3_Summer_CMP-00486"/>
    <x v="1"/>
    <s v="Summer"/>
    <d v="2023-02-22T00:00:00"/>
    <d v="2023-03-14T00:00:00"/>
    <x v="1"/>
    <n v="68215"/>
    <n v="907"/>
    <n v="1235.02"/>
    <n v="0"/>
    <s v="No"/>
    <s v="Email"/>
    <n v="20"/>
    <n v="1.3296195851352341E-2"/>
    <n v="0"/>
    <n v="1.3616538037486219"/>
    <s v="0"/>
    <n v="2"/>
    <x v="1"/>
    <s v="February"/>
  </r>
  <r>
    <s v="CMP-00994"/>
    <s v="Q3_BlackFriday_CMP-00994"/>
    <x v="1"/>
    <s v="BlackFriday"/>
    <d v="2023-02-22T00:00:00"/>
    <d v="2023-03-10T00:00:00"/>
    <x v="0"/>
    <n v="49447"/>
    <n v="1005"/>
    <n v="518.32000000000005"/>
    <n v="104"/>
    <s v="Yes"/>
    <s v="TikTok"/>
    <n v="16"/>
    <n v="2.032479220175137E-2"/>
    <n v="0.10348258706467661"/>
    <n v="0.51574129353233833"/>
    <n v="4.9838461538461543"/>
    <n v="2"/>
    <x v="1"/>
    <s v="February"/>
  </r>
  <r>
    <s v="CMP-01967"/>
    <s v="Q3_Winstagramter_CMP-01967"/>
    <x v="1"/>
    <s v="Winstagramter"/>
    <d v="2023-02-22T00:00:00"/>
    <d v="2023-03-05T00:00:00"/>
    <x v="3"/>
    <n v="14629"/>
    <n v="642"/>
    <n v="339.73"/>
    <n v="88"/>
    <s v="No"/>
    <s v="FB"/>
    <n v="11"/>
    <n v="4.3885433043953793E-2"/>
    <n v="0.13707165109034267"/>
    <n v="0.52917445482866043"/>
    <n v="3.8605681818181821"/>
    <n v="2"/>
    <x v="1"/>
    <s v="February"/>
  </r>
  <r>
    <s v="CMP-00011"/>
    <s v="Q4_Launch_CMP-00011"/>
    <x v="2"/>
    <s v="Launch"/>
    <d v="2023-02-22T00:00:00"/>
    <d v="2023-03-01T00:00:00"/>
    <x v="2"/>
    <n v="17023"/>
    <n v="455"/>
    <n v="523.13"/>
    <n v="76"/>
    <s v="Yes"/>
    <s v="IG"/>
    <n v="7"/>
    <n v="2.6728543734946836E-2"/>
    <n v="0.16703296703296702"/>
    <n v="1.1497362637362638"/>
    <n v="6.8832894736842105"/>
    <n v="2"/>
    <x v="1"/>
    <s v="February"/>
  </r>
  <r>
    <s v="CMP-00245"/>
    <s v="Q4_BlackFriday_CMP-00245"/>
    <x v="2"/>
    <s v="BlackFriday"/>
    <d v="2023-02-22T00:00:00"/>
    <d v="2023-03-22T00:00:00"/>
    <x v="2"/>
    <n v="52663"/>
    <n v="2357"/>
    <n v="3167.41"/>
    <n v="358"/>
    <s v="Yes"/>
    <s v="IG"/>
    <n v="28"/>
    <n v="4.4756280500541173E-2"/>
    <n v="0.15188799321170979"/>
    <n v="1.3438311412812898"/>
    <n v="8.847513966480447"/>
    <n v="2"/>
    <x v="1"/>
    <s v="February"/>
  </r>
  <r>
    <s v="CMP-00524"/>
    <s v="Q4_Winstagramter_CMP-00524"/>
    <x v="2"/>
    <s v="Winstagramter"/>
    <d v="2023-02-22T00:00:00"/>
    <d v="2023-03-08T00:00:00"/>
    <x v="0"/>
    <n v="5611"/>
    <n v="127"/>
    <n v="161.09"/>
    <n v="10"/>
    <s v="Yes"/>
    <s v="TikTok"/>
    <n v="14"/>
    <n v="2.2634111566565675E-2"/>
    <n v="7.874015748031496E-2"/>
    <n v="1.2684251968503937"/>
    <n v="16.109000000000002"/>
    <n v="2"/>
    <x v="1"/>
    <s v="February"/>
  </r>
  <r>
    <s v="CMP-01328"/>
    <s v="Q1_Launch_CMP-01328"/>
    <x v="3"/>
    <s v="Launch"/>
    <d v="2023-02-23T00:00:00"/>
    <d v="2023-03-02T00:00:00"/>
    <x v="5"/>
    <n v="80111"/>
    <n v="2570"/>
    <n v="4448.2299999999996"/>
    <n v="329"/>
    <s v="Yes"/>
    <s v="Not specified"/>
    <n v="7"/>
    <n v="3.2080488322452597E-2"/>
    <n v="0.12801556420233462"/>
    <n v="1.730828793774319"/>
    <n v="13.520455927051671"/>
    <n v="2"/>
    <x v="1"/>
    <s v="February"/>
  </r>
  <r>
    <s v="CMP-01752"/>
    <s v="Q1_Winstagramter_CMP-01752"/>
    <x v="3"/>
    <s v="Winstagramter"/>
    <d v="2023-02-23T00:00:00"/>
    <d v="2023-02-28T00:00:00"/>
    <x v="1"/>
    <n v="58932"/>
    <n v="1091"/>
    <n v="1826.88"/>
    <n v="56"/>
    <s v="Yes"/>
    <s v="Email"/>
    <n v="5"/>
    <n v="1.8512862281952081E-2"/>
    <n v="5.1329055912007336E-2"/>
    <n v="1.6745004582951422"/>
    <n v="32.622857142857143"/>
    <n v="2"/>
    <x v="1"/>
    <s v="February"/>
  </r>
  <r>
    <s v="CMP-01653"/>
    <s v="Q3_Winstagramter_CMP-01653"/>
    <x v="1"/>
    <s v="Winstagramter"/>
    <d v="2023-02-23T00:00:00"/>
    <d v="2023-02-25T00:00:00"/>
    <x v="2"/>
    <n v="73750"/>
    <n v="1025"/>
    <n v="1062.8699999999999"/>
    <n v="129"/>
    <s v="Yes"/>
    <s v="IG"/>
    <n v="2"/>
    <n v="1.3898305084745762E-2"/>
    <n v="0.12585365853658537"/>
    <n v="1.0369463414634146"/>
    <n v="8.2393023255813951"/>
    <n v="2"/>
    <x v="1"/>
    <s v="February"/>
  </r>
  <r>
    <s v="CMP-01157"/>
    <s v="Q4_BlackFriday_CMP-01157"/>
    <x v="2"/>
    <s v="BlackFriday"/>
    <d v="2023-02-23T00:00:00"/>
    <d v="2023-02-24T00:00:00"/>
    <x v="0"/>
    <n v="33265"/>
    <n v="1015"/>
    <n v="612.79"/>
    <n v="67"/>
    <s v="Yes"/>
    <s v="TikTok"/>
    <n v="1"/>
    <n v="3.0512550728994437E-2"/>
    <n v="6.6009852216748766E-2"/>
    <n v="0.60373399014778317"/>
    <n v="9.1461194029850734"/>
    <n v="2"/>
    <x v="1"/>
    <s v="February"/>
  </r>
  <r>
    <s v="CMP-01973"/>
    <s v="Q1_BlackFriday_CMP-01973"/>
    <x v="3"/>
    <s v="BlackFriday"/>
    <d v="2023-02-24T00:00:00"/>
    <d v="2023-02-26T00:00:00"/>
    <x v="1"/>
    <n v="99511"/>
    <n v="1916"/>
    <n v="2573"/>
    <n v="276"/>
    <s v="No"/>
    <s v="Email"/>
    <n v="2"/>
    <n v="1.9254152807227341E-2"/>
    <n v="0.1440501043841336"/>
    <n v="1.3429018789144049"/>
    <n v="9.3224637681159415"/>
    <n v="2"/>
    <x v="1"/>
    <s v="February"/>
  </r>
  <r>
    <s v="CMP-01734"/>
    <s v="Q2_Winstagramter_CMP-01734"/>
    <x v="0"/>
    <s v="Winstagramter"/>
    <d v="2023-02-24T00:00:00"/>
    <d v="2023-02-25T00:00:00"/>
    <x v="4"/>
    <n v="23534"/>
    <n v="890"/>
    <n v="962.76"/>
    <n v="82"/>
    <s v="Yes"/>
    <s v="Google Ads"/>
    <n v="1"/>
    <n v="3.7817625563015211E-2"/>
    <n v="9.2134831460674152E-2"/>
    <n v="1.081752808988764"/>
    <n v="11.740975609756097"/>
    <n v="2"/>
    <x v="1"/>
    <s v="February"/>
  </r>
  <r>
    <s v="CMP-00165"/>
    <s v="Q3_Summer_CMP-00165"/>
    <x v="1"/>
    <s v="Summer"/>
    <d v="2023-02-24T00:00:00"/>
    <d v="2023-03-14T00:00:00"/>
    <x v="2"/>
    <n v="3693"/>
    <n v="39"/>
    <n v="33.909999999999997"/>
    <n v="0"/>
    <s v="No"/>
    <s v="IG"/>
    <n v="18"/>
    <n v="1.0560519902518278E-2"/>
    <n v="0"/>
    <n v="0.86948717948717935"/>
    <s v="0"/>
    <n v="2"/>
    <x v="1"/>
    <s v="February"/>
  </r>
  <r>
    <s v="CMP-01714"/>
    <s v="Q3_Summer_CMP-01714"/>
    <x v="1"/>
    <s v="Summer"/>
    <d v="2023-02-24T00:00:00"/>
    <d v="2023-03-13T00:00:00"/>
    <x v="1"/>
    <n v="2591"/>
    <n v="82"/>
    <n v="63.61"/>
    <n v="10"/>
    <s v="Yes"/>
    <s v="Email"/>
    <n v="17"/>
    <n v="3.1648012350443844E-2"/>
    <n v="0.12195121951219512"/>
    <n v="0.77573170731707319"/>
    <n v="6.3609999999999998"/>
    <n v="2"/>
    <x v="1"/>
    <s v="February"/>
  </r>
  <r>
    <s v="CMP-01750"/>
    <s v="Q3_Launch_CMP-01750"/>
    <x v="1"/>
    <s v="Launch"/>
    <d v="2023-02-24T00:00:00"/>
    <d v="2023-03-21T00:00:00"/>
    <x v="4"/>
    <n v="19787"/>
    <n v="553"/>
    <n v="656.06"/>
    <n v="100"/>
    <s v="Yes"/>
    <s v="Google Ads"/>
    <n v="25"/>
    <n v="2.7947642391469147E-2"/>
    <n v="0.18083182640144665"/>
    <n v="1.1863652802893307"/>
    <n v="6.5605999999999991"/>
    <n v="2"/>
    <x v="1"/>
    <s v="February"/>
  </r>
  <r>
    <s v="CMP-00073"/>
    <s v="Q3_Summer_CMP-00073"/>
    <x v="1"/>
    <s v="Summer"/>
    <d v="2023-02-25T00:00:00"/>
    <d v="2023-03-09T00:00:00"/>
    <x v="4"/>
    <n v="38065"/>
    <n v="927"/>
    <n v="1808.48"/>
    <n v="0"/>
    <s v="No"/>
    <s v="Google Ads"/>
    <n v="12"/>
    <n v="2.4353080257454356E-2"/>
    <n v="0"/>
    <n v="1.9508953613807982"/>
    <s v="0"/>
    <n v="2"/>
    <x v="1"/>
    <s v="February"/>
  </r>
  <r>
    <s v="CMP-00405"/>
    <s v="Q3_Summer_CMP-00405"/>
    <x v="1"/>
    <s v="Summer"/>
    <d v="2023-02-25T00:00:00"/>
    <d v="2023-03-17T00:00:00"/>
    <x v="1"/>
    <n v="90912"/>
    <n v="3992"/>
    <n v="7464.44"/>
    <n v="418"/>
    <s v="Yes"/>
    <s v="Email"/>
    <n v="20"/>
    <n v="4.391059486096445E-2"/>
    <n v="0.10470941883767534"/>
    <n v="1.8698496993987974"/>
    <n v="17.857511961722487"/>
    <n v="2"/>
    <x v="1"/>
    <s v="February"/>
  </r>
  <r>
    <s v="CMP-01076"/>
    <s v="Q3_Winstagramter_CMP-01076"/>
    <x v="1"/>
    <s v="Winstagramter"/>
    <d v="2023-02-25T00:00:00"/>
    <d v="2023-03-13T00:00:00"/>
    <x v="2"/>
    <n v="1235"/>
    <n v="17"/>
    <n v="10.01"/>
    <n v="3"/>
    <s v="Yes"/>
    <s v="IG"/>
    <n v="16"/>
    <n v="1.3765182186234818E-2"/>
    <n v="0.17647058823529413"/>
    <n v="0.58882352941176475"/>
    <n v="3.3366666666666664"/>
    <n v="2"/>
    <x v="1"/>
    <s v="February"/>
  </r>
  <r>
    <s v="CMP-01150"/>
    <s v="Q3_BlackFriday_CMP-01150"/>
    <x v="1"/>
    <s v="BlackFriday"/>
    <d v="2023-02-25T00:00:00"/>
    <d v="2023-03-14T00:00:00"/>
    <x v="2"/>
    <n v="65484"/>
    <n v="2093"/>
    <n v="3993.44"/>
    <n v="274"/>
    <s v="No"/>
    <s v="IG"/>
    <n v="17"/>
    <n v="3.1962005986195099E-2"/>
    <n v="0.1309125656951744"/>
    <n v="1.9079980888676542"/>
    <n v="14.574598540145985"/>
    <n v="2"/>
    <x v="1"/>
    <s v="February"/>
  </r>
  <r>
    <s v="CMP-01903"/>
    <s v="Q4_BlackFriday_CMP-01903"/>
    <x v="2"/>
    <s v="BlackFriday"/>
    <d v="2023-02-25T00:00:00"/>
    <d v="2023-03-27T00:00:00"/>
    <x v="1"/>
    <n v="30009"/>
    <n v="554"/>
    <n v="938.19"/>
    <n v="33"/>
    <s v="Yes"/>
    <s v="Email"/>
    <n v="30"/>
    <n v="1.8461128328168215E-2"/>
    <n v="5.9566787003610108E-2"/>
    <n v="1.6934837545126356"/>
    <n v="28.430000000000003"/>
    <n v="2"/>
    <x v="1"/>
    <s v="February"/>
  </r>
  <r>
    <s v="CMP-00036"/>
    <s v="Q1_Launch_CMP-00036"/>
    <x v="3"/>
    <s v="Launch"/>
    <d v="2023-02-26T00:00:00"/>
    <d v="2023-03-01T00:00:00"/>
    <x v="0"/>
    <n v="57886"/>
    <n v="2514"/>
    <n v="3658.23"/>
    <n v="237"/>
    <s v="Yes"/>
    <s v="TikTok"/>
    <n v="3"/>
    <n v="4.343019037418374E-2"/>
    <n v="9.4272076372315036E-2"/>
    <n v="1.4551431980906921"/>
    <n v="15.435569620253165"/>
    <n v="2"/>
    <x v="1"/>
    <s v="February"/>
  </r>
  <r>
    <s v="CMP-01130"/>
    <s v="Q1_Launch_CMP-01130"/>
    <x v="3"/>
    <s v="Launch"/>
    <d v="2023-02-26T00:00:00"/>
    <d v="2023-03-18T00:00:00"/>
    <x v="1"/>
    <n v="93738"/>
    <n v="3999"/>
    <n v="5912.17"/>
    <n v="338"/>
    <s v="No"/>
    <s v="Email"/>
    <n v="20"/>
    <n v="4.266146066696537E-2"/>
    <n v="8.4521130282570647E-2"/>
    <n v="1.4784121030257564"/>
    <n v="17.491627218934912"/>
    <n v="2"/>
    <x v="1"/>
    <s v="February"/>
  </r>
  <r>
    <s v="CMP-01311"/>
    <s v="Q2_Launch_CMP-01311"/>
    <x v="0"/>
    <s v="Launch"/>
    <d v="2023-02-26T00:00:00"/>
    <d v="2023-02-27T00:00:00"/>
    <x v="0"/>
    <n v="27399"/>
    <n v="1014"/>
    <n v="1942.18"/>
    <n v="112"/>
    <s v="No"/>
    <s v="TikTok"/>
    <n v="1"/>
    <n v="3.7008649950728126E-2"/>
    <n v="0.11045364891518737"/>
    <n v="1.9153648915187378"/>
    <n v="17.340892857142858"/>
    <n v="2"/>
    <x v="1"/>
    <s v="February"/>
  </r>
  <r>
    <s v="CMP-01949"/>
    <s v="Q1_Winstagramter_CMP-01949"/>
    <x v="3"/>
    <s v="Winstagramter"/>
    <d v="2023-02-27T00:00:00"/>
    <d v="2023-03-21T00:00:00"/>
    <x v="0"/>
    <n v="69577"/>
    <n v="1261"/>
    <n v="772.93"/>
    <n v="144"/>
    <s v="Yes"/>
    <s v="TikTok"/>
    <n v="22"/>
    <n v="1.8123805280480618E-2"/>
    <n v="0.11419508326724821"/>
    <n v="0.61295003965107053"/>
    <n v="5.3675694444444444"/>
    <n v="2"/>
    <x v="1"/>
    <s v="February"/>
  </r>
  <r>
    <s v="CMP-01705"/>
    <s v="Q2_BlackFriday_CMP-01705"/>
    <x v="0"/>
    <s v="BlackFriday"/>
    <d v="2023-02-27T00:00:00"/>
    <d v="2023-03-26T00:00:00"/>
    <x v="2"/>
    <n v="4020"/>
    <n v="136"/>
    <n v="79.69"/>
    <n v="19"/>
    <s v="No"/>
    <s v="IG"/>
    <n v="27"/>
    <n v="3.3830845771144279E-2"/>
    <n v="0.13970588235294118"/>
    <n v="0.58595588235294116"/>
    <n v="4.1942105263157892"/>
    <n v="2"/>
    <x v="1"/>
    <s v="February"/>
  </r>
  <r>
    <s v="CMP-00050"/>
    <s v="Q3_Summer_CMP-00050"/>
    <x v="1"/>
    <s v="Summer"/>
    <d v="2023-02-27T00:00:00"/>
    <d v="2023-02-28T00:00:00"/>
    <x v="5"/>
    <n v="77552"/>
    <n v="2572"/>
    <n v="4321.12"/>
    <n v="258"/>
    <s v="Yes"/>
    <s v="Not specified"/>
    <n v="1"/>
    <n v="3.3164844233546521E-2"/>
    <n v="0.10031104199066875"/>
    <n v="1.6800622083981338"/>
    <n v="16.748527131782946"/>
    <n v="2"/>
    <x v="1"/>
    <s v="February"/>
  </r>
  <r>
    <s v="CMP-00762"/>
    <s v="Q4_Launch_CMP-00762"/>
    <x v="2"/>
    <s v="Launch"/>
    <d v="2023-02-27T00:00:00"/>
    <d v="2023-03-04T00:00:00"/>
    <x v="0"/>
    <n v="83844"/>
    <n v="1151"/>
    <n v="771.36"/>
    <n v="98"/>
    <s v="Yes"/>
    <s v="TikTok"/>
    <n v="5"/>
    <n v="1.3727875578455227E-2"/>
    <n v="8.5143353605560385E-2"/>
    <n v="0.67016507384882706"/>
    <n v="7.8710204081632655"/>
    <n v="2"/>
    <x v="1"/>
    <s v="February"/>
  </r>
  <r>
    <s v="CMP-00205"/>
    <s v="Q1_Summer_CMP-00205"/>
    <x v="3"/>
    <s v="Summer"/>
    <d v="2023-02-28T00:00:00"/>
    <d v="2023-03-05T00:00:00"/>
    <x v="2"/>
    <n v="40353"/>
    <n v="1049"/>
    <n v="1516.72"/>
    <n v="209"/>
    <s v="Yes"/>
    <s v="IG"/>
    <n v="5"/>
    <n v="2.5995588927712934E-2"/>
    <n v="0.1992373689227836"/>
    <n v="1.4458722592945663"/>
    <n v="7.2570334928229663"/>
    <n v="2"/>
    <x v="1"/>
    <s v="February"/>
  </r>
  <r>
    <s v="CMP-00248"/>
    <s v="Q1_Winstagramter_CMP-00248"/>
    <x v="3"/>
    <s v="Winstagramter"/>
    <d v="2023-02-28T00:00:00"/>
    <d v="2023-03-16T00:00:00"/>
    <x v="4"/>
    <n v="50811"/>
    <n v="870"/>
    <n v="455.65"/>
    <n v="0"/>
    <s v="Yes"/>
    <s v="Google Ads"/>
    <n v="16"/>
    <n v="1.7122276672374093E-2"/>
    <n v="0"/>
    <n v="0.52373563218390806"/>
    <s v="0"/>
    <n v="2"/>
    <x v="1"/>
    <s v="February"/>
  </r>
  <r>
    <s v="CMP-01304"/>
    <s v="Q1_Launch_CMP-01304"/>
    <x v="3"/>
    <s v="Launch"/>
    <d v="2023-02-28T00:00:00"/>
    <d v="2023-03-03T00:00:00"/>
    <x v="2"/>
    <n v="13342"/>
    <n v="494"/>
    <n v="294.19"/>
    <n v="65"/>
    <s v="No"/>
    <s v="IG"/>
    <n v="3"/>
    <n v="3.702593314345675E-2"/>
    <n v="0.13157894736842105"/>
    <n v="0.59552631578947368"/>
    <n v="4.5259999999999998"/>
    <n v="2"/>
    <x v="1"/>
    <s v="February"/>
  </r>
  <r>
    <s v="CMP-01427"/>
    <s v="Q2_BlackFriday_CMP-01427"/>
    <x v="0"/>
    <s v="BlackFriday"/>
    <d v="2023-02-28T00:00:00"/>
    <d v="2023-03-09T00:00:00"/>
    <x v="3"/>
    <n v="37397"/>
    <n v="878"/>
    <n v="1457.28"/>
    <n v="170"/>
    <s v="No"/>
    <s v="FB"/>
    <n v="9"/>
    <n v="2.3477819076396501E-2"/>
    <n v="0.19362186788154898"/>
    <n v="1.6597722095671981"/>
    <n v="8.5722352941176467"/>
    <n v="2"/>
    <x v="1"/>
    <s v="February"/>
  </r>
  <r>
    <s v="CMP-00296"/>
    <s v="Q3_Summer_CMP-00296"/>
    <x v="1"/>
    <s v="Summer"/>
    <d v="2023-02-28T00:00:00"/>
    <d v="2023-03-12T00:00:00"/>
    <x v="3"/>
    <n v="30299"/>
    <n v="1468"/>
    <n v="1883.34"/>
    <n v="232"/>
    <s v="Yes"/>
    <s v="FB"/>
    <n v="12"/>
    <n v="4.8450443909039902E-2"/>
    <n v="0.15803814713896458"/>
    <n v="1.2829291553133515"/>
    <n v="8.1178448275862074"/>
    <n v="2"/>
    <x v="1"/>
    <s v="February"/>
  </r>
  <r>
    <s v="CMP-01930"/>
    <s v="Q3_BlackFriday_CMP-01930"/>
    <x v="1"/>
    <s v="BlackFriday"/>
    <d v="2023-02-28T00:00:00"/>
    <d v="2023-03-24T00:00:00"/>
    <x v="2"/>
    <n v="75663"/>
    <n v="1102"/>
    <n v="601.28"/>
    <n v="217"/>
    <s v="Yes"/>
    <s v="IG"/>
    <n v="24"/>
    <n v="1.4564582424698994E-2"/>
    <n v="0.19691470054446461"/>
    <n v="0.54562613430127038"/>
    <n v="2.7708755760368664"/>
    <n v="2"/>
    <x v="1"/>
    <s v="February"/>
  </r>
  <r>
    <s v="CMP-00589"/>
    <s v="Q4_Summer_CMP-00589"/>
    <x v="2"/>
    <s v="Summer"/>
    <d v="2023-02-28T00:00:00"/>
    <d v="2023-03-19T00:00:00"/>
    <x v="0"/>
    <n v="66510"/>
    <n v="1242"/>
    <n v="1013.88"/>
    <n v="221"/>
    <s v="Yes"/>
    <s v="TikTok"/>
    <n v="19"/>
    <n v="1.8673883626522326E-2"/>
    <n v="0.177938808373591"/>
    <n v="0.81632850241545896"/>
    <n v="4.5876923076923077"/>
    <n v="2"/>
    <x v="1"/>
    <s v="February"/>
  </r>
  <r>
    <s v="CMP-00925"/>
    <s v="Q4_Launch_CMP-00925"/>
    <x v="2"/>
    <s v="Launch"/>
    <d v="2023-02-28T00:00:00"/>
    <d v="2023-03-15T00:00:00"/>
    <x v="3"/>
    <n v="23574"/>
    <n v="1054"/>
    <n v="648.29999999999995"/>
    <n v="104"/>
    <s v="Yes"/>
    <s v="FB"/>
    <n v="15"/>
    <n v="4.4710274030711802E-2"/>
    <n v="9.8671726755218223E-2"/>
    <n v="0.61508538899430731"/>
    <n v="6.233653846153846"/>
    <n v="2"/>
    <x v="1"/>
    <s v="February"/>
  </r>
  <r>
    <s v="CMP-01029"/>
    <s v="Q2_BlackFriday_CMP-01029"/>
    <x v="0"/>
    <s v="BlackFriday"/>
    <d v="2023-02-28T00:00:00"/>
    <d v="2023-05-03T00:00:00"/>
    <x v="0"/>
    <n v="1846"/>
    <n v="57"/>
    <n v="29.73"/>
    <n v="0"/>
    <s v="Yes"/>
    <s v="TikTok"/>
    <n v="64"/>
    <n v="3.0877573131094259E-2"/>
    <n v="0"/>
    <n v="0.52157894736842103"/>
    <s v="0"/>
    <n v="2"/>
    <x v="1"/>
    <s v="February"/>
  </r>
  <r>
    <s v="CMP-01083"/>
    <s v="Q1_Winstagramter_CMP-01083"/>
    <x v="3"/>
    <s v="Winstagramter"/>
    <d v="2023-02-28T00:00:00"/>
    <d v="2023-07-02T00:00:00"/>
    <x v="3"/>
    <n v="74698"/>
    <n v="1247"/>
    <n v="1881.21"/>
    <n v="101"/>
    <s v="Yes"/>
    <s v="FB"/>
    <n v="124"/>
    <n v="1.6693887386543146E-2"/>
    <n v="8.0994386527666398E-2"/>
    <n v="1.5085886126704091"/>
    <n v="18.625841584158415"/>
    <n v="2"/>
    <x v="1"/>
    <s v="February"/>
  </r>
  <r>
    <s v="CMP-01944"/>
    <s v="Q1_Summer_CMP-01944"/>
    <x v="3"/>
    <s v="Summer"/>
    <d v="2023-03-01T00:00:00"/>
    <d v="2023-03-23T00:00:00"/>
    <x v="2"/>
    <n v="24398"/>
    <n v="957"/>
    <n v="1215.18"/>
    <n v="65"/>
    <s v="Yes"/>
    <s v="IG"/>
    <n v="22"/>
    <n v="3.9224526600541029E-2"/>
    <n v="6.7920585161964475E-2"/>
    <n v="1.2697805642633229"/>
    <n v="18.695076923076925"/>
    <n v="3"/>
    <x v="1"/>
    <s v="March"/>
  </r>
  <r>
    <s v="CMP-00739"/>
    <s v="Q2_Launch_CMP-00739"/>
    <x v="0"/>
    <s v="Launch"/>
    <d v="2023-03-01T00:00:00"/>
    <d v="2023-03-25T00:00:00"/>
    <x v="4"/>
    <n v="11975"/>
    <n v="282"/>
    <n v="262.75"/>
    <n v="36"/>
    <s v="Yes"/>
    <s v="Google Ads"/>
    <n v="24"/>
    <n v="2.3549060542797495E-2"/>
    <n v="0.1276595744680851"/>
    <n v="0.93173758865248224"/>
    <n v="7.2986111111111107"/>
    <n v="3"/>
    <x v="1"/>
    <s v="March"/>
  </r>
  <r>
    <s v="CMP-01318"/>
    <s v="Q2_Launch_CMP-01318"/>
    <x v="0"/>
    <s v="Launch"/>
    <d v="2023-03-01T00:00:00"/>
    <d v="2023-03-17T00:00:00"/>
    <x v="0"/>
    <n v="64230"/>
    <n v="1923"/>
    <n v="1197.93"/>
    <n v="172"/>
    <s v="Yes"/>
    <s v="TikTok"/>
    <n v="16"/>
    <n v="2.9939280709948623E-2"/>
    <n v="8.9443577743109723E-2"/>
    <n v="0.62294851794071771"/>
    <n v="6.9647093023255815"/>
    <n v="3"/>
    <x v="1"/>
    <s v="March"/>
  </r>
  <r>
    <s v="CMP-01297"/>
    <s v="Q3_Winstagramter_CMP-01297"/>
    <x v="1"/>
    <s v="Winstagramter"/>
    <d v="2023-03-01T00:00:00"/>
    <d v="2023-03-20T00:00:00"/>
    <x v="5"/>
    <n v="27737"/>
    <n v="1316"/>
    <n v="2342.4699999999998"/>
    <n v="257"/>
    <s v="Yes"/>
    <s v="Not specified"/>
    <n v="19"/>
    <n v="4.7445650214514905E-2"/>
    <n v="0.19528875379939209"/>
    <n v="1.7799924012158053"/>
    <n v="9.1146692607003885"/>
    <n v="3"/>
    <x v="1"/>
    <s v="March"/>
  </r>
  <r>
    <s v="CMP-00140"/>
    <s v="Q4_Winstagramter_CMP-00140"/>
    <x v="2"/>
    <s v="Winstagramter"/>
    <d v="2023-03-01T00:00:00"/>
    <d v="2023-03-10T00:00:00"/>
    <x v="2"/>
    <n v="91982"/>
    <n v="4574"/>
    <n v="5394.42"/>
    <n v="0"/>
    <s v="No"/>
    <s v="IG"/>
    <n v="9"/>
    <n v="4.9727120523580699E-2"/>
    <n v="0"/>
    <n v="1.1793659816353301"/>
    <s v="0"/>
    <n v="3"/>
    <x v="1"/>
    <s v="March"/>
  </r>
  <r>
    <s v="CMP-01843"/>
    <s v="Q1_Launch_CMP-01843"/>
    <x v="3"/>
    <s v="Launch"/>
    <d v="2023-03-02T00:00:00"/>
    <d v="2023-03-19T00:00:00"/>
    <x v="4"/>
    <n v="82871"/>
    <n v="2183"/>
    <n v="3837.52"/>
    <n v="376"/>
    <s v="Yes"/>
    <s v="Google Ads"/>
    <n v="17"/>
    <n v="2.6342146227268888E-2"/>
    <n v="0.17224003664681631"/>
    <n v="1.7579111314704534"/>
    <n v="10.206170212765958"/>
    <n v="3"/>
    <x v="1"/>
    <s v="March"/>
  </r>
  <r>
    <s v="CMP-01264"/>
    <s v="Q2_Winstagramter_CMP-01264"/>
    <x v="0"/>
    <s v="Winstagramter"/>
    <d v="2023-03-02T00:00:00"/>
    <d v="2023-03-20T00:00:00"/>
    <x v="1"/>
    <n v="25917"/>
    <n v="559"/>
    <n v="888.34"/>
    <n v="86"/>
    <s v="Yes"/>
    <s v="Email"/>
    <n v="18"/>
    <n v="2.1568854419878845E-2"/>
    <n v="0.15384615384615385"/>
    <n v="1.5891592128801433"/>
    <n v="10.32953488372093"/>
    <n v="3"/>
    <x v="1"/>
    <s v="March"/>
  </r>
  <r>
    <s v="CMP-01513"/>
    <s v="Q2_BlackFriday_CMP-01513"/>
    <x v="0"/>
    <s v="BlackFriday"/>
    <d v="2023-03-02T00:00:00"/>
    <d v="2023-03-25T00:00:00"/>
    <x v="1"/>
    <n v="78454"/>
    <n v="1069"/>
    <n v="952.88"/>
    <n v="148"/>
    <s v="Yes"/>
    <s v="Email"/>
    <n v="23"/>
    <n v="1.362581895123257E-2"/>
    <n v="0.13844714686623011"/>
    <n v="0.8913751169317119"/>
    <n v="6.4383783783783786"/>
    <n v="3"/>
    <x v="1"/>
    <s v="March"/>
  </r>
  <r>
    <s v="CMP-00793"/>
    <s v="Q3_Launch_CMP-00793"/>
    <x v="1"/>
    <s v="Launch"/>
    <d v="2023-03-02T00:00:00"/>
    <d v="2023-03-03T00:00:00"/>
    <x v="4"/>
    <n v="19017"/>
    <n v="752"/>
    <n v="1195.8699999999999"/>
    <n v="60"/>
    <s v="No"/>
    <s v="Google Ads"/>
    <n v="1"/>
    <n v="3.9543566282799598E-2"/>
    <n v="7.9787234042553196E-2"/>
    <n v="1.5902526595744679"/>
    <n v="19.931166666666666"/>
    <n v="3"/>
    <x v="1"/>
    <s v="March"/>
  </r>
  <r>
    <s v="CMP-00092"/>
    <s v="Q1_Launch_CMP-00092"/>
    <x v="3"/>
    <s v="Launch"/>
    <d v="2023-03-03T00:00:00"/>
    <d v="2023-04-01T00:00:00"/>
    <x v="4"/>
    <n v="87779"/>
    <n v="1188"/>
    <n v="624.55999999999995"/>
    <n v="186"/>
    <s v="No"/>
    <s v="Google Ads"/>
    <n v="29"/>
    <n v="1.3533988767245013E-2"/>
    <n v="0.15656565656565657"/>
    <n v="0.5257239057239057"/>
    <n v="3.357849462365591"/>
    <n v="3"/>
    <x v="1"/>
    <s v="March"/>
  </r>
  <r>
    <s v="CMP-00452"/>
    <s v="Q3_Summer_CMP-00452"/>
    <x v="1"/>
    <s v="Summer"/>
    <d v="2023-03-03T00:00:00"/>
    <d v="2023-03-05T00:00:00"/>
    <x v="2"/>
    <n v="84613"/>
    <n v="3994"/>
    <n v="4458.4399999999996"/>
    <n v="760"/>
    <s v="Yes"/>
    <s v="IG"/>
    <n v="2"/>
    <n v="4.7203148452365479E-2"/>
    <n v="0.19028542814221333"/>
    <n v="1.1162844266399599"/>
    <n v="5.8663684210526315"/>
    <n v="3"/>
    <x v="1"/>
    <s v="March"/>
  </r>
  <r>
    <s v="CMP-01190"/>
    <s v="Q3_BlackFriday_CMP-01190"/>
    <x v="1"/>
    <s v="BlackFriday"/>
    <d v="2023-03-03T00:00:00"/>
    <d v="2023-03-28T00:00:00"/>
    <x v="5"/>
    <n v="16328"/>
    <n v="770"/>
    <n v="1126.6099999999999"/>
    <n v="62"/>
    <s v="Yes"/>
    <s v="Not specified"/>
    <n v="25"/>
    <n v="4.7158255756981869E-2"/>
    <n v="8.0519480519480519E-2"/>
    <n v="1.4631298701298701"/>
    <n v="18.171129032258062"/>
    <n v="3"/>
    <x v="1"/>
    <s v="March"/>
  </r>
  <r>
    <s v="CMP-01707"/>
    <s v="Q4_Summer_CMP-01707"/>
    <x v="2"/>
    <s v="Summer"/>
    <d v="2023-03-03T00:00:00"/>
    <d v="2023-03-16T00:00:00"/>
    <x v="3"/>
    <n v="86956"/>
    <n v="2000"/>
    <n v="3122.28"/>
    <n v="359"/>
    <s v="No"/>
    <s v="FB"/>
    <n v="13"/>
    <n v="2.3000138000828004E-2"/>
    <n v="0.17949999999999999"/>
    <n v="1.5611400000000002"/>
    <n v="8.6971587743732588"/>
    <n v="3"/>
    <x v="1"/>
    <s v="March"/>
  </r>
  <r>
    <s v="CMP-00635"/>
    <s v="Q2_Launch_CMP-00635"/>
    <x v="0"/>
    <s v="Launch"/>
    <d v="2023-03-04T00:00:00"/>
    <d v="2023-03-19T00:00:00"/>
    <x v="3"/>
    <n v="67703"/>
    <n v="2700"/>
    <n v="4311.1899999999996"/>
    <n v="345"/>
    <s v="Yes"/>
    <s v="FB"/>
    <n v="15"/>
    <n v="3.9880064398918808E-2"/>
    <n v="0.12777777777777777"/>
    <n v="1.5967370370370368"/>
    <n v="12.496202898550724"/>
    <n v="3"/>
    <x v="1"/>
    <s v="March"/>
  </r>
  <r>
    <s v="CMP-01088"/>
    <s v="Q4_Summer_CMP-01088"/>
    <x v="2"/>
    <s v="Summer"/>
    <d v="2023-03-04T00:00:00"/>
    <d v="2023-03-07T00:00:00"/>
    <x v="0"/>
    <n v="88388"/>
    <n v="1363"/>
    <n v="1527.27"/>
    <n v="249"/>
    <s v="No"/>
    <s v="TikTok"/>
    <n v="3"/>
    <n v="1.5420645336471014E-2"/>
    <n v="0.18268525311812178"/>
    <n v="1.120520909757887"/>
    <n v="6.1336144578313254"/>
    <n v="3"/>
    <x v="1"/>
    <s v="March"/>
  </r>
  <r>
    <s v="CMP-01696"/>
    <s v="Q4_Launch_CMP-01696"/>
    <x v="2"/>
    <s v="Launch"/>
    <d v="2023-03-04T00:00:00"/>
    <d v="2023-03-21T00:00:00"/>
    <x v="5"/>
    <n v="34742"/>
    <n v="447"/>
    <n v="690.3"/>
    <n v="69"/>
    <s v="Yes"/>
    <s v="Not specified"/>
    <n v="17"/>
    <n v="1.2866271371826608E-2"/>
    <n v="0.15436241610738255"/>
    <n v="1.5442953020134227"/>
    <n v="10.004347826086956"/>
    <n v="3"/>
    <x v="1"/>
    <s v="March"/>
  </r>
  <r>
    <s v="CMP-00525"/>
    <s v="Q1_BlackFriday_CMP-00525"/>
    <x v="3"/>
    <s v="BlackFriday"/>
    <d v="2023-03-05T00:00:00"/>
    <d v="2023-03-26T00:00:00"/>
    <x v="0"/>
    <n v="28663"/>
    <n v="1294"/>
    <n v="2148.5"/>
    <n v="203"/>
    <s v="No"/>
    <s v="TikTok"/>
    <n v="21"/>
    <n v="4.5145309283745598E-2"/>
    <n v="0.15687789799072643"/>
    <n v="1.6603554868624419"/>
    <n v="10.583743842364532"/>
    <n v="3"/>
    <x v="1"/>
    <s v="March"/>
  </r>
  <r>
    <s v="CMP-01880"/>
    <s v="Q1_BlackFriday_CMP-01880"/>
    <x v="3"/>
    <s v="BlackFriday"/>
    <d v="2023-03-05T00:00:00"/>
    <d v="2023-03-25T00:00:00"/>
    <x v="4"/>
    <n v="54625"/>
    <n v="1451"/>
    <n v="2119.29"/>
    <n v="238"/>
    <s v="No"/>
    <s v="Google Ads"/>
    <n v="20"/>
    <n v="2.6562929061784896E-2"/>
    <n v="0.16402481047553411"/>
    <n v="1.4605720192970364"/>
    <n v="8.9045798319327734"/>
    <n v="3"/>
    <x v="1"/>
    <s v="March"/>
  </r>
  <r>
    <s v="CMP-00566"/>
    <s v="Q2_Summer_CMP-00566"/>
    <x v="0"/>
    <s v="Summer"/>
    <d v="2023-03-05T00:00:00"/>
    <d v="2023-03-14T00:00:00"/>
    <x v="4"/>
    <n v="21358"/>
    <n v="479"/>
    <n v="525.63"/>
    <n v="29"/>
    <s v="Yes"/>
    <s v="Google Ads"/>
    <n v="9"/>
    <n v="2.2427193557449199E-2"/>
    <n v="6.0542797494780795E-2"/>
    <n v="1.0973486430062631"/>
    <n v="18.125172413793102"/>
    <n v="3"/>
    <x v="1"/>
    <s v="March"/>
  </r>
  <r>
    <s v="CMP-00979"/>
    <s v="Q3_Winstagramter_CMP-00979"/>
    <x v="1"/>
    <s v="Winstagramter"/>
    <d v="2023-03-05T00:00:00"/>
    <d v="2023-03-21T00:00:00"/>
    <x v="4"/>
    <n v="27734"/>
    <n v="593"/>
    <n v="1000.46"/>
    <n v="30"/>
    <s v="Yes"/>
    <s v="Google Ads"/>
    <n v="16"/>
    <n v="2.1381697555347228E-2"/>
    <n v="5.0590219224283306E-2"/>
    <n v="1.6871163575042158"/>
    <n v="33.348666666666666"/>
    <n v="3"/>
    <x v="1"/>
    <s v="March"/>
  </r>
  <r>
    <s v="CMP-01225"/>
    <s v="Q4_Winstagramter_CMP-01225"/>
    <x v="2"/>
    <s v="Winstagramter"/>
    <d v="2023-03-05T00:00:00"/>
    <d v="2023-03-13T00:00:00"/>
    <x v="3"/>
    <n v="57264"/>
    <n v="1894"/>
    <n v="2530.59"/>
    <n v="178"/>
    <s v="No"/>
    <s v="FB"/>
    <n v="8"/>
    <n v="3.3074881251746298E-2"/>
    <n v="9.398099260823653E-2"/>
    <n v="1.3361087645195355"/>
    <n v="14.21679775280899"/>
    <n v="3"/>
    <x v="1"/>
    <s v="March"/>
  </r>
  <r>
    <s v="CMP-00244"/>
    <s v="Q2_Launch_CMP-00244"/>
    <x v="0"/>
    <s v="Launch"/>
    <d v="2023-03-06T00:00:00"/>
    <d v="2023-03-08T00:00:00"/>
    <x v="3"/>
    <n v="87202"/>
    <n v="1692"/>
    <n v="1166.69"/>
    <n v="107"/>
    <s v="Yes"/>
    <s v="FB"/>
    <n v="2"/>
    <n v="1.9403224696681268E-2"/>
    <n v="6.323877068557919E-2"/>
    <n v="0.68953309692671394"/>
    <n v="10.903644859813085"/>
    <n v="3"/>
    <x v="1"/>
    <s v="March"/>
  </r>
  <r>
    <s v="CMP-01192"/>
    <s v="Q4_Winstagramter_CMP-01192"/>
    <x v="2"/>
    <s v="Winstagramter"/>
    <d v="2023-03-06T00:00:00"/>
    <d v="2023-04-02T00:00:00"/>
    <x v="0"/>
    <n v="92751"/>
    <n v="4162"/>
    <n v="5168.3"/>
    <n v="668"/>
    <s v="Yes"/>
    <s v="TikTok"/>
    <n v="27"/>
    <n v="4.4872831559767547E-2"/>
    <n v="0.16049975973089861"/>
    <n v="1.2417827967323403"/>
    <n v="7.736976047904192"/>
    <n v="3"/>
    <x v="1"/>
    <s v="March"/>
  </r>
  <r>
    <s v="CMP-00823"/>
    <s v="Q2_BlackFriday_CMP-00823"/>
    <x v="0"/>
    <s v="BlackFriday"/>
    <d v="2023-03-06T00:00:00"/>
    <d v="2023-04-02T00:00:00"/>
    <x v="0"/>
    <n v="22949"/>
    <n v="711"/>
    <n v="1305.96"/>
    <n v="107"/>
    <s v="Yes"/>
    <s v="TikTok"/>
    <n v="27"/>
    <n v="3.098174212383982E-2"/>
    <n v="0.15049226441631505"/>
    <n v="1.8367932489451477"/>
    <n v="12.205233644859813"/>
    <n v="3"/>
    <x v="1"/>
    <s v="March"/>
  </r>
  <r>
    <s v="CMP-00118"/>
    <s v="Q2_Summer_CMP-00118"/>
    <x v="0"/>
    <s v="Summer"/>
    <d v="2023-03-07T00:00:00"/>
    <d v="2023-03-23T00:00:00"/>
    <x v="4"/>
    <n v="9392"/>
    <n v="189"/>
    <n v="338.61"/>
    <n v="23"/>
    <s v="Yes"/>
    <s v="Google Ads"/>
    <n v="16"/>
    <n v="2.0123509369676319E-2"/>
    <n v="0.12169312169312169"/>
    <n v="1.7915873015873016"/>
    <n v="14.722173913043479"/>
    <n v="3"/>
    <x v="1"/>
    <s v="March"/>
  </r>
  <r>
    <s v="CMP-00149"/>
    <s v="Q2_BlackFriday_CMP-00149"/>
    <x v="0"/>
    <s v="BlackFriday"/>
    <d v="2023-03-07T00:00:00"/>
    <d v="2023-03-30T00:00:00"/>
    <x v="3"/>
    <n v="19141"/>
    <n v="881"/>
    <n v="1643.35"/>
    <n v="67"/>
    <s v="Yes"/>
    <s v="FB"/>
    <n v="23"/>
    <n v="4.6026853351444547E-2"/>
    <n v="7.6049943246311008E-2"/>
    <n v="1.8653234960272416"/>
    <n v="24.527611940298506"/>
    <n v="3"/>
    <x v="1"/>
    <s v="March"/>
  </r>
  <r>
    <s v="CMP-01094"/>
    <s v="Q2_Launch_CMP-01094"/>
    <x v="0"/>
    <s v="Launch"/>
    <d v="2023-03-07T00:00:00"/>
    <d v="2023-03-12T00:00:00"/>
    <x v="3"/>
    <n v="87740"/>
    <n v="1976"/>
    <n v="3856.57"/>
    <n v="139"/>
    <s v="No"/>
    <s v="FB"/>
    <n v="5"/>
    <n v="2.2521085023934351E-2"/>
    <n v="7.0344129554655868E-2"/>
    <n v="1.9517054655870447"/>
    <n v="27.745107913669067"/>
    <n v="3"/>
    <x v="1"/>
    <s v="March"/>
  </r>
  <r>
    <s v="CMP-01374"/>
    <s v="Q3_Winstagramter_CMP-01374"/>
    <x v="1"/>
    <s v="Winstagramter"/>
    <d v="2023-03-07T00:00:00"/>
    <d v="2023-03-16T00:00:00"/>
    <x v="3"/>
    <n v="20063"/>
    <n v="888"/>
    <n v="1045.0899999999999"/>
    <n v="44"/>
    <s v="No"/>
    <s v="FB"/>
    <n v="9"/>
    <n v="4.4260579175596872E-2"/>
    <n v="4.954954954954955E-2"/>
    <n v="1.1769031531531531"/>
    <n v="23.752045454545453"/>
    <n v="3"/>
    <x v="1"/>
    <s v="March"/>
  </r>
  <r>
    <s v="CMP-00501"/>
    <s v="Q4_Winstagramter_CMP-00501"/>
    <x v="2"/>
    <s v="Winstagramter"/>
    <d v="2023-03-07T00:00:00"/>
    <d v="2023-04-04T00:00:00"/>
    <x v="2"/>
    <n v="30124"/>
    <n v="452"/>
    <n v="609.54"/>
    <n v="62"/>
    <s v="Yes"/>
    <s v="IG"/>
    <n v="28"/>
    <n v="1.5004647457177002E-2"/>
    <n v="0.13716814159292035"/>
    <n v="1.3485398230088494"/>
    <n v="9.8312903225806441"/>
    <n v="3"/>
    <x v="1"/>
    <s v="March"/>
  </r>
  <r>
    <s v="CMP-00421"/>
    <s v="Q1_BlackFriday_CMP-00421"/>
    <x v="3"/>
    <s v="BlackFriday"/>
    <d v="2023-03-08T00:00:00"/>
    <d v="2023-03-30T00:00:00"/>
    <x v="4"/>
    <n v="50726"/>
    <n v="1888"/>
    <n v="3368.57"/>
    <n v="158"/>
    <s v="No"/>
    <s v="Google Ads"/>
    <n v="22"/>
    <n v="3.7219571817214053E-2"/>
    <n v="8.3686440677966101E-2"/>
    <n v="1.7842002118644069"/>
    <n v="21.320063291139242"/>
    <n v="3"/>
    <x v="1"/>
    <s v="March"/>
  </r>
  <r>
    <s v="CMP-01733"/>
    <s v="Q2_BlackFriday_CMP-01733"/>
    <x v="0"/>
    <s v="BlackFriday"/>
    <d v="2023-03-08T00:00:00"/>
    <d v="2023-08-15T00:00:00"/>
    <x v="0"/>
    <n v="54947"/>
    <n v="1495"/>
    <n v="2750.96"/>
    <n v="78"/>
    <s v="Yes"/>
    <s v="TikTok"/>
    <n v="160"/>
    <n v="2.7208036835496024E-2"/>
    <n v="5.2173913043478258E-2"/>
    <n v="1.8401070234113712"/>
    <n v="35.268717948717949"/>
    <n v="3"/>
    <x v="1"/>
    <s v="March"/>
  </r>
  <r>
    <s v="CMP-00113"/>
    <s v="Q3_BlackFriday_CMP-00113"/>
    <x v="1"/>
    <s v="BlackFriday"/>
    <d v="2023-03-08T00:00:00"/>
    <d v="2023-03-28T00:00:00"/>
    <x v="2"/>
    <n v="4561"/>
    <n v="79"/>
    <n v="112.8"/>
    <n v="7"/>
    <s v="No"/>
    <s v="IG"/>
    <n v="20"/>
    <n v="1.7320762990572242E-2"/>
    <n v="8.8607594936708861E-2"/>
    <n v="1.4278481012658228"/>
    <n v="16.114285714285714"/>
    <n v="3"/>
    <x v="1"/>
    <s v="March"/>
  </r>
  <r>
    <s v="CMP-01410"/>
    <s v="Q3_Launch_CMP-01410"/>
    <x v="1"/>
    <s v="Launch"/>
    <d v="2023-03-08T00:00:00"/>
    <d v="2023-03-17T00:00:00"/>
    <x v="3"/>
    <n v="17725"/>
    <n v="634"/>
    <n v="386.43"/>
    <n v="116"/>
    <s v="Yes"/>
    <s v="FB"/>
    <n v="9"/>
    <n v="3.5768688293370945E-2"/>
    <n v="0.18296529968454259"/>
    <n v="0.60951104100946374"/>
    <n v="3.3312931034482758"/>
    <n v="3"/>
    <x v="1"/>
    <s v="March"/>
  </r>
  <r>
    <s v="CMP-00611"/>
    <s v="Q4_Summer_CMP-00611"/>
    <x v="2"/>
    <s v="Summer"/>
    <d v="2023-03-08T00:00:00"/>
    <d v="2023-03-23T00:00:00"/>
    <x v="5"/>
    <n v="48280"/>
    <n v="1711"/>
    <n v="2306.65"/>
    <n v="0"/>
    <s v="Yes"/>
    <s v="Not specified"/>
    <n v="15"/>
    <n v="3.5439105219552611E-2"/>
    <n v="0"/>
    <n v="1.3481297486849797"/>
    <s v="0"/>
    <n v="3"/>
    <x v="1"/>
    <s v="March"/>
  </r>
  <r>
    <s v="CMP-01332"/>
    <s v="Q4_Winstagramter_CMP-01332"/>
    <x v="2"/>
    <s v="Winstagramter"/>
    <d v="2023-03-08T00:00:00"/>
    <d v="2023-03-29T00:00:00"/>
    <x v="3"/>
    <n v="88127"/>
    <n v="3947"/>
    <n v="5394.53"/>
    <n v="528"/>
    <s v="No"/>
    <s v="FB"/>
    <n v="21"/>
    <n v="4.4787636025281699E-2"/>
    <n v="0.13377248543197365"/>
    <n v="1.3667418292373954"/>
    <n v="10.216912878787879"/>
    <n v="3"/>
    <x v="1"/>
    <s v="March"/>
  </r>
  <r>
    <s v="CMP-01235"/>
    <s v="Q1_Launch_CMP-01235"/>
    <x v="3"/>
    <s v="Launch"/>
    <d v="2023-03-09T00:00:00"/>
    <d v="2023-03-19T00:00:00"/>
    <x v="3"/>
    <n v="50688"/>
    <n v="801"/>
    <n v="1167.6400000000001"/>
    <n v="88"/>
    <s v="No"/>
    <s v="FB"/>
    <n v="10"/>
    <n v="1.580255681818182E-2"/>
    <n v="0.10986267166042447"/>
    <n v="1.4577278401997504"/>
    <n v="13.268636363636364"/>
    <n v="3"/>
    <x v="1"/>
    <s v="March"/>
  </r>
  <r>
    <s v="CMP-00101"/>
    <s v="Q2_Summer_CMP-00101"/>
    <x v="0"/>
    <s v="Summer"/>
    <d v="2023-03-09T00:00:00"/>
    <d v="2023-04-01T00:00:00"/>
    <x v="0"/>
    <n v="63592"/>
    <n v="3111"/>
    <n v="3433"/>
    <n v="156"/>
    <s v="No"/>
    <s v="TikTok"/>
    <n v="23"/>
    <n v="4.89212479557177E-2"/>
    <n v="5.0144648023143681E-2"/>
    <n v="1.1035036965605916"/>
    <n v="22.006410256410255"/>
    <n v="3"/>
    <x v="1"/>
    <s v="March"/>
  </r>
  <r>
    <s v="CMP-01014"/>
    <s v="Q2_Launch_CMP-01014"/>
    <x v="0"/>
    <s v="Launch"/>
    <d v="2023-03-09T00:00:00"/>
    <d v="2023-04-08T00:00:00"/>
    <x v="4"/>
    <n v="14046"/>
    <n v="367"/>
    <n v="291.89"/>
    <n v="55"/>
    <s v="Yes"/>
    <s v="Google Ads"/>
    <n v="30"/>
    <n v="2.6128435141677345E-2"/>
    <n v="0.14986376021798364"/>
    <n v="0.79534059945504088"/>
    <n v="5.3070909090909089"/>
    <n v="3"/>
    <x v="1"/>
    <s v="March"/>
  </r>
  <r>
    <s v="CMP-01619"/>
    <s v="Q2_BlackFriday_CMP-01619"/>
    <x v="0"/>
    <s v="BlackFriday"/>
    <d v="2023-03-09T00:00:00"/>
    <d v="2023-04-05T00:00:00"/>
    <x v="4"/>
    <n v="90431"/>
    <n v="3467"/>
    <n v="3497.62"/>
    <n v="249"/>
    <s v="Yes"/>
    <s v="Google Ads"/>
    <n v="27"/>
    <n v="3.8338622817396688E-2"/>
    <n v="7.1820017306028272E-2"/>
    <n v="1.0088318430920105"/>
    <n v="14.046666666666667"/>
    <n v="3"/>
    <x v="1"/>
    <s v="March"/>
  </r>
  <r>
    <s v="CMP-01890"/>
    <s v="Q2_Winstagramter_CMP-01890"/>
    <x v="0"/>
    <s v="Winstagramter"/>
    <d v="2023-03-09T00:00:00"/>
    <d v="2023-09-10T00:00:00"/>
    <x v="0"/>
    <n v="35531"/>
    <n v="1581"/>
    <n v="1482.25"/>
    <n v="0"/>
    <s v="Yes"/>
    <s v="TikTok"/>
    <n v="185"/>
    <n v="4.4496355295375871E-2"/>
    <n v="0"/>
    <n v="0.93753953194180895"/>
    <s v="0"/>
    <n v="3"/>
    <x v="1"/>
    <s v="March"/>
  </r>
  <r>
    <s v="CMP-00395"/>
    <s v="Q3_BlackFriday_CMP-00395"/>
    <x v="1"/>
    <s v="BlackFriday"/>
    <d v="2023-03-09T00:00:00"/>
    <d v="2023-03-19T00:00:00"/>
    <x v="0"/>
    <n v="55748"/>
    <n v="1149"/>
    <n v="2271.88"/>
    <n v="75"/>
    <s v="No"/>
    <s v="TikTok"/>
    <n v="10"/>
    <n v="2.061060486474851E-2"/>
    <n v="6.5274151436031339E-2"/>
    <n v="1.9772671888598783"/>
    <n v="30.291733333333333"/>
    <n v="3"/>
    <x v="1"/>
    <s v="March"/>
  </r>
  <r>
    <s v="CMP-00742"/>
    <s v="Q3_Summer_CMP-00742"/>
    <x v="1"/>
    <s v="Summer"/>
    <d v="2023-03-09T00:00:00"/>
    <d v="2023-03-21T00:00:00"/>
    <x v="1"/>
    <n v="91469"/>
    <n v="3689"/>
    <n v="2591.9699999999998"/>
    <n v="612"/>
    <s v="Yes"/>
    <s v="Email"/>
    <n v="12"/>
    <n v="4.0330603811127269E-2"/>
    <n v="0.16589861751152074"/>
    <n v="0.70262130658715094"/>
    <n v="4.2352450980392158"/>
    <n v="3"/>
    <x v="1"/>
    <s v="March"/>
  </r>
  <r>
    <s v="CMP-00982"/>
    <s v="Q4_Winstagramter_CMP-00982"/>
    <x v="2"/>
    <s v="Winstagramter"/>
    <d v="2023-03-09T00:00:00"/>
    <d v="2023-04-01T00:00:00"/>
    <x v="2"/>
    <n v="80905"/>
    <n v="3656"/>
    <n v="3511.44"/>
    <n v="0"/>
    <s v="Yes"/>
    <s v="IG"/>
    <n v="23"/>
    <n v="4.5188801680983867E-2"/>
    <n v="0"/>
    <n v="0.96045951859956236"/>
    <s v="0"/>
    <n v="3"/>
    <x v="1"/>
    <s v="March"/>
  </r>
  <r>
    <s v="CMP-00734"/>
    <s v="Q1_BlackFriday_CMP-00734"/>
    <x v="3"/>
    <s v="BlackFriday"/>
    <d v="2023-03-09T00:00:00"/>
    <d v="2023-11-02T00:00:00"/>
    <x v="4"/>
    <n v="20087"/>
    <n v="290"/>
    <n v="484.7"/>
    <n v="55"/>
    <s v="No"/>
    <s v="Google Ads"/>
    <n v="238"/>
    <n v="1.4437198187882709E-2"/>
    <n v="0.18965517241379309"/>
    <n v="1.6713793103448276"/>
    <n v="8.8127272727272725"/>
    <n v="3"/>
    <x v="1"/>
    <s v="March"/>
  </r>
  <r>
    <s v="CMP-00168"/>
    <s v="Q1_Winstagramter_CMP-00168"/>
    <x v="3"/>
    <s v="Winstagramter"/>
    <d v="2023-03-10T00:00:00"/>
    <d v="2023-03-19T00:00:00"/>
    <x v="3"/>
    <n v="70163"/>
    <n v="2505"/>
    <n v="3137.17"/>
    <n v="0"/>
    <s v="Yes"/>
    <s v="FB"/>
    <n v="9"/>
    <n v="3.5702578282000484E-2"/>
    <n v="0"/>
    <n v="1.2523632734530938"/>
    <s v="0"/>
    <n v="3"/>
    <x v="1"/>
    <s v="March"/>
  </r>
  <r>
    <s v="CMP-01518"/>
    <s v="Q1_Winstagramter_CMP-01518"/>
    <x v="3"/>
    <s v="Winstagramter"/>
    <d v="2023-03-10T00:00:00"/>
    <d v="2023-10-04T00:00:00"/>
    <x v="3"/>
    <n v="71342"/>
    <n v="2488"/>
    <n v="1676.25"/>
    <n v="436"/>
    <s v="Yes"/>
    <s v="FB"/>
    <n v="208"/>
    <n v="3.487426761234616E-2"/>
    <n v="0.17524115755627009"/>
    <n v="0.673733922829582"/>
    <n v="3.8446100917431192"/>
    <n v="3"/>
    <x v="1"/>
    <s v="March"/>
  </r>
  <r>
    <s v="CMP-01476"/>
    <s v="Q3_Launch_CMP-01476"/>
    <x v="1"/>
    <s v="Launch"/>
    <d v="2023-03-10T00:00:00"/>
    <d v="2023-04-06T00:00:00"/>
    <x v="4"/>
    <n v="25354"/>
    <n v="654"/>
    <n v="368.93"/>
    <n v="85"/>
    <s v="Yes"/>
    <s v="Google Ads"/>
    <n v="27"/>
    <n v="2.5794746391101995E-2"/>
    <n v="0.12996941896024464"/>
    <n v="0.56411314984709482"/>
    <n v="4.3403529411764703"/>
    <n v="3"/>
    <x v="1"/>
    <s v="March"/>
  </r>
  <r>
    <s v="CMP-00106"/>
    <s v="Q4_BlackFriday_CMP-00106"/>
    <x v="2"/>
    <s v="BlackFriday"/>
    <d v="2023-03-10T00:00:00"/>
    <d v="2023-04-05T00:00:00"/>
    <x v="4"/>
    <n v="88538"/>
    <n v="2770"/>
    <n v="4194.3"/>
    <n v="342"/>
    <s v="No"/>
    <s v="Google Ads"/>
    <n v="26"/>
    <n v="3.1286001490885271E-2"/>
    <n v="0.12346570397111914"/>
    <n v="1.5141877256317691"/>
    <n v="12.264035087719298"/>
    <n v="3"/>
    <x v="1"/>
    <s v="March"/>
  </r>
  <r>
    <s v="CMP-00712"/>
    <s v="Q4_BlackFriday_CMP-00712"/>
    <x v="2"/>
    <s v="BlackFriday"/>
    <d v="2023-03-10T00:00:00"/>
    <d v="2023-03-23T00:00:00"/>
    <x v="0"/>
    <n v="34591"/>
    <n v="468"/>
    <n v="589.97"/>
    <n v="52"/>
    <s v="No"/>
    <s v="TikTok"/>
    <n v="13"/>
    <n v="1.352953080280998E-2"/>
    <n v="0.1111111111111111"/>
    <n v="1.2606196581196583"/>
    <n v="11.345576923076923"/>
    <n v="3"/>
    <x v="1"/>
    <s v="March"/>
  </r>
  <r>
    <s v="CMP-00996"/>
    <s v="Q4_Launch_CMP-00996"/>
    <x v="2"/>
    <s v="Launch"/>
    <d v="2023-03-10T00:00:00"/>
    <d v="2023-03-19T00:00:00"/>
    <x v="0"/>
    <n v="76703"/>
    <n v="1677"/>
    <n v="1213.6600000000001"/>
    <n v="191"/>
    <s v="Yes"/>
    <s v="TikTok"/>
    <n v="9"/>
    <n v="2.1863551621188221E-2"/>
    <n v="0.1138938580799046"/>
    <n v="0.72370900417412054"/>
    <n v="6.3542408376963353"/>
    <n v="3"/>
    <x v="1"/>
    <s v="March"/>
  </r>
  <r>
    <s v="CMP-01379"/>
    <s v="Q4_Launch_CMP-01379"/>
    <x v="2"/>
    <s v="Launch"/>
    <d v="2023-03-10T00:00:00"/>
    <d v="2023-03-18T00:00:00"/>
    <x v="0"/>
    <n v="52920"/>
    <n v="913"/>
    <n v="1576.24"/>
    <n v="82"/>
    <s v="Yes"/>
    <s v="TikTok"/>
    <n v="8"/>
    <n v="1.7252456538170823E-2"/>
    <n v="8.9813800657174148E-2"/>
    <n v="1.7264403066812706"/>
    <n v="19.222439024390244"/>
    <n v="3"/>
    <x v="1"/>
    <s v="March"/>
  </r>
  <r>
    <s v="CMP-01875"/>
    <s v="Q2_Winstagramter_CMP-01875"/>
    <x v="0"/>
    <s v="Winstagramter"/>
    <d v="2023-03-11T00:00:00"/>
    <d v="2023-03-16T00:00:00"/>
    <x v="5"/>
    <n v="62788"/>
    <n v="1937"/>
    <n v="1105.04"/>
    <n v="0"/>
    <s v="No"/>
    <s v="Not specified"/>
    <n v="5"/>
    <n v="3.0849843919220233E-2"/>
    <n v="0"/>
    <n v="0.57049044914816727"/>
    <s v="0"/>
    <n v="3"/>
    <x v="1"/>
    <s v="March"/>
  </r>
  <r>
    <s v="CMP-01792"/>
    <s v="Q3_Summer_CMP-01792"/>
    <x v="1"/>
    <s v="Summer"/>
    <d v="2023-03-11T00:00:00"/>
    <d v="2023-04-08T00:00:00"/>
    <x v="2"/>
    <n v="74609"/>
    <n v="793"/>
    <n v="598.42999999999995"/>
    <n v="53"/>
    <s v="Yes"/>
    <s v="IG"/>
    <n v="28"/>
    <n v="1.0628744521438433E-2"/>
    <n v="6.683480453972257E-2"/>
    <n v="0.75464060529634291"/>
    <n v="11.291132075471698"/>
    <n v="3"/>
    <x v="1"/>
    <s v="March"/>
  </r>
  <r>
    <s v="CMP-01840"/>
    <s v="Q3_Winstagramter_CMP-01840"/>
    <x v="1"/>
    <s v="Winstagramter"/>
    <d v="2023-03-11T00:00:00"/>
    <d v="2023-03-23T00:00:00"/>
    <x v="4"/>
    <n v="34756"/>
    <n v="738"/>
    <n v="1422.97"/>
    <n v="120"/>
    <s v="No"/>
    <s v="Google Ads"/>
    <n v="12"/>
    <n v="2.1233743814017724E-2"/>
    <n v="0.16260162601626016"/>
    <n v="1.9281436314363145"/>
    <n v="11.858083333333333"/>
    <n v="3"/>
    <x v="1"/>
    <s v="March"/>
  </r>
  <r>
    <s v="CMP-00451"/>
    <s v="Q1_Launch_CMP-00451"/>
    <x v="3"/>
    <s v="Launch"/>
    <d v="2023-03-12T00:00:00"/>
    <d v="2023-03-27T00:00:00"/>
    <x v="5"/>
    <n v="18019"/>
    <n v="381"/>
    <n v="590.37"/>
    <n v="70"/>
    <s v="Yes"/>
    <s v="Not specified"/>
    <n v="15"/>
    <n v="2.1144347633053999E-2"/>
    <n v="0.18372703412073491"/>
    <n v="1.5495275590551181"/>
    <n v="8.4338571428571427"/>
    <n v="3"/>
    <x v="1"/>
    <s v="March"/>
  </r>
  <r>
    <s v="CMP-00699"/>
    <s v="Q1_BlackFriday_CMP-00699"/>
    <x v="3"/>
    <s v="BlackFriday"/>
    <d v="2023-03-12T00:00:00"/>
    <d v="2023-04-02T00:00:00"/>
    <x v="0"/>
    <n v="56771"/>
    <n v="1690"/>
    <n v="959.82"/>
    <n v="197"/>
    <s v="Yes"/>
    <s v="TikTok"/>
    <n v="21"/>
    <n v="2.9768719945042363E-2"/>
    <n v="0.1165680473372781"/>
    <n v="0.56794082840236693"/>
    <n v="4.8721827411167515"/>
    <n v="3"/>
    <x v="1"/>
    <s v="March"/>
  </r>
  <r>
    <s v="CMP-01302"/>
    <s v="Q1_Winstagramter_CMP-01302"/>
    <x v="3"/>
    <s v="Winstagramter"/>
    <d v="2023-03-12T00:00:00"/>
    <d v="2023-03-21T00:00:00"/>
    <x v="2"/>
    <n v="56168"/>
    <n v="2651"/>
    <n v="2294.06"/>
    <n v="306"/>
    <s v="No"/>
    <s v="IG"/>
    <n v="9"/>
    <n v="4.7197692636376583E-2"/>
    <n v="0.11542814032440589"/>
    <n v="0.86535646925688414"/>
    <n v="7.4969281045751632"/>
    <n v="3"/>
    <x v="1"/>
    <s v="March"/>
  </r>
  <r>
    <s v="CMP-01320"/>
    <s v="Q1_BlackFriday_CMP-01320"/>
    <x v="3"/>
    <s v="BlackFriday"/>
    <d v="2023-03-12T00:00:00"/>
    <d v="2023-04-11T00:00:00"/>
    <x v="1"/>
    <n v="57373"/>
    <n v="2560"/>
    <n v="3679.92"/>
    <n v="200"/>
    <s v="No"/>
    <s v="Email"/>
    <n v="30"/>
    <n v="4.4620291774876683E-2"/>
    <n v="7.8125E-2"/>
    <n v="1.4374687500000001"/>
    <n v="18.3996"/>
    <n v="3"/>
    <x v="1"/>
    <s v="March"/>
  </r>
  <r>
    <s v="CMP-00931"/>
    <s v="Q3_Winstagramter_CMP-00931"/>
    <x v="1"/>
    <s v="Winstagramter"/>
    <d v="2023-03-12T00:00:00"/>
    <d v="2023-04-01T00:00:00"/>
    <x v="1"/>
    <n v="53796"/>
    <n v="2497"/>
    <n v="4773.2"/>
    <n v="495"/>
    <s v="Yes"/>
    <s v="Email"/>
    <n v="20"/>
    <n v="4.6416090415644283E-2"/>
    <n v="0.19823788546255505"/>
    <n v="1.9115738886663995"/>
    <n v="9.6428282828282832"/>
    <n v="3"/>
    <x v="1"/>
    <s v="March"/>
  </r>
  <r>
    <s v="CMP-00178"/>
    <s v="Q4_BlackFriday_CMP-00178"/>
    <x v="2"/>
    <s v="BlackFriday"/>
    <d v="2023-03-12T00:00:00"/>
    <d v="2023-04-02T00:00:00"/>
    <x v="3"/>
    <n v="45262"/>
    <n v="1406"/>
    <n v="1974.81"/>
    <n v="96"/>
    <s v="No"/>
    <s v="FB"/>
    <n v="21"/>
    <n v="3.1063585347532147E-2"/>
    <n v="6.8278805120910391E-2"/>
    <n v="1.4045590327169275"/>
    <n v="20.570937499999999"/>
    <n v="3"/>
    <x v="1"/>
    <s v="March"/>
  </r>
  <r>
    <s v="CMP-01555"/>
    <s v="Q4_Launch_CMP-01555"/>
    <x v="2"/>
    <s v="Launch"/>
    <d v="2023-03-12T00:00:00"/>
    <d v="2023-03-24T00:00:00"/>
    <x v="0"/>
    <n v="3983"/>
    <n v="141"/>
    <n v="170.44"/>
    <n v="18"/>
    <s v="No"/>
    <s v="TikTok"/>
    <n v="12"/>
    <n v="3.5400451920662816E-2"/>
    <n v="0.1276595744680851"/>
    <n v="1.2087943262411347"/>
    <n v="9.4688888888888894"/>
    <n v="3"/>
    <x v="1"/>
    <s v="March"/>
  </r>
  <r>
    <s v="CMP-01250"/>
    <s v="Q1_Launch_CMP-01250"/>
    <x v="3"/>
    <s v="Launch"/>
    <d v="2023-03-13T00:00:00"/>
    <d v="2023-04-02T00:00:00"/>
    <x v="2"/>
    <n v="88895"/>
    <n v="1652"/>
    <n v="2363.2800000000002"/>
    <n v="175"/>
    <s v="No"/>
    <s v="IG"/>
    <n v="20"/>
    <n v="1.8583722369087126E-2"/>
    <n v="0.1059322033898305"/>
    <n v="1.4305569007263923"/>
    <n v="13.504457142857143"/>
    <n v="3"/>
    <x v="1"/>
    <s v="March"/>
  </r>
  <r>
    <s v="CMP-00602"/>
    <s v="Q2_BlackFriday_CMP-00602"/>
    <x v="0"/>
    <s v="BlackFriday"/>
    <d v="2023-03-13T00:00:00"/>
    <d v="2023-04-08T00:00:00"/>
    <x v="4"/>
    <n v="22352"/>
    <n v="316"/>
    <n v="302.33"/>
    <n v="20"/>
    <s v="Yes"/>
    <s v="Google Ads"/>
    <n v="26"/>
    <n v="1.4137437365783823E-2"/>
    <n v="6.3291139240506333E-2"/>
    <n v="0.95674050632911389"/>
    <n v="15.116499999999998"/>
    <n v="3"/>
    <x v="1"/>
    <s v="March"/>
  </r>
  <r>
    <s v="CMP-01493"/>
    <s v="Q2_Summer_CMP-01493"/>
    <x v="0"/>
    <s v="Summer"/>
    <d v="2023-03-13T00:00:00"/>
    <d v="2023-03-20T00:00:00"/>
    <x v="4"/>
    <n v="37408"/>
    <n v="1200"/>
    <n v="1506.68"/>
    <n v="204"/>
    <s v="Yes"/>
    <s v="Google Ads"/>
    <n v="7"/>
    <n v="3.2078699743370402E-2"/>
    <n v="0.17"/>
    <n v="1.2555666666666667"/>
    <n v="7.385686274509804"/>
    <n v="3"/>
    <x v="1"/>
    <s v="March"/>
  </r>
  <r>
    <s v="CMP-01480"/>
    <s v="Q3_Summer_CMP-01480"/>
    <x v="1"/>
    <s v="Summer"/>
    <d v="2023-03-13T00:00:00"/>
    <d v="2023-03-25T00:00:00"/>
    <x v="0"/>
    <n v="87123"/>
    <n v="3848"/>
    <n v="4674.51"/>
    <n v="668"/>
    <s v="Yes"/>
    <s v="TikTok"/>
    <n v="12"/>
    <n v="4.4167441433375802E-2"/>
    <n v="0.17359667359667361"/>
    <n v="1.2147895010395011"/>
    <n v="6.9977694610778443"/>
    <n v="3"/>
    <x v="1"/>
    <s v="March"/>
  </r>
  <r>
    <s v="CMP-01510"/>
    <s v="Q3_Winstagramter_CMP-01510"/>
    <x v="1"/>
    <s v="Winstagramter"/>
    <d v="2023-03-13T00:00:00"/>
    <d v="2023-04-01T00:00:00"/>
    <x v="5"/>
    <n v="16896"/>
    <n v="515"/>
    <n v="401.16"/>
    <n v="77"/>
    <s v="Yes"/>
    <s v="Not specified"/>
    <n v="19"/>
    <n v="3.048058712121212E-2"/>
    <n v="0.14951456310679612"/>
    <n v="0.77895145631067964"/>
    <n v="5.2098701298701302"/>
    <n v="3"/>
    <x v="1"/>
    <s v="March"/>
  </r>
  <r>
    <s v="CMP-00372"/>
    <s v="Q4_Winstagramter_CMP-00372"/>
    <x v="2"/>
    <s v="Winstagramter"/>
    <d v="2023-03-13T00:00:00"/>
    <d v="2023-03-21T00:00:00"/>
    <x v="4"/>
    <n v="11492"/>
    <n v="471"/>
    <n v="657.49"/>
    <n v="93"/>
    <s v="Yes"/>
    <s v="Google Ads"/>
    <n v="8"/>
    <n v="4.0985033066481033E-2"/>
    <n v="0.19745222929936307"/>
    <n v="1.3959447983014863"/>
    <n v="7.0697849462365596"/>
    <n v="3"/>
    <x v="1"/>
    <s v="March"/>
  </r>
  <r>
    <s v="CMP-00720"/>
    <s v="Q4_Summer_CMP-00720"/>
    <x v="2"/>
    <s v="Summer"/>
    <d v="2023-03-13T00:00:00"/>
    <d v="2023-03-15T00:00:00"/>
    <x v="0"/>
    <n v="94396"/>
    <n v="3016"/>
    <n v="3773.22"/>
    <n v="0"/>
    <s v="No"/>
    <s v="TikTok"/>
    <n v="2"/>
    <n v="3.1950506377388874E-2"/>
    <n v="0"/>
    <n v="1.2510676392572944"/>
    <s v="0"/>
    <n v="3"/>
    <x v="1"/>
    <s v="March"/>
  </r>
  <r>
    <s v="CMP-01004"/>
    <s v="Q4_Summer_CMP-01004"/>
    <x v="2"/>
    <s v="Summer"/>
    <d v="2023-03-13T00:00:00"/>
    <d v="2023-03-22T00:00:00"/>
    <x v="4"/>
    <n v="2605"/>
    <n v="30"/>
    <n v="30.82"/>
    <n v="3"/>
    <s v="No"/>
    <s v="Google Ads"/>
    <n v="9"/>
    <n v="1.1516314779270634E-2"/>
    <n v="0.1"/>
    <n v="1.0273333333333334"/>
    <n v="10.273333333333333"/>
    <n v="3"/>
    <x v="1"/>
    <s v="March"/>
  </r>
  <r>
    <s v="CMP-00267"/>
    <s v="Q2_Winstagramter_CMP-00267"/>
    <x v="0"/>
    <s v="Winstagramter"/>
    <d v="2023-03-14T00:00:00"/>
    <d v="2023-03-16T00:00:00"/>
    <x v="1"/>
    <n v="74656"/>
    <n v="1753"/>
    <n v="3163.13"/>
    <n v="345"/>
    <s v="No"/>
    <s v="Email"/>
    <n v="2"/>
    <n v="2.3481033004714959E-2"/>
    <n v="0.19680547632629777"/>
    <n v="1.8044095835710212"/>
    <n v="9.1684927536231893"/>
    <n v="3"/>
    <x v="1"/>
    <s v="March"/>
  </r>
  <r>
    <s v="CMP-00497"/>
    <s v="Q2_Launch_CMP-00497"/>
    <x v="0"/>
    <s v="Launch"/>
    <d v="2023-03-14T00:00:00"/>
    <d v="2023-04-11T00:00:00"/>
    <x v="5"/>
    <n v="52293"/>
    <n v="2530"/>
    <n v="1857.16"/>
    <n v="263"/>
    <s v="Yes"/>
    <s v="Not specified"/>
    <n v="28"/>
    <n v="4.838123649436827E-2"/>
    <n v="0.10395256916996047"/>
    <n v="0.73405533596837946"/>
    <n v="7.0614448669201524"/>
    <n v="3"/>
    <x v="1"/>
    <s v="March"/>
  </r>
  <r>
    <s v="CMP-00930"/>
    <s v="Q2_Winstagramter_CMP-00930"/>
    <x v="0"/>
    <s v="Winstagramter"/>
    <d v="2023-03-14T00:00:00"/>
    <d v="2023-03-24T00:00:00"/>
    <x v="2"/>
    <n v="20262"/>
    <n v="269"/>
    <n v="180.56"/>
    <n v="40"/>
    <s v="No"/>
    <s v="IG"/>
    <n v="10"/>
    <n v="1.3276083308656598E-2"/>
    <n v="0.14869888475836432"/>
    <n v="0.67122676579925655"/>
    <n v="4.5140000000000002"/>
    <n v="3"/>
    <x v="1"/>
    <s v="March"/>
  </r>
  <r>
    <s v="CMP-00437"/>
    <s v="Q3_Winstagramter_CMP-00437"/>
    <x v="1"/>
    <s v="Winstagramter"/>
    <d v="2023-03-14T00:00:00"/>
    <d v="2023-04-08T00:00:00"/>
    <x v="0"/>
    <n v="49747"/>
    <n v="2218"/>
    <n v="4269.32"/>
    <n v="190"/>
    <s v="Yes"/>
    <s v="TikTok"/>
    <n v="25"/>
    <n v="4.4585603151948865E-2"/>
    <n v="8.5662759242560865E-2"/>
    <n v="1.9248512173128944"/>
    <n v="22.470105263157894"/>
    <n v="3"/>
    <x v="1"/>
    <s v="March"/>
  </r>
  <r>
    <s v="CMP-00906"/>
    <s v="Q4_BlackFriday_CMP-00906"/>
    <x v="2"/>
    <s v="BlackFriday"/>
    <d v="2023-03-14T00:00:00"/>
    <d v="2023-03-29T00:00:00"/>
    <x v="1"/>
    <n v="29732"/>
    <n v="1340"/>
    <n v="1734.73"/>
    <n v="144"/>
    <s v="No"/>
    <s v="Email"/>
    <n v="15"/>
    <n v="4.5069285618189153E-2"/>
    <n v="0.10746268656716418"/>
    <n v="1.2945746268656717"/>
    <n v="12.046736111111111"/>
    <n v="3"/>
    <x v="1"/>
    <s v="March"/>
  </r>
  <r>
    <s v="CMP-01065"/>
    <s v="Q4_Launch_CMP-01065"/>
    <x v="2"/>
    <s v="Launch"/>
    <d v="2023-03-14T00:00:00"/>
    <d v="2023-03-19T00:00:00"/>
    <x v="2"/>
    <n v="20216"/>
    <n v="724"/>
    <n v="852"/>
    <n v="105"/>
    <s v="No"/>
    <s v="IG"/>
    <n v="5"/>
    <n v="3.5813217253660469E-2"/>
    <n v="0.14502762430939226"/>
    <n v="1.1767955801104972"/>
    <n v="8.1142857142857139"/>
    <n v="3"/>
    <x v="1"/>
    <s v="March"/>
  </r>
  <r>
    <s v="CMP-01872"/>
    <s v="Q4_Winstagramter_CMP-01872"/>
    <x v="2"/>
    <s v="Winstagramter"/>
    <d v="2023-03-14T00:00:00"/>
    <d v="2023-04-04T00:00:00"/>
    <x v="1"/>
    <n v="86553"/>
    <n v="1134"/>
    <n v="913.13"/>
    <n v="0"/>
    <s v="Yes"/>
    <s v="Email"/>
    <n v="21"/>
    <n v="1.3101798897785172E-2"/>
    <n v="0"/>
    <n v="0.80522927689594359"/>
    <s v="0"/>
    <n v="3"/>
    <x v="1"/>
    <s v="March"/>
  </r>
  <r>
    <s v="CMP-00916"/>
    <s v="Q1_Launch_CMP-00916"/>
    <x v="3"/>
    <s v="Launch"/>
    <d v="2023-03-14T00:00:00"/>
    <d v="2023-12-03T00:00:00"/>
    <x v="2"/>
    <n v="17907"/>
    <n v="744"/>
    <n v="714.88"/>
    <n v="93"/>
    <s v="Yes"/>
    <s v="IG"/>
    <n v="264"/>
    <n v="4.1547997989612999E-2"/>
    <n v="0.125"/>
    <n v="0.9608602150537634"/>
    <n v="7.6868817204301072"/>
    <n v="3"/>
    <x v="1"/>
    <s v="March"/>
  </r>
  <r>
    <s v="CMP-00655"/>
    <s v="Q1_Launch_CMP-00655"/>
    <x v="3"/>
    <s v="Launch"/>
    <d v="2023-03-15T00:00:00"/>
    <d v="2023-03-28T00:00:00"/>
    <x v="4"/>
    <n v="78052"/>
    <n v="3707"/>
    <n v="3619.26"/>
    <n v="483"/>
    <s v="Yes"/>
    <s v="Google Ads"/>
    <n v="13"/>
    <n v="4.7493978373392094E-2"/>
    <n v="0.13029403830590774"/>
    <n v="0.97633126517399516"/>
    <n v="7.4932919254658392"/>
    <n v="3"/>
    <x v="1"/>
    <s v="March"/>
  </r>
  <r>
    <s v="CMP-00318"/>
    <s v="Q4_Summer_CMP-00318"/>
    <x v="2"/>
    <s v="Summer"/>
    <d v="2023-03-15T00:00:00"/>
    <d v="2023-03-22T00:00:00"/>
    <x v="4"/>
    <n v="92412"/>
    <n v="4120"/>
    <n v="5862.27"/>
    <n v="803"/>
    <s v="Yes"/>
    <s v="Google Ads"/>
    <n v="7"/>
    <n v="4.4582954594641386E-2"/>
    <n v="0.19490291262135923"/>
    <n v="1.4228810679611652"/>
    <n v="7.300460772104608"/>
    <n v="3"/>
    <x v="1"/>
    <s v="March"/>
  </r>
  <r>
    <s v="CMP-00436"/>
    <s v="Q4_BlackFriday_CMP-00436"/>
    <x v="2"/>
    <s v="BlackFriday"/>
    <d v="2023-03-15T00:00:00"/>
    <d v="2023-03-22T00:00:00"/>
    <x v="3"/>
    <n v="4051"/>
    <n v="61"/>
    <n v="92.92"/>
    <n v="11"/>
    <s v="Yes"/>
    <s v="FB"/>
    <n v="7"/>
    <n v="1.5058010367810418E-2"/>
    <n v="0.18032786885245902"/>
    <n v="1.5232786885245901"/>
    <n v="8.4472727272727273"/>
    <n v="3"/>
    <x v="1"/>
    <s v="March"/>
  </r>
  <r>
    <s v="CMP-01622"/>
    <s v="Q1_BlackFriday_CMP-01622"/>
    <x v="3"/>
    <s v="BlackFriday"/>
    <d v="2023-03-16T00:00:00"/>
    <d v="2023-04-03T00:00:00"/>
    <x v="3"/>
    <n v="44001"/>
    <n v="1229"/>
    <n v="1987.59"/>
    <n v="207"/>
    <s v="No"/>
    <s v="FB"/>
    <n v="18"/>
    <n v="2.793118338219586E-2"/>
    <n v="0.16842961757526445"/>
    <n v="1.6172416598860861"/>
    <n v="9.6018840579710147"/>
    <n v="3"/>
    <x v="1"/>
    <s v="March"/>
  </r>
  <r>
    <s v="CMP-01692"/>
    <s v="Q1_Launch_CMP-01692"/>
    <x v="3"/>
    <s v="Launch"/>
    <d v="2023-03-16T00:00:00"/>
    <d v="2023-04-03T00:00:00"/>
    <x v="1"/>
    <n v="59762"/>
    <n v="1448"/>
    <n v="2740.91"/>
    <n v="0"/>
    <s v="Yes"/>
    <s v="Email"/>
    <n v="18"/>
    <n v="2.4229443459054249E-2"/>
    <n v="0"/>
    <n v="1.8928936464088397"/>
    <s v="0"/>
    <n v="3"/>
    <x v="1"/>
    <s v="March"/>
  </r>
  <r>
    <s v="CMP-00469"/>
    <s v="Q2_BlackFriday_CMP-00469"/>
    <x v="0"/>
    <s v="BlackFriday"/>
    <d v="2023-03-16T00:00:00"/>
    <d v="2023-04-13T00:00:00"/>
    <x v="2"/>
    <n v="95841"/>
    <n v="3484"/>
    <n v="2907.72"/>
    <n v="690"/>
    <s v="Yes"/>
    <s v="IG"/>
    <n v="28"/>
    <n v="3.6351874458738956E-2"/>
    <n v="0.19804822043628015"/>
    <n v="0.83459242250287025"/>
    <n v="4.2140869565217391"/>
    <n v="3"/>
    <x v="1"/>
    <s v="March"/>
  </r>
  <r>
    <s v="CMP-00533"/>
    <s v="Q2_BlackFriday_CMP-00533"/>
    <x v="0"/>
    <s v="BlackFriday"/>
    <d v="2023-03-16T00:00:00"/>
    <d v="2023-03-21T00:00:00"/>
    <x v="0"/>
    <n v="61890"/>
    <n v="1065"/>
    <n v="1043.1400000000001"/>
    <n v="137"/>
    <s v="No"/>
    <s v="TikTok"/>
    <n v="5"/>
    <n v="1.7207949587978673E-2"/>
    <n v="0.12863849765258217"/>
    <n v="0.97947417840375595"/>
    <n v="7.6141605839416062"/>
    <n v="3"/>
    <x v="1"/>
    <s v="March"/>
  </r>
  <r>
    <s v="CMP-01391"/>
    <s v="Q3_Winstagramter_CMP-01391"/>
    <x v="1"/>
    <s v="Winstagramter"/>
    <d v="2023-03-16T00:00:00"/>
    <d v="2023-03-17T00:00:00"/>
    <x v="5"/>
    <n v="56961"/>
    <n v="2108"/>
    <n v="1874.87"/>
    <n v="253"/>
    <s v="No"/>
    <s v="Not specified"/>
    <n v="1"/>
    <n v="3.7007777251101631E-2"/>
    <n v="0.12001897533206832"/>
    <n v="0.88940702087286527"/>
    <n v="7.410553359683794"/>
    <n v="3"/>
    <x v="1"/>
    <s v="March"/>
  </r>
  <r>
    <s v="CMP-01394"/>
    <s v="Q3_BlackFriday_CMP-01394"/>
    <x v="1"/>
    <s v="BlackFriday"/>
    <d v="2023-03-16T00:00:00"/>
    <d v="2023-03-27T00:00:00"/>
    <x v="2"/>
    <n v="82994"/>
    <n v="2842"/>
    <n v="3854.16"/>
    <n v="521"/>
    <s v="Yes"/>
    <s v="IG"/>
    <n v="11"/>
    <n v="3.4243439284767571E-2"/>
    <n v="0.1833216045038705"/>
    <n v="1.3561435608726249"/>
    <n v="7.3976199616122837"/>
    <n v="3"/>
    <x v="1"/>
    <s v="March"/>
  </r>
  <r>
    <s v="CMP-01844"/>
    <s v="Q3_Winstagramter_CMP-01844"/>
    <x v="1"/>
    <s v="Winstagramter"/>
    <d v="2023-03-16T00:00:00"/>
    <d v="2023-04-04T00:00:00"/>
    <x v="0"/>
    <n v="29602"/>
    <n v="1390"/>
    <n v="2380.87"/>
    <n v="141"/>
    <s v="No"/>
    <s v="TikTok"/>
    <n v="19"/>
    <n v="4.6956286737382606E-2"/>
    <n v="0.10143884892086331"/>
    <n v="1.7128561151079136"/>
    <n v="16.885602836879432"/>
    <n v="3"/>
    <x v="1"/>
    <s v="March"/>
  </r>
  <r>
    <s v="CMP-00393"/>
    <s v="Q4_Winstagramter_CMP-00393"/>
    <x v="2"/>
    <s v="Winstagramter"/>
    <d v="2023-03-16T00:00:00"/>
    <d v="2023-04-09T00:00:00"/>
    <x v="4"/>
    <n v="28751"/>
    <n v="373"/>
    <n v="741.35"/>
    <n v="47"/>
    <s v="Yes"/>
    <s v="Google Ads"/>
    <n v="24"/>
    <n v="1.29734617926333E-2"/>
    <n v="0.12600536193029491"/>
    <n v="1.9875335120643431"/>
    <n v="15.77340425531915"/>
    <n v="3"/>
    <x v="1"/>
    <s v="March"/>
  </r>
  <r>
    <s v="CMP-01841"/>
    <s v="Q4_BlackFriday_CMP-01841"/>
    <x v="2"/>
    <s v="BlackFriday"/>
    <d v="2023-03-16T00:00:00"/>
    <d v="2023-03-18T00:00:00"/>
    <x v="5"/>
    <n v="54268"/>
    <n v="2090"/>
    <n v="2116.75"/>
    <n v="191"/>
    <s v="Yes"/>
    <s v="Not specified"/>
    <n v="2"/>
    <n v="3.8512567258789709E-2"/>
    <n v="9.1387559808612434E-2"/>
    <n v="1.0127990430622009"/>
    <n v="11.082460732984293"/>
    <n v="3"/>
    <x v="1"/>
    <s v="March"/>
  </r>
  <r>
    <s v="CMP-01768"/>
    <s v="Q1_BlackFriday_CMP-01768"/>
    <x v="3"/>
    <s v="BlackFriday"/>
    <d v="2023-03-16T00:00:00"/>
    <d v="2023-03-21T00:00:00"/>
    <x v="0"/>
    <n v="64852"/>
    <n v="1205"/>
    <n v="2308.38"/>
    <n v="118"/>
    <s v="Yes"/>
    <s v="TikTok"/>
    <n v="5"/>
    <n v="1.8580768519089619E-2"/>
    <n v="9.7925311203319501E-2"/>
    <n v="1.9156680497925311"/>
    <n v="19.562542372881357"/>
    <n v="3"/>
    <x v="1"/>
    <s v="March"/>
  </r>
  <r>
    <s v="CMP-00407"/>
    <s v="Q1_Winstagramter_CMP-00407"/>
    <x v="3"/>
    <s v="Winstagramter"/>
    <d v="2023-03-17T00:00:00"/>
    <d v="2023-03-28T00:00:00"/>
    <x v="1"/>
    <n v="3368"/>
    <n v="140"/>
    <n v="71.06"/>
    <n v="11"/>
    <s v="No"/>
    <s v="Email"/>
    <n v="11"/>
    <n v="4.1567695961995249E-2"/>
    <n v="7.857142857142857E-2"/>
    <n v="0.50757142857142856"/>
    <n v="6.46"/>
    <n v="3"/>
    <x v="1"/>
    <s v="March"/>
  </r>
  <r>
    <s v="CMP-01129"/>
    <s v="Q4_BlackFriday_CMP-01129"/>
    <x v="2"/>
    <s v="BlackFriday"/>
    <d v="2023-03-17T00:00:00"/>
    <d v="2023-04-01T00:00:00"/>
    <x v="2"/>
    <n v="55917"/>
    <n v="895"/>
    <n v="1642.51"/>
    <n v="141"/>
    <s v="Yes"/>
    <s v="IG"/>
    <n v="15"/>
    <n v="1.6005865836865352E-2"/>
    <n v="0.15754189944134078"/>
    <n v="1.8352067039106146"/>
    <n v="11.649007092198582"/>
    <n v="3"/>
    <x v="1"/>
    <s v="March"/>
  </r>
  <r>
    <s v="CMP-01899"/>
    <s v="Q4_Winstagramter_CMP-01899"/>
    <x v="2"/>
    <s v="Winstagramter"/>
    <d v="2023-03-17T00:00:00"/>
    <d v="2023-03-31T00:00:00"/>
    <x v="1"/>
    <n v="86708"/>
    <n v="1288"/>
    <n v="1759.18"/>
    <n v="0"/>
    <s v="No"/>
    <s v="Email"/>
    <n v="14"/>
    <n v="1.4854454029616644E-2"/>
    <n v="0"/>
    <n v="1.3658229813664597"/>
    <s v="0"/>
    <n v="3"/>
    <x v="1"/>
    <s v="March"/>
  </r>
  <r>
    <s v="CMP-00496"/>
    <s v="Q1_Winstagramter_CMP-00496"/>
    <x v="3"/>
    <s v="Winstagramter"/>
    <d v="2023-03-18T00:00:00"/>
    <d v="2023-03-19T00:00:00"/>
    <x v="0"/>
    <n v="79832"/>
    <n v="1019"/>
    <n v="1361.35"/>
    <n v="201"/>
    <s v="Yes"/>
    <s v="TikTok"/>
    <n v="1"/>
    <n v="1.276430504058523E-2"/>
    <n v="0.197252208047105"/>
    <n v="1.3359666339548577"/>
    <n v="6.7728855721393026"/>
    <n v="3"/>
    <x v="1"/>
    <s v="March"/>
  </r>
  <r>
    <s v="CMP-01312"/>
    <s v="Q2_Summer_CMP-01312"/>
    <x v="0"/>
    <s v="Summer"/>
    <d v="2023-03-18T00:00:00"/>
    <d v="2023-03-21T00:00:00"/>
    <x v="5"/>
    <n v="86382"/>
    <n v="4125"/>
    <n v="7453.37"/>
    <n v="625"/>
    <s v="No"/>
    <s v="Not specified"/>
    <n v="3"/>
    <n v="4.7753004098075987E-2"/>
    <n v="0.15151515151515152"/>
    <n v="1.8068775757575757"/>
    <n v="11.925392"/>
    <n v="3"/>
    <x v="1"/>
    <s v="March"/>
  </r>
  <r>
    <s v="CMP-01941"/>
    <s v="Q2_BlackFriday_CMP-01941"/>
    <x v="0"/>
    <s v="BlackFriday"/>
    <d v="2023-03-18T00:00:00"/>
    <d v="2023-04-11T00:00:00"/>
    <x v="0"/>
    <n v="51069"/>
    <n v="963"/>
    <n v="1421.63"/>
    <n v="112"/>
    <s v="Yes"/>
    <s v="TikTok"/>
    <n v="24"/>
    <n v="1.8856840744874582E-2"/>
    <n v="0.11630321910695743"/>
    <n v="1.4762512980269991"/>
    <n v="12.693125"/>
    <n v="3"/>
    <x v="1"/>
    <s v="March"/>
  </r>
  <r>
    <s v="CMP-01100"/>
    <s v="Q3_Launch_CMP-01100"/>
    <x v="1"/>
    <s v="Launch"/>
    <d v="2023-03-18T00:00:00"/>
    <d v="2023-03-21T00:00:00"/>
    <x v="0"/>
    <n v="17984"/>
    <n v="449"/>
    <n v="258.83"/>
    <n v="75"/>
    <s v="Yes"/>
    <s v="TikTok"/>
    <n v="3"/>
    <n v="2.4966637010676158E-2"/>
    <n v="0.16703786191536749"/>
    <n v="0.57645879732739413"/>
    <n v="3.4510666666666663"/>
    <n v="3"/>
    <x v="1"/>
    <s v="March"/>
  </r>
  <r>
    <s v="CMP-01201"/>
    <s v="Q3_Launch_CMP-01201"/>
    <x v="1"/>
    <s v="Launch"/>
    <d v="2023-03-18T00:00:00"/>
    <d v="2023-04-09T00:00:00"/>
    <x v="4"/>
    <n v="1126"/>
    <n v="55"/>
    <n v="54.51"/>
    <n v="5"/>
    <s v="No"/>
    <s v="Google Ads"/>
    <n v="22"/>
    <n v="4.8845470692717587E-2"/>
    <n v="9.0909090909090912E-2"/>
    <n v="0.99109090909090902"/>
    <n v="10.901999999999999"/>
    <n v="3"/>
    <x v="1"/>
    <s v="March"/>
  </r>
  <r>
    <s v="CMP-00824"/>
    <s v="Q4_Winstagramter_CMP-00824"/>
    <x v="2"/>
    <s v="Winstagramter"/>
    <d v="2023-03-18T00:00:00"/>
    <d v="2023-04-03T00:00:00"/>
    <x v="1"/>
    <n v="71080"/>
    <n v="1405"/>
    <n v="731.23"/>
    <n v="106"/>
    <s v="Yes"/>
    <s v="Email"/>
    <n v="16"/>
    <n v="1.9766460326392798E-2"/>
    <n v="7.5444839857651241E-2"/>
    <n v="0.52044839857651248"/>
    <n v="6.8983962264150946"/>
    <n v="3"/>
    <x v="1"/>
    <s v="March"/>
  </r>
  <r>
    <s v="CMP-01886"/>
    <s v="Q4_Launch_CMP-01886"/>
    <x v="2"/>
    <s v="Launch"/>
    <d v="2023-03-18T00:00:00"/>
    <d v="2023-03-20T00:00:00"/>
    <x v="2"/>
    <n v="12536"/>
    <n v="318"/>
    <n v="441.89"/>
    <n v="56"/>
    <s v="Yes"/>
    <s v="IG"/>
    <n v="2"/>
    <n v="2.5366943203573709E-2"/>
    <n v="0.1761006289308176"/>
    <n v="1.3895911949685533"/>
    <n v="7.8908928571428572"/>
    <n v="3"/>
    <x v="1"/>
    <s v="March"/>
  </r>
  <r>
    <s v="CMP-01688"/>
    <s v="Q1_Summer_CMP-01688"/>
    <x v="3"/>
    <s v="Summer"/>
    <d v="2023-03-19T00:00:00"/>
    <d v="2023-04-10T00:00:00"/>
    <x v="3"/>
    <n v="30192"/>
    <n v="821"/>
    <n v="1048.51"/>
    <n v="45"/>
    <s v="Yes"/>
    <s v="FB"/>
    <n v="22"/>
    <n v="2.7192633810280867E-2"/>
    <n v="5.4811205846528627E-2"/>
    <n v="1.2771132764920827"/>
    <n v="23.300222222222221"/>
    <n v="3"/>
    <x v="1"/>
    <s v="March"/>
  </r>
  <r>
    <s v="CMP-01684"/>
    <s v="Q2_Launch_CMP-01684"/>
    <x v="0"/>
    <s v="Launch"/>
    <d v="2023-03-19T00:00:00"/>
    <d v="2023-04-03T00:00:00"/>
    <x v="0"/>
    <n v="18602"/>
    <n v="476"/>
    <n v="801.36"/>
    <n v="35"/>
    <s v="No"/>
    <s v="TikTok"/>
    <n v="15"/>
    <n v="2.5588646382109451E-2"/>
    <n v="7.3529411764705885E-2"/>
    <n v="1.6835294117647059"/>
    <n v="22.896000000000001"/>
    <n v="3"/>
    <x v="1"/>
    <s v="March"/>
  </r>
  <r>
    <s v="CMP-00250"/>
    <s v="Q3_BlackFriday_CMP-00250"/>
    <x v="1"/>
    <s v="BlackFriday"/>
    <d v="2023-03-19T00:00:00"/>
    <d v="2023-03-24T00:00:00"/>
    <x v="3"/>
    <n v="57250"/>
    <n v="1099"/>
    <n v="1325.72"/>
    <n v="181"/>
    <s v="No"/>
    <s v="FB"/>
    <n v="5"/>
    <n v="1.9196506550218342E-2"/>
    <n v="0.16469517743403095"/>
    <n v="1.2062966333030027"/>
    <n v="7.3244198895027628"/>
    <n v="3"/>
    <x v="1"/>
    <s v="March"/>
  </r>
  <r>
    <s v="CMP-00815"/>
    <s v="Q4_BlackFriday_CMP-00815"/>
    <x v="2"/>
    <s v="BlackFriday"/>
    <d v="2023-03-19T00:00:00"/>
    <d v="2023-03-30T00:00:00"/>
    <x v="0"/>
    <n v="14456"/>
    <n v="583"/>
    <n v="1099.76"/>
    <n v="93"/>
    <s v="No"/>
    <s v="TikTok"/>
    <n v="11"/>
    <n v="4.0329275041505255E-2"/>
    <n v="0.15951972555746141"/>
    <n v="1.8863807890222983"/>
    <n v="11.825376344086022"/>
    <n v="3"/>
    <x v="1"/>
    <s v="March"/>
  </r>
  <r>
    <s v="CMP-00217"/>
    <s v="Q1_Launch_CMP-00217"/>
    <x v="3"/>
    <s v="Launch"/>
    <d v="2023-03-20T00:00:00"/>
    <d v="2023-04-19T00:00:00"/>
    <x v="2"/>
    <n v="1854"/>
    <n v="50"/>
    <n v="99"/>
    <n v="7"/>
    <s v="No"/>
    <s v="IG"/>
    <n v="30"/>
    <n v="2.696871628910464E-2"/>
    <n v="0.14000000000000001"/>
    <n v="1.98"/>
    <n v="14.142857142857142"/>
    <n v="3"/>
    <x v="1"/>
    <s v="March"/>
  </r>
  <r>
    <s v="CMP-01169"/>
    <s v="Q1_Winstagramter_CMP-01169"/>
    <x v="3"/>
    <s v="Winstagramter"/>
    <d v="2023-03-20T00:00:00"/>
    <d v="2023-04-01T00:00:00"/>
    <x v="0"/>
    <n v="15382"/>
    <n v="600"/>
    <n v="696.49"/>
    <n v="67"/>
    <s v="Yes"/>
    <s v="TikTok"/>
    <n v="12"/>
    <n v="3.9006631127291642E-2"/>
    <n v="0.11166666666666666"/>
    <n v="1.1608166666666666"/>
    <n v="10.395373134328358"/>
    <n v="3"/>
    <x v="1"/>
    <s v="March"/>
  </r>
  <r>
    <s v="CMP-01952"/>
    <s v="Q1_Summer_CMP-01952"/>
    <x v="3"/>
    <s v="Summer"/>
    <d v="2023-03-20T00:00:00"/>
    <d v="2023-04-08T00:00:00"/>
    <x v="5"/>
    <n v="26003"/>
    <n v="812"/>
    <n v="414.7"/>
    <n v="120"/>
    <s v="No"/>
    <s v="Not specified"/>
    <n v="19"/>
    <n v="3.1227166096219668E-2"/>
    <n v="0.14778325123152711"/>
    <n v="0.51071428571428568"/>
    <n v="3.4558333333333331"/>
    <n v="3"/>
    <x v="1"/>
    <s v="March"/>
  </r>
  <r>
    <s v="CMP-00470"/>
    <s v="Q2_Launch_CMP-00470"/>
    <x v="0"/>
    <s v="Launch"/>
    <d v="2023-03-20T00:00:00"/>
    <d v="2023-03-31T00:00:00"/>
    <x v="0"/>
    <n v="17896"/>
    <n v="753"/>
    <n v="1362.68"/>
    <n v="76"/>
    <s v="No"/>
    <s v="TikTok"/>
    <n v="11"/>
    <n v="4.2076441662941437E-2"/>
    <n v="0.10092961487383798"/>
    <n v="1.8096679946879151"/>
    <n v="17.93"/>
    <n v="3"/>
    <x v="1"/>
    <s v="March"/>
  </r>
  <r>
    <s v="CMP-00620"/>
    <s v="Q2_Summer_CMP-00620"/>
    <x v="0"/>
    <s v="Summer"/>
    <d v="2023-03-20T00:00:00"/>
    <d v="2023-04-03T00:00:00"/>
    <x v="4"/>
    <n v="60163"/>
    <n v="896"/>
    <n v="899.08"/>
    <n v="0"/>
    <s v="Yes"/>
    <s v="Google Ads"/>
    <n v="14"/>
    <n v="1.4892874357994116E-2"/>
    <n v="0"/>
    <n v="1.0034375"/>
    <s v="0"/>
    <n v="3"/>
    <x v="1"/>
    <s v="March"/>
  </r>
  <r>
    <s v="CMP-01472"/>
    <s v="Q2_Winstagramter_CMP-01472"/>
    <x v="0"/>
    <s v="Winstagramter"/>
    <d v="2023-03-20T00:00:00"/>
    <d v="2023-04-05T00:00:00"/>
    <x v="4"/>
    <n v="75666"/>
    <n v="3266"/>
    <n v="3022.4"/>
    <n v="211"/>
    <s v="No"/>
    <s v="Google Ads"/>
    <n v="16"/>
    <n v="4.316337588877435E-2"/>
    <n v="6.4605021432945497E-2"/>
    <n v="0.92541334966319655"/>
    <n v="14.324170616113744"/>
    <n v="3"/>
    <x v="1"/>
    <s v="March"/>
  </r>
  <r>
    <s v="CMP-00179"/>
    <s v="Q3_Launch_CMP-00179"/>
    <x v="1"/>
    <s v="Launch"/>
    <d v="2023-03-20T00:00:00"/>
    <d v="2023-03-27T00:00:00"/>
    <x v="3"/>
    <n v="24776"/>
    <n v="491"/>
    <n v="701.39"/>
    <n v="72"/>
    <s v="No"/>
    <s v="FB"/>
    <n v="7"/>
    <n v="1.9817565385857282E-2"/>
    <n v="0.14663951120162932"/>
    <n v="1.4284928716904277"/>
    <n v="9.7415277777777778"/>
    <n v="3"/>
    <x v="1"/>
    <s v="March"/>
  </r>
  <r>
    <s v="CMP-00297"/>
    <s v="Q4_Launch_CMP-00297"/>
    <x v="2"/>
    <s v="Launch"/>
    <d v="2023-03-20T00:00:00"/>
    <d v="2023-03-31T00:00:00"/>
    <x v="3"/>
    <n v="13874"/>
    <n v="491"/>
    <n v="679.25"/>
    <n v="62"/>
    <s v="No"/>
    <s v="FB"/>
    <n v="11"/>
    <n v="3.5389938013550525E-2"/>
    <n v="0.12627291242362526"/>
    <n v="1.3834012219959266"/>
    <n v="10.955645161290322"/>
    <n v="3"/>
    <x v="1"/>
    <s v="March"/>
  </r>
  <r>
    <s v="CMP-00377"/>
    <s v="Q1_Summer_CMP-00377"/>
    <x v="3"/>
    <s v="Summer"/>
    <d v="2023-03-21T00:00:00"/>
    <d v="2023-04-13T00:00:00"/>
    <x v="3"/>
    <n v="35584"/>
    <n v="751"/>
    <n v="1050.98"/>
    <n v="66"/>
    <s v="No"/>
    <s v="FB"/>
    <n v="23"/>
    <n v="2.1104991007194245E-2"/>
    <n v="8.7882822902796268E-2"/>
    <n v="1.3994407456724367"/>
    <n v="15.923939393939394"/>
    <n v="3"/>
    <x v="1"/>
    <s v="March"/>
  </r>
  <r>
    <s v="CMP-00442"/>
    <s v="Q1_Launch_CMP-00442"/>
    <x v="3"/>
    <s v="Launch"/>
    <d v="2023-03-21T00:00:00"/>
    <d v="2023-04-17T00:00:00"/>
    <x v="1"/>
    <n v="59335"/>
    <n v="2633"/>
    <n v="2857.28"/>
    <n v="133"/>
    <s v="Yes"/>
    <s v="Email"/>
    <n v="27"/>
    <n v="4.4375158001179742E-2"/>
    <n v="5.0512723129510065E-2"/>
    <n v="1.0851804025826055"/>
    <n v="21.483308270676694"/>
    <n v="3"/>
    <x v="1"/>
    <s v="March"/>
  </r>
  <r>
    <s v="CMP-01412"/>
    <s v="Q1_Summer_CMP-01412"/>
    <x v="3"/>
    <s v="Summer"/>
    <d v="2023-03-21T00:00:00"/>
    <d v="2023-04-06T00:00:00"/>
    <x v="3"/>
    <n v="52226"/>
    <n v="2145"/>
    <n v="3360.15"/>
    <n v="153"/>
    <s v="No"/>
    <s v="FB"/>
    <n v="16"/>
    <n v="4.107149695553939E-2"/>
    <n v="7.1328671328671323E-2"/>
    <n v="1.5665034965034965"/>
    <n v="21.961764705882352"/>
    <n v="3"/>
    <x v="1"/>
    <s v="March"/>
  </r>
  <r>
    <s v="CMP-00010"/>
    <s v="Q2_Winstagramter_CMP-00010"/>
    <x v="0"/>
    <s v="Winstagramter"/>
    <d v="2023-03-21T00:00:00"/>
    <d v="2023-04-01T00:00:00"/>
    <x v="1"/>
    <n v="61263"/>
    <n v="1153"/>
    <n v="1623.56"/>
    <n v="0"/>
    <s v="No"/>
    <s v="Email"/>
    <n v="11"/>
    <n v="1.8820495241826225E-2"/>
    <n v="0"/>
    <n v="1.4081179531656547"/>
    <s v="0"/>
    <n v="3"/>
    <x v="1"/>
    <s v="March"/>
  </r>
  <r>
    <s v="CMP-01025"/>
    <s v="Q3_Summer_CMP-01025"/>
    <x v="1"/>
    <s v="Summer"/>
    <d v="2023-03-21T00:00:00"/>
    <d v="2023-04-05T00:00:00"/>
    <x v="0"/>
    <n v="1117"/>
    <n v="18"/>
    <n v="15.68"/>
    <n v="1"/>
    <s v="No"/>
    <s v="TikTok"/>
    <n v="15"/>
    <n v="1.611459265890779E-2"/>
    <n v="5.5555555555555552E-2"/>
    <n v="0.87111111111111106"/>
    <n v="15.68"/>
    <n v="3"/>
    <x v="1"/>
    <s v="March"/>
  </r>
  <r>
    <s v="CMP-00319"/>
    <s v="Q4_BlackFriday_CMP-00319"/>
    <x v="2"/>
    <s v="BlackFriday"/>
    <d v="2023-03-21T00:00:00"/>
    <d v="2023-04-05T00:00:00"/>
    <x v="0"/>
    <n v="87831"/>
    <n v="3016"/>
    <n v="4948.16"/>
    <n v="350"/>
    <s v="No"/>
    <s v="TikTok"/>
    <n v="15"/>
    <n v="3.4338673133631634E-2"/>
    <n v="0.11604774535809019"/>
    <n v="1.6406366047745358"/>
    <n v="14.137599999999999"/>
    <n v="3"/>
    <x v="1"/>
    <s v="March"/>
  </r>
  <r>
    <s v="CMP-00599"/>
    <s v="Q1_BlackFriday_CMP-00599"/>
    <x v="3"/>
    <s v="BlackFriday"/>
    <d v="2023-03-22T00:00:00"/>
    <d v="2023-04-15T00:00:00"/>
    <x v="0"/>
    <n v="72180"/>
    <n v="3245"/>
    <n v="2552.84"/>
    <n v="635"/>
    <s v="No"/>
    <s v="TikTok"/>
    <n v="24"/>
    <n v="4.4957051814907174E-2"/>
    <n v="0.19568567026194145"/>
    <n v="0.78669953775038526"/>
    <n v="4.0202204724409452"/>
    <n v="3"/>
    <x v="1"/>
    <s v="March"/>
  </r>
  <r>
    <s v="CMP-01163"/>
    <s v="Q1_Launch_CMP-01163"/>
    <x v="3"/>
    <s v="Launch"/>
    <d v="2023-03-22T00:00:00"/>
    <d v="2023-04-20T00:00:00"/>
    <x v="1"/>
    <n v="72907"/>
    <n v="2252"/>
    <n v="2242.64"/>
    <n v="0"/>
    <s v="No"/>
    <s v="Email"/>
    <n v="29"/>
    <n v="3.0888666383200515E-2"/>
    <n v="0"/>
    <n v="0.99584369449378329"/>
    <s v="0"/>
    <n v="3"/>
    <x v="1"/>
    <s v="March"/>
  </r>
  <r>
    <s v="CMP-00338"/>
    <s v="Q2_Launch_CMP-00338"/>
    <x v="0"/>
    <s v="Launch"/>
    <d v="2023-03-22T00:00:00"/>
    <d v="2023-04-07T00:00:00"/>
    <x v="3"/>
    <n v="6895"/>
    <n v="176"/>
    <n v="333.09"/>
    <n v="10"/>
    <s v="No"/>
    <s v="FB"/>
    <n v="16"/>
    <n v="2.5525743292240752E-2"/>
    <n v="5.6818181818181816E-2"/>
    <n v="1.892556818181818"/>
    <n v="33.308999999999997"/>
    <n v="3"/>
    <x v="1"/>
    <s v="March"/>
  </r>
  <r>
    <s v="CMP-01842"/>
    <s v="Q2_BlackFriday_CMP-01842"/>
    <x v="0"/>
    <s v="BlackFriday"/>
    <d v="2023-03-22T00:00:00"/>
    <d v="2023-04-17T00:00:00"/>
    <x v="0"/>
    <n v="40214"/>
    <n v="420"/>
    <n v="831.06"/>
    <n v="78"/>
    <s v="Yes"/>
    <s v="TikTok"/>
    <n v="26"/>
    <n v="1.0444123936937385E-2"/>
    <n v="0.18571428571428572"/>
    <n v="1.9787142857142856"/>
    <n v="10.654615384615385"/>
    <n v="3"/>
    <x v="1"/>
    <s v="March"/>
  </r>
  <r>
    <s v="CMP-01042"/>
    <s v="Q3_Launch_CMP-01042"/>
    <x v="1"/>
    <s v="Launch"/>
    <d v="2023-03-22T00:00:00"/>
    <d v="2023-03-29T00:00:00"/>
    <x v="1"/>
    <n v="46587"/>
    <n v="1987"/>
    <n v="3205.91"/>
    <n v="372"/>
    <s v="Yes"/>
    <s v="Email"/>
    <n v="7"/>
    <n v="4.2651383433146589E-2"/>
    <n v="0.1872169099144439"/>
    <n v="1.6134423754403622"/>
    <n v="8.6180376344086014"/>
    <n v="3"/>
    <x v="1"/>
    <s v="March"/>
  </r>
  <r>
    <s v="CMP-00638"/>
    <s v="Q3_BlackFriday_CMP-00638"/>
    <x v="1"/>
    <s v="BlackFriday"/>
    <d v="2023-03-23T00:00:00"/>
    <d v="2023-04-10T00:00:00"/>
    <x v="0"/>
    <n v="85076"/>
    <n v="1541"/>
    <n v="1495.63"/>
    <n v="232"/>
    <s v="Yes"/>
    <s v="TikTok"/>
    <n v="18"/>
    <n v="1.8113216418261319E-2"/>
    <n v="0.15055158987670345"/>
    <n v="0.97055807916937065"/>
    <n v="6.4466810344827588"/>
    <n v="3"/>
    <x v="1"/>
    <s v="March"/>
  </r>
  <r>
    <s v="CMP-00009"/>
    <s v="Q4_BlackFriday_CMP-00009"/>
    <x v="2"/>
    <s v="BlackFriday"/>
    <d v="2023-03-23T00:00:00"/>
    <d v="2023-04-01T00:00:00"/>
    <x v="4"/>
    <n v="45131"/>
    <n v="1179"/>
    <n v="1046.18"/>
    <n v="104"/>
    <s v="Yes"/>
    <s v="Google Ads"/>
    <n v="9"/>
    <n v="2.6123950278079369E-2"/>
    <n v="8.8210347752332482E-2"/>
    <n v="0.88734520780322312"/>
    <n v="10.059423076923078"/>
    <n v="3"/>
    <x v="1"/>
    <s v="March"/>
  </r>
  <r>
    <s v="CMP-01993"/>
    <s v="Q4_Winstagramter_CMP-01993"/>
    <x v="2"/>
    <s v="Winstagramter"/>
    <d v="2023-03-23T00:00:00"/>
    <d v="2023-03-27T00:00:00"/>
    <x v="4"/>
    <n v="32890"/>
    <n v="392"/>
    <n v="755.86"/>
    <n v="33"/>
    <s v="Yes"/>
    <s v="Google Ads"/>
    <n v="4"/>
    <n v="1.1918516266342353E-2"/>
    <n v="8.4183673469387751E-2"/>
    <n v="1.9282142857142857"/>
    <n v="22.904848484848486"/>
    <n v="3"/>
    <x v="1"/>
    <s v="March"/>
  </r>
  <r>
    <s v="CMP-01393"/>
    <s v="Q2_BlackFriday_CMP-01393"/>
    <x v="0"/>
    <s v="BlackFriday"/>
    <d v="2023-03-24T00:00:00"/>
    <d v="2023-04-12T00:00:00"/>
    <x v="3"/>
    <n v="75532"/>
    <n v="3262"/>
    <n v="3472.8"/>
    <n v="597"/>
    <s v="Yes"/>
    <s v="FB"/>
    <n v="19"/>
    <n v="4.3186993592119895E-2"/>
    <n v="0.18301655426118946"/>
    <n v="1.0646229307173514"/>
    <n v="5.8170854271356784"/>
    <n v="3"/>
    <x v="1"/>
    <s v="March"/>
  </r>
  <r>
    <s v="CMP-01557"/>
    <s v="Q3_Summer_CMP-01557"/>
    <x v="1"/>
    <s v="Summer"/>
    <d v="2023-03-24T00:00:00"/>
    <d v="2023-04-18T00:00:00"/>
    <x v="0"/>
    <n v="21662"/>
    <n v="472"/>
    <n v="602.24"/>
    <n v="23"/>
    <s v="No"/>
    <s v="TikTok"/>
    <n v="25"/>
    <n v="2.1789308466438926E-2"/>
    <n v="4.8728813559322036E-2"/>
    <n v="1.2759322033898306"/>
    <n v="26.184347826086956"/>
    <n v="3"/>
    <x v="1"/>
    <s v="March"/>
  </r>
  <r>
    <s v="CMP-01155"/>
    <s v="Q1_Winstagramter_CMP-01155"/>
    <x v="3"/>
    <s v="Winstagramter"/>
    <d v="2023-03-25T00:00:00"/>
    <d v="2023-04-08T00:00:00"/>
    <x v="4"/>
    <n v="20029"/>
    <n v="977"/>
    <n v="950.15"/>
    <n v="108"/>
    <s v="Yes"/>
    <s v="Google Ads"/>
    <n v="14"/>
    <n v="4.87792700584153E-2"/>
    <n v="0.1105424769703173"/>
    <n v="0.97251791197543502"/>
    <n v="8.7976851851851858"/>
    <n v="3"/>
    <x v="1"/>
    <s v="March"/>
  </r>
  <r>
    <s v="CMP-00511"/>
    <s v="Q2_Winstagramter_CMP-00511"/>
    <x v="0"/>
    <s v="Winstagramter"/>
    <d v="2023-03-25T00:00:00"/>
    <d v="2023-03-31T00:00:00"/>
    <x v="0"/>
    <n v="24049"/>
    <n v="816"/>
    <n v="501.72"/>
    <n v="71"/>
    <s v="Yes"/>
    <s v="TikTok"/>
    <n v="6"/>
    <n v="3.3930724770260719E-2"/>
    <n v="8.7009803921568624E-2"/>
    <n v="0.6148529411764706"/>
    <n v="7.0664788732394372"/>
    <n v="3"/>
    <x v="1"/>
    <s v="March"/>
  </r>
  <r>
    <s v="CMP-01228"/>
    <s v="Q4_Winstagramter_CMP-01228"/>
    <x v="2"/>
    <s v="Winstagramter"/>
    <d v="2023-03-25T00:00:00"/>
    <d v="2023-04-23T00:00:00"/>
    <x v="1"/>
    <n v="58545"/>
    <n v="821"/>
    <n v="1405.2"/>
    <n v="76"/>
    <s v="Yes"/>
    <s v="Email"/>
    <n v="29"/>
    <n v="1.4023400802801265E-2"/>
    <n v="9.2570036540803896E-2"/>
    <n v="1.7115712545676005"/>
    <n v="18.489473684210527"/>
    <n v="3"/>
    <x v="1"/>
    <s v="March"/>
  </r>
  <r>
    <s v="CMP-00081"/>
    <s v="Q2_Summer_CMP-00081"/>
    <x v="0"/>
    <s v="Summer"/>
    <d v="2023-03-26T00:00:00"/>
    <d v="2023-04-03T00:00:00"/>
    <x v="1"/>
    <n v="90789"/>
    <n v="4046"/>
    <n v="5489.38"/>
    <n v="299"/>
    <s v="Yes"/>
    <s v="Email"/>
    <n v="8"/>
    <n v="4.4564870193525646E-2"/>
    <n v="7.3900148294611959E-2"/>
    <n v="1.3567424616905586"/>
    <n v="18.35913043478261"/>
    <n v="3"/>
    <x v="1"/>
    <s v="March"/>
  </r>
  <r>
    <s v="CMP-00738"/>
    <s v="Q2_Winstagramter_CMP-00738"/>
    <x v="0"/>
    <s v="Winstagramter"/>
    <d v="2023-03-26T00:00:00"/>
    <d v="2023-04-06T00:00:00"/>
    <x v="4"/>
    <n v="79859"/>
    <n v="2387"/>
    <n v="1411.94"/>
    <n v="335"/>
    <s v="No"/>
    <s v="Google Ads"/>
    <n v="11"/>
    <n v="2.9890181444796455E-2"/>
    <n v="0.14034352744030162"/>
    <n v="0.59151235860913287"/>
    <n v="4.2147462686567163"/>
    <n v="3"/>
    <x v="1"/>
    <s v="March"/>
  </r>
  <r>
    <s v="CMP-00268"/>
    <s v="Q3_Launch_CMP-00268"/>
    <x v="1"/>
    <s v="Launch"/>
    <d v="2023-03-26T00:00:00"/>
    <d v="2023-04-16T00:00:00"/>
    <x v="1"/>
    <n v="40384"/>
    <n v="1866"/>
    <n v="2060.37"/>
    <n v="278"/>
    <s v="Yes"/>
    <s v="Email"/>
    <n v="21"/>
    <n v="4.6206418383518223E-2"/>
    <n v="0.14898177920685959"/>
    <n v="1.1041639871382636"/>
    <n v="7.4114028776978413"/>
    <n v="3"/>
    <x v="1"/>
    <s v="March"/>
  </r>
  <r>
    <s v="CMP-01362"/>
    <s v="Q3_Launch_CMP-01362"/>
    <x v="1"/>
    <s v="Launch"/>
    <d v="2023-03-26T00:00:00"/>
    <d v="2023-04-09T00:00:00"/>
    <x v="5"/>
    <n v="77918"/>
    <n v="1808"/>
    <n v="1056.31"/>
    <n v="307"/>
    <s v="Yes"/>
    <s v="Not specified"/>
    <n v="14"/>
    <n v="2.3203881003105831E-2"/>
    <n v="0.16980088495575221"/>
    <n v="0.58424225663716811"/>
    <n v="3.4407491856677521"/>
    <n v="3"/>
    <x v="1"/>
    <s v="March"/>
  </r>
  <r>
    <s v="CMP-00189"/>
    <s v="Q4_Summer_CMP-00189"/>
    <x v="2"/>
    <s v="Summer"/>
    <d v="2023-03-26T00:00:00"/>
    <d v="2023-04-02T00:00:00"/>
    <x v="2"/>
    <n v="6530"/>
    <n v="83"/>
    <n v="110.21"/>
    <n v="15"/>
    <s v="Yes"/>
    <s v="IG"/>
    <n v="7"/>
    <n v="1.2710566615620214E-2"/>
    <n v="0.18072289156626506"/>
    <n v="1.3278313253012048"/>
    <n v="7.3473333333333333"/>
    <n v="3"/>
    <x v="1"/>
    <s v="March"/>
  </r>
  <r>
    <s v="CMP-00358"/>
    <s v="Q4_Launch_CMP-00358"/>
    <x v="2"/>
    <s v="Launch"/>
    <d v="2023-03-26T00:00:00"/>
    <d v="2023-04-05T00:00:00"/>
    <x v="4"/>
    <n v="37212"/>
    <n v="839"/>
    <n v="1470.43"/>
    <n v="164"/>
    <s v="No"/>
    <s v="Google Ads"/>
    <n v="10"/>
    <n v="2.254649037944749E-2"/>
    <n v="0.19547079856972585"/>
    <n v="1.7525983313468416"/>
    <n v="8.9660365853658544"/>
    <n v="3"/>
    <x v="1"/>
    <s v="March"/>
  </r>
  <r>
    <s v="CMP-00912"/>
    <s v="Q4_Launch_CMP-00912"/>
    <x v="2"/>
    <s v="Launch"/>
    <d v="2023-03-26T00:00:00"/>
    <d v="2023-04-25T00:00:00"/>
    <x v="1"/>
    <n v="37668"/>
    <n v="1639"/>
    <n v="3195.76"/>
    <n v="245"/>
    <s v="No"/>
    <s v="Email"/>
    <n v="30"/>
    <n v="4.3511734097908039E-2"/>
    <n v="0.14948139109212935"/>
    <n v="1.9498230628431972"/>
    <n v="13.04391836734694"/>
    <n v="3"/>
    <x v="1"/>
    <s v="March"/>
  </r>
  <r>
    <s v="CMP-00259"/>
    <s v="Q2_Summer_CMP-00259"/>
    <x v="0"/>
    <s v="Summer"/>
    <d v="2023-03-26T00:00:00"/>
    <d v="2023-05-03T00:00:00"/>
    <x v="4"/>
    <n v="85896"/>
    <n v="3181"/>
    <n v="3576.14"/>
    <n v="380"/>
    <s v="No"/>
    <s v="Google Ads"/>
    <n v="38"/>
    <n v="3.7033156375151345E-2"/>
    <n v="0.11945928953159383"/>
    <n v="1.1242187991197736"/>
    <n v="9.4108947368421045"/>
    <n v="3"/>
    <x v="1"/>
    <s v="March"/>
  </r>
  <r>
    <s v="CMP-01527"/>
    <s v="Q1_BlackFriday_CMP-01527"/>
    <x v="3"/>
    <s v="BlackFriday"/>
    <d v="2023-03-27T00:00:00"/>
    <d v="2023-04-20T00:00:00"/>
    <x v="4"/>
    <n v="9820"/>
    <n v="109"/>
    <n v="157.27000000000001"/>
    <n v="7"/>
    <s v="Yes"/>
    <s v="Google Ads"/>
    <n v="24"/>
    <n v="1.1099796334012219E-2"/>
    <n v="6.4220183486238536E-2"/>
    <n v="1.4428440366972477"/>
    <n v="22.467142857142857"/>
    <n v="3"/>
    <x v="1"/>
    <s v="March"/>
  </r>
  <r>
    <s v="CMP-00934"/>
    <s v="Q2_BlackFriday_CMP-00934"/>
    <x v="0"/>
    <s v="BlackFriday"/>
    <d v="2023-03-27T00:00:00"/>
    <d v="2023-03-31T00:00:00"/>
    <x v="0"/>
    <n v="65291"/>
    <n v="1542"/>
    <n v="3051.17"/>
    <n v="197"/>
    <s v="No"/>
    <s v="TikTok"/>
    <n v="4"/>
    <n v="2.3617343891194804E-2"/>
    <n v="0.12775616083009078"/>
    <n v="1.978709468223087"/>
    <n v="15.488172588832487"/>
    <n v="3"/>
    <x v="1"/>
    <s v="March"/>
  </r>
  <r>
    <s v="CMP-01191"/>
    <s v="Q3_BlackFriday_CMP-01191"/>
    <x v="1"/>
    <s v="BlackFriday"/>
    <d v="2023-03-27T00:00:00"/>
    <d v="2023-04-24T00:00:00"/>
    <x v="4"/>
    <n v="57942"/>
    <n v="650"/>
    <n v="593.65"/>
    <n v="84"/>
    <s v="No"/>
    <s v="Google Ads"/>
    <n v="28"/>
    <n v="1.1218114666390529E-2"/>
    <n v="0.12923076923076923"/>
    <n v="0.91330769230769226"/>
    <n v="7.0672619047619047"/>
    <n v="3"/>
    <x v="1"/>
    <s v="March"/>
  </r>
  <r>
    <s v="CMP-01326"/>
    <s v="Q4_BlackFriday_CMP-01326"/>
    <x v="2"/>
    <s v="BlackFriday"/>
    <d v="2023-03-27T00:00:00"/>
    <d v="2023-04-15T00:00:00"/>
    <x v="0"/>
    <n v="25160"/>
    <n v="1116"/>
    <n v="705.57"/>
    <n v="127"/>
    <s v="Yes"/>
    <s v="TikTok"/>
    <n v="19"/>
    <n v="4.4356120826709061E-2"/>
    <n v="0.11379928315412187"/>
    <n v="0.63223118279569901"/>
    <n v="5.5556692913385834"/>
    <n v="3"/>
    <x v="1"/>
    <s v="March"/>
  </r>
  <r>
    <s v="CMP-01639"/>
    <s v="Q4_BlackFriday_CMP-01639"/>
    <x v="2"/>
    <s v="BlackFriday"/>
    <d v="2023-03-27T00:00:00"/>
    <d v="2023-04-24T00:00:00"/>
    <x v="5"/>
    <n v="39197"/>
    <n v="1444"/>
    <n v="1872.92"/>
    <n v="267"/>
    <s v="No"/>
    <s v="Not specified"/>
    <n v="28"/>
    <n v="3.6839554047503636E-2"/>
    <n v="0.18490304709141275"/>
    <n v="1.2970360110803325"/>
    <n v="7.0146816479400753"/>
    <n v="3"/>
    <x v="1"/>
    <s v="March"/>
  </r>
  <r>
    <s v="CMP-00156"/>
    <s v="Q2_Launch_CMP-00156"/>
    <x v="0"/>
    <s v="Launch"/>
    <d v="2023-03-28T00:00:00"/>
    <d v="2023-04-05T00:00:00"/>
    <x v="3"/>
    <n v="63623"/>
    <n v="1471"/>
    <n v="908.84"/>
    <n v="274"/>
    <s v="Yes"/>
    <s v="FB"/>
    <n v="8"/>
    <n v="2.3120569605331404E-2"/>
    <n v="0.18626784500339905"/>
    <n v="0.61783820530251532"/>
    <n v="3.3169343065693431"/>
    <n v="3"/>
    <x v="1"/>
    <s v="March"/>
  </r>
  <r>
    <s v="CMP-00868"/>
    <s v="Q4_Summer_CMP-00868"/>
    <x v="2"/>
    <s v="Summer"/>
    <d v="2023-03-28T00:00:00"/>
    <d v="2023-04-24T00:00:00"/>
    <x v="4"/>
    <n v="95456"/>
    <n v="2403"/>
    <n v="3629.86"/>
    <n v="171"/>
    <s v="No"/>
    <s v="Google Ads"/>
    <n v="27"/>
    <n v="2.5173902111967818E-2"/>
    <n v="7.116104868913857E-2"/>
    <n v="1.5105534748231377"/>
    <n v="21.227251461988306"/>
    <n v="3"/>
    <x v="1"/>
    <s v="March"/>
  </r>
  <r>
    <s v="CMP-01800"/>
    <s v="Q4_Winstagramter_CMP-01800"/>
    <x v="2"/>
    <s v="Winstagramter"/>
    <d v="2023-03-28T00:00:00"/>
    <d v="2023-04-15T00:00:00"/>
    <x v="2"/>
    <n v="22195"/>
    <n v="552"/>
    <n v="538.79999999999995"/>
    <n v="0"/>
    <s v="Yes"/>
    <s v="IG"/>
    <n v="18"/>
    <n v="2.4870466321243522E-2"/>
    <n v="0"/>
    <n v="0.97608695652173905"/>
    <s v="0"/>
    <n v="3"/>
    <x v="1"/>
    <s v="March"/>
  </r>
  <r>
    <s v="CMP-00663"/>
    <s v="Q3_Winstagramter_CMP-00663"/>
    <x v="1"/>
    <s v="Winstagramter"/>
    <d v="2023-03-28T00:00:00"/>
    <d v="2023-06-03T00:00:00"/>
    <x v="3"/>
    <n v="94105"/>
    <n v="1156"/>
    <n v="1063.08"/>
    <n v="223"/>
    <s v="Yes"/>
    <s v="FB"/>
    <n v="67"/>
    <n v="1.2284150682747994E-2"/>
    <n v="0.19290657439446368"/>
    <n v="0.91961937716262965"/>
    <n v="4.7671748878923763"/>
    <n v="3"/>
    <x v="1"/>
    <s v="March"/>
  </r>
  <r>
    <s v="CMP-00833"/>
    <s v="Q2_Launch_CMP-00833"/>
    <x v="0"/>
    <s v="Launch"/>
    <d v="2023-03-29T00:00:00"/>
    <d v="2023-04-09T00:00:00"/>
    <x v="0"/>
    <n v="44125"/>
    <n v="1209"/>
    <n v="1607.57"/>
    <n v="227"/>
    <s v="Yes"/>
    <s v="TikTok"/>
    <n v="11"/>
    <n v="2.7399433427762038E-2"/>
    <n v="0.18775847808105872"/>
    <n v="1.3296691480562448"/>
    <n v="7.081806167400881"/>
    <n v="3"/>
    <x v="1"/>
    <s v="March"/>
  </r>
  <r>
    <s v="CMP-01173"/>
    <s v="Q2_Launch_CMP-01173"/>
    <x v="0"/>
    <s v="Launch"/>
    <d v="2023-03-29T00:00:00"/>
    <d v="2023-04-13T00:00:00"/>
    <x v="1"/>
    <n v="17478"/>
    <n v="595"/>
    <n v="916.91"/>
    <n v="83"/>
    <s v="No"/>
    <s v="Email"/>
    <n v="15"/>
    <n v="3.4042796658656595E-2"/>
    <n v="0.13949579831932774"/>
    <n v="1.5410252100840336"/>
    <n v="11.047108433734939"/>
    <n v="3"/>
    <x v="1"/>
    <s v="March"/>
  </r>
  <r>
    <s v="CMP-01657"/>
    <s v="Q2_Launch_CMP-01657"/>
    <x v="0"/>
    <s v="Launch"/>
    <d v="2023-03-29T00:00:00"/>
    <d v="2023-04-03T00:00:00"/>
    <x v="2"/>
    <n v="63483"/>
    <n v="1991"/>
    <n v="3200.04"/>
    <n v="0"/>
    <s v="Yes"/>
    <s v="IG"/>
    <n v="5"/>
    <n v="3.136272702928343E-2"/>
    <n v="0"/>
    <n v="1.6072526368658966"/>
    <s v="0"/>
    <n v="3"/>
    <x v="1"/>
    <s v="March"/>
  </r>
  <r>
    <s v="CMP-01987"/>
    <s v="Q2_Winstagramter_CMP-01987"/>
    <x v="0"/>
    <s v="Winstagramter"/>
    <d v="2023-03-29T00:00:00"/>
    <d v="2023-04-27T00:00:00"/>
    <x v="3"/>
    <n v="73715"/>
    <n v="3188"/>
    <n v="1835.53"/>
    <n v="479"/>
    <s v="No"/>
    <s v="FB"/>
    <n v="29"/>
    <n v="4.3247642949196231E-2"/>
    <n v="0.15025094102885822"/>
    <n v="0.57576223337515686"/>
    <n v="3.8320041753653444"/>
    <n v="3"/>
    <x v="1"/>
    <s v="March"/>
  </r>
  <r>
    <s v="CMP-00333"/>
    <s v="Q3_BlackFriday_CMP-00333"/>
    <x v="1"/>
    <s v="BlackFriday"/>
    <d v="2023-03-29T00:00:00"/>
    <d v="2023-03-31T00:00:00"/>
    <x v="2"/>
    <n v="80909"/>
    <n v="3635"/>
    <n v="6035.3"/>
    <n v="368"/>
    <s v="No"/>
    <s v="IG"/>
    <n v="2"/>
    <n v="4.4927016771928958E-2"/>
    <n v="0.10123796423658872"/>
    <n v="1.6603301237964236"/>
    <n v="16.400271739130435"/>
    <n v="3"/>
    <x v="1"/>
    <s v="March"/>
  </r>
  <r>
    <s v="CMP-01158"/>
    <s v="Q3_Launch_CMP-01158"/>
    <x v="1"/>
    <s v="Launch"/>
    <d v="2023-03-29T00:00:00"/>
    <d v="2023-04-12T00:00:00"/>
    <x v="5"/>
    <n v="44872"/>
    <n v="616"/>
    <n v="1072.6099999999999"/>
    <n v="0"/>
    <s v="No"/>
    <s v="Not specified"/>
    <n v="14"/>
    <n v="1.3727937243715457E-2"/>
    <n v="0"/>
    <n v="1.7412499999999997"/>
    <s v="0"/>
    <n v="3"/>
    <x v="1"/>
    <s v="March"/>
  </r>
  <r>
    <s v="CMP-01463"/>
    <s v="Q3_BlackFriday_CMP-01463"/>
    <x v="1"/>
    <s v="BlackFriday"/>
    <d v="2023-03-29T00:00:00"/>
    <d v="2023-04-03T00:00:00"/>
    <x v="2"/>
    <n v="48304"/>
    <n v="2324"/>
    <n v="4090.23"/>
    <n v="0"/>
    <s v="Yes"/>
    <s v="IG"/>
    <n v="5"/>
    <n v="4.8111957601854917E-2"/>
    <n v="0"/>
    <n v="1.7599956970740103"/>
    <s v="0"/>
    <n v="3"/>
    <x v="1"/>
    <s v="March"/>
  </r>
  <r>
    <s v="CMP-01774"/>
    <s v="Q2_Winstagramter_CMP-01774"/>
    <x v="0"/>
    <s v="Winstagramter"/>
    <d v="2023-03-30T00:00:00"/>
    <d v="2023-04-04T00:00:00"/>
    <x v="3"/>
    <n v="88272"/>
    <n v="1180"/>
    <n v="1202.77"/>
    <n v="235"/>
    <s v="Yes"/>
    <s v="FB"/>
    <n v="5"/>
    <n v="1.3367772340039876E-2"/>
    <n v="0.19915254237288135"/>
    <n v="1.0192966101694916"/>
    <n v="5.118170212765957"/>
    <n v="3"/>
    <x v="1"/>
    <s v="March"/>
  </r>
  <r>
    <s v="CMP-01408"/>
    <s v="Q3_Summer_CMP-01408"/>
    <x v="1"/>
    <s v="Summer"/>
    <d v="2023-03-30T00:00:00"/>
    <d v="2023-04-23T00:00:00"/>
    <x v="2"/>
    <n v="49756"/>
    <n v="1553"/>
    <n v="1493.29"/>
    <n v="242"/>
    <s v="Yes"/>
    <s v="IG"/>
    <n v="24"/>
    <n v="3.1212316102580594E-2"/>
    <n v="0.15582743077913716"/>
    <n v="0.9615518351577591"/>
    <n v="6.1706198347107435"/>
    <n v="3"/>
    <x v="1"/>
    <s v="March"/>
  </r>
  <r>
    <s v="CMP-01118"/>
    <s v="Q4_Winstagramter_CMP-01118"/>
    <x v="2"/>
    <s v="Winstagramter"/>
    <d v="2023-03-30T00:00:00"/>
    <d v="2023-04-27T00:00:00"/>
    <x v="3"/>
    <n v="68728"/>
    <n v="2960"/>
    <n v="4198.5"/>
    <n v="591"/>
    <s v="Yes"/>
    <s v="FB"/>
    <n v="28"/>
    <n v="4.3068327319287628E-2"/>
    <n v="0.19966216216216215"/>
    <n v="1.4184121621621621"/>
    <n v="7.1040609137055837"/>
    <n v="3"/>
    <x v="1"/>
    <s v="March"/>
  </r>
  <r>
    <s v="CMP-00277"/>
    <s v="Q1_Launch_CMP-00277"/>
    <x v="3"/>
    <s v="Launch"/>
    <d v="2023-03-31T00:00:00"/>
    <d v="2023-04-02T00:00:00"/>
    <x v="1"/>
    <n v="91735"/>
    <n v="2540"/>
    <n v="3139.81"/>
    <n v="131"/>
    <s v="Yes"/>
    <s v="Email"/>
    <n v="2"/>
    <n v="2.7688450427862867E-2"/>
    <n v="5.1574803149606302E-2"/>
    <n v="1.2361456692913386"/>
    <n v="23.968015267175574"/>
    <n v="3"/>
    <x v="1"/>
    <s v="March"/>
  </r>
  <r>
    <s v="CMP-00394"/>
    <s v="Q2_Winstagramter_CMP-00394"/>
    <x v="0"/>
    <s v="Winstagramter"/>
    <d v="2023-03-31T00:00:00"/>
    <d v="2023-04-20T00:00:00"/>
    <x v="4"/>
    <n v="79069"/>
    <n v="3266"/>
    <n v="4283.37"/>
    <n v="414"/>
    <s v="No"/>
    <s v="Google Ads"/>
    <n v="20"/>
    <n v="4.1305695025863488E-2"/>
    <n v="0.12676056338028169"/>
    <n v="1.3115033680342927"/>
    <n v="10.346304347826086"/>
    <n v="3"/>
    <x v="1"/>
    <s v="March"/>
  </r>
  <r>
    <s v="CMP-01316"/>
    <s v="Q3_Summer_CMP-01316"/>
    <x v="1"/>
    <s v="Summer"/>
    <d v="2023-03-31T00:00:00"/>
    <d v="2023-04-09T00:00:00"/>
    <x v="4"/>
    <n v="31678"/>
    <n v="1583"/>
    <n v="3134.09"/>
    <n v="100"/>
    <s v="No"/>
    <s v="Google Ads"/>
    <n v="9"/>
    <n v="4.997158911547446E-2"/>
    <n v="6.3171193935565376E-2"/>
    <n v="1.9798420720151613"/>
    <n v="31.340900000000001"/>
    <n v="3"/>
    <x v="1"/>
    <s v="March"/>
  </r>
  <r>
    <s v="CMP-01567"/>
    <s v="Q3_Summer_CMP-01567"/>
    <x v="1"/>
    <s v="Summer"/>
    <d v="2023-03-31T00:00:00"/>
    <d v="2023-04-02T00:00:00"/>
    <x v="2"/>
    <n v="8564"/>
    <n v="262"/>
    <n v="210.44"/>
    <n v="32"/>
    <s v="No"/>
    <s v="IG"/>
    <n v="2"/>
    <n v="3.0593180756655767E-2"/>
    <n v="0.12213740458015267"/>
    <n v="0.80320610687022898"/>
    <n v="6.5762499999999999"/>
    <n v="3"/>
    <x v="1"/>
    <s v="March"/>
  </r>
  <r>
    <s v="CMP-01610"/>
    <s v="Q3_Summer_CMP-01610"/>
    <x v="1"/>
    <s v="Summer"/>
    <d v="2023-03-31T00:00:00"/>
    <d v="2023-04-26T00:00:00"/>
    <x v="4"/>
    <n v="56619"/>
    <n v="1175"/>
    <n v="1114.9000000000001"/>
    <n v="126"/>
    <s v="Yes"/>
    <s v="Google Ads"/>
    <n v="26"/>
    <n v="2.0752750843356472E-2"/>
    <n v="0.10723404255319149"/>
    <n v="0.94885106382978734"/>
    <n v="8.8484126984126998"/>
    <n v="3"/>
    <x v="1"/>
    <s v="March"/>
  </r>
  <r>
    <s v="CMP-01932"/>
    <s v="Q3_Winstagramter_CMP-01932"/>
    <x v="1"/>
    <s v="Winstagramter"/>
    <d v="2023-03-31T00:00:00"/>
    <d v="2023-04-28T00:00:00"/>
    <x v="3"/>
    <n v="62681"/>
    <n v="2328"/>
    <n v="4216.0600000000004"/>
    <n v="390"/>
    <s v="Yes"/>
    <s v="FB"/>
    <n v="28"/>
    <n v="3.7140441282047194E-2"/>
    <n v="0.16752577319587628"/>
    <n v="1.8110223367697595"/>
    <n v="10.810410256410258"/>
    <n v="3"/>
    <x v="1"/>
    <s v="March"/>
  </r>
  <r>
    <s v="CMP-01138"/>
    <s v="Q4_Launch_CMP-01138"/>
    <x v="2"/>
    <s v="Launch"/>
    <d v="2023-03-31T00:00:00"/>
    <d v="2023-04-20T00:00:00"/>
    <x v="1"/>
    <n v="72324"/>
    <n v="2837"/>
    <n v="5648.81"/>
    <n v="504"/>
    <s v="Yes"/>
    <s v="Email"/>
    <n v="20"/>
    <n v="3.9226259609534873E-2"/>
    <n v="0.17765244977088473"/>
    <n v="1.9911209023616498"/>
    <n v="11.20795634920635"/>
    <n v="3"/>
    <x v="1"/>
    <s v="March"/>
  </r>
  <r>
    <s v="CMP-00471"/>
    <s v="Q2_BlackFriday_CMP-00471"/>
    <x v="0"/>
    <s v="BlackFriday"/>
    <d v="2023-04-01T00:00:00"/>
    <d v="2023-04-08T00:00:00"/>
    <x v="3"/>
    <n v="47175"/>
    <n v="670"/>
    <n v="1128.44"/>
    <n v="39"/>
    <s v="Yes"/>
    <s v="FB"/>
    <n v="7"/>
    <n v="1.4202437731849496E-2"/>
    <n v="5.8208955223880594E-2"/>
    <n v="1.6842388059701494"/>
    <n v="28.934358974358975"/>
    <n v="4"/>
    <x v="1"/>
    <s v="April"/>
  </r>
  <r>
    <s v="CMP-01906"/>
    <s v="Q2_Winstagramter_CMP-01906"/>
    <x v="0"/>
    <s v="Winstagramter"/>
    <d v="2023-04-01T00:00:00"/>
    <d v="2023-04-04T00:00:00"/>
    <x v="1"/>
    <n v="27143"/>
    <n v="536"/>
    <n v="738.58"/>
    <n v="98"/>
    <s v="Yes"/>
    <s v="Email"/>
    <n v="3"/>
    <n v="1.9747264488081642E-2"/>
    <n v="0.18283582089552239"/>
    <n v="1.3779477611940298"/>
    <n v="7.5365306122448983"/>
    <n v="4"/>
    <x v="1"/>
    <s v="April"/>
  </r>
  <r>
    <s v="CMP-01127"/>
    <s v="Q4_Launch_CMP-01127"/>
    <x v="2"/>
    <s v="Launch"/>
    <d v="2023-04-01T00:00:00"/>
    <d v="2023-04-13T00:00:00"/>
    <x v="4"/>
    <n v="68506"/>
    <n v="2282"/>
    <n v="1761.34"/>
    <n v="319"/>
    <s v="Yes"/>
    <s v="Google Ads"/>
    <n v="12"/>
    <n v="3.3310950865617611E-2"/>
    <n v="0.13978965819456618"/>
    <n v="0.77184049079754602"/>
    <n v="5.5214420062695924"/>
    <n v="4"/>
    <x v="1"/>
    <s v="April"/>
  </r>
  <r>
    <s v="CMP-00137"/>
    <s v="Q3_Summer_CMP-00137"/>
    <x v="1"/>
    <s v="Summer"/>
    <d v="2023-04-02T00:00:00"/>
    <d v="2023-05-01T00:00:00"/>
    <x v="4"/>
    <n v="83948"/>
    <n v="2870"/>
    <n v="2313.94"/>
    <n v="258"/>
    <s v="Yes"/>
    <s v="Google Ads"/>
    <n v="29"/>
    <n v="3.4187830561776336E-2"/>
    <n v="8.9895470383275264E-2"/>
    <n v="0.80625087108013938"/>
    <n v="8.9687596899224804"/>
    <n v="4"/>
    <x v="1"/>
    <s v="April"/>
  </r>
  <r>
    <s v="CMP-01385"/>
    <s v="Q3_BlackFriday_CMP-01385"/>
    <x v="1"/>
    <s v="BlackFriday"/>
    <d v="2023-04-02T00:00:00"/>
    <d v="2023-05-02T00:00:00"/>
    <x v="3"/>
    <n v="36367"/>
    <n v="1297"/>
    <n v="738.12"/>
    <n v="107"/>
    <s v="No"/>
    <s v="FB"/>
    <n v="30"/>
    <n v="3.5664201061401821E-2"/>
    <n v="8.2498072474942175E-2"/>
    <n v="0.56909791827293754"/>
    <n v="6.8983177570093455"/>
    <n v="4"/>
    <x v="1"/>
    <s v="April"/>
  </r>
  <r>
    <s v="CMP-01520"/>
    <s v="Q2_Launch_CMP-01520"/>
    <x v="0"/>
    <s v="Launch"/>
    <d v="2023-04-03T00:00:00"/>
    <d v="2023-04-22T00:00:00"/>
    <x v="2"/>
    <n v="88833"/>
    <n v="2261"/>
    <n v="2838.76"/>
    <n v="285"/>
    <s v="Yes"/>
    <s v="IG"/>
    <n v="19"/>
    <n v="2.5452253104139226E-2"/>
    <n v="0.12605042016806722"/>
    <n v="1.2555329500221142"/>
    <n v="9.9605614035087733"/>
    <n v="4"/>
    <x v="1"/>
    <s v="April"/>
  </r>
  <r>
    <s v="CMP-01271"/>
    <s v="Q4_BlackFriday_CMP-01271"/>
    <x v="2"/>
    <s v="BlackFriday"/>
    <d v="2023-04-03T00:00:00"/>
    <d v="2023-04-09T00:00:00"/>
    <x v="4"/>
    <n v="2759"/>
    <n v="124"/>
    <n v="63.27"/>
    <n v="22"/>
    <s v="Yes"/>
    <s v="Google Ads"/>
    <n v="6"/>
    <n v="4.49438202247191E-2"/>
    <n v="0.17741935483870969"/>
    <n v="0.51024193548387098"/>
    <n v="2.875909090909091"/>
    <n v="4"/>
    <x v="1"/>
    <s v="April"/>
  </r>
  <r>
    <s v="CMP-00193"/>
    <s v="Q2_Winstagramter_CMP-00193"/>
    <x v="0"/>
    <s v="Winstagramter"/>
    <d v="2023-04-04T00:00:00"/>
    <d v="2023-04-14T00:00:00"/>
    <x v="3"/>
    <n v="99098"/>
    <n v="1772"/>
    <n v="2148.42"/>
    <n v="221"/>
    <s v="Yes"/>
    <s v="FB"/>
    <n v="10"/>
    <n v="1.7881289228844174E-2"/>
    <n v="0.12471783295711061"/>
    <n v="1.2124266365688487"/>
    <n v="9.7213574660633491"/>
    <n v="4"/>
    <x v="1"/>
    <s v="April"/>
  </r>
  <r>
    <s v="CMP-00558"/>
    <s v="Q2_BlackFriday_CMP-00558"/>
    <x v="0"/>
    <s v="BlackFriday"/>
    <d v="2023-04-04T00:00:00"/>
    <d v="2023-04-12T00:00:00"/>
    <x v="0"/>
    <n v="95297"/>
    <n v="3080"/>
    <n v="3686.51"/>
    <n v="214"/>
    <s v="Yes"/>
    <s v="TikTok"/>
    <n v="8"/>
    <n v="3.2320010073769376E-2"/>
    <n v="6.9480519480519476E-2"/>
    <n v="1.1969188311688312"/>
    <n v="17.226682242990655"/>
    <n v="4"/>
    <x v="1"/>
    <s v="April"/>
  </r>
  <r>
    <s v="CMP-01526"/>
    <s v="Q3_Launch_CMP-01526"/>
    <x v="1"/>
    <s v="Launch"/>
    <d v="2023-04-04T00:00:00"/>
    <d v="2023-04-18T00:00:00"/>
    <x v="1"/>
    <n v="38198"/>
    <n v="1870"/>
    <n v="3089.16"/>
    <n v="262"/>
    <s v="Yes"/>
    <s v="Email"/>
    <n v="14"/>
    <n v="4.8955442693334732E-2"/>
    <n v="0.14010695187165775"/>
    <n v="1.6519572192513368"/>
    <n v="11.790687022900762"/>
    <n v="4"/>
    <x v="1"/>
    <s v="April"/>
  </r>
  <r>
    <s v="CMP-01596"/>
    <s v="Q4_Winstagramter_CMP-01596"/>
    <x v="2"/>
    <s v="Winstagramter"/>
    <d v="2023-04-04T00:00:00"/>
    <d v="2023-04-30T00:00:00"/>
    <x v="4"/>
    <n v="59606"/>
    <n v="894"/>
    <n v="520.1"/>
    <n v="162"/>
    <s v="No"/>
    <s v="Google Ads"/>
    <n v="26"/>
    <n v="1.4998490084890783E-2"/>
    <n v="0.18120805369127516"/>
    <n v="0.58176733780760626"/>
    <n v="3.2104938271604939"/>
    <n v="4"/>
    <x v="1"/>
    <s v="April"/>
  </r>
  <r>
    <s v="CMP-01681"/>
    <s v="Q4_Winstagramter_CMP-01681"/>
    <x v="2"/>
    <s v="Winstagramter"/>
    <d v="2023-04-04T00:00:00"/>
    <d v="2023-04-09T00:00:00"/>
    <x v="1"/>
    <n v="44642"/>
    <n v="737"/>
    <n v="671.54"/>
    <n v="111"/>
    <s v="Yes"/>
    <s v="Email"/>
    <n v="5"/>
    <n v="1.650911697504592E-2"/>
    <n v="0.15061058344640435"/>
    <n v="0.91118046132971497"/>
    <n v="6.0499099099099096"/>
    <n v="4"/>
    <x v="1"/>
    <s v="April"/>
  </r>
  <r>
    <s v="CMP-01984"/>
    <s v="Q4_BlackFriday_CMP-01984"/>
    <x v="2"/>
    <s v="BlackFriday"/>
    <d v="2023-04-04T00:00:00"/>
    <d v="2023-05-02T00:00:00"/>
    <x v="4"/>
    <n v="37877"/>
    <n v="908"/>
    <n v="1741.6"/>
    <n v="150"/>
    <s v="Yes"/>
    <s v="Google Ads"/>
    <n v="28"/>
    <n v="2.3972331494046518E-2"/>
    <n v="0.16519823788546256"/>
    <n v="1.9180616740088106"/>
    <n v="11.610666666666667"/>
    <n v="4"/>
    <x v="1"/>
    <s v="April"/>
  </r>
  <r>
    <s v="CMP-00467"/>
    <s v="Q2_Launch_CMP-00467"/>
    <x v="0"/>
    <s v="Launch"/>
    <d v="2023-04-05T00:00:00"/>
    <d v="2023-04-10T00:00:00"/>
    <x v="5"/>
    <n v="75740"/>
    <n v="872"/>
    <n v="1242.96"/>
    <n v="144"/>
    <s v="Yes"/>
    <s v="Not specified"/>
    <n v="5"/>
    <n v="1.1513071032479534E-2"/>
    <n v="0.16513761467889909"/>
    <n v="1.4254128440366973"/>
    <n v="8.6316666666666677"/>
    <n v="4"/>
    <x v="1"/>
    <s v="April"/>
  </r>
  <r>
    <s v="CMP-00590"/>
    <s v="Q1_Launch_CMP-00590"/>
    <x v="3"/>
    <s v="Launch"/>
    <d v="2023-04-06T00:00:00"/>
    <d v="2023-05-05T00:00:00"/>
    <x v="3"/>
    <n v="35911"/>
    <n v="557"/>
    <n v="994.68"/>
    <n v="57"/>
    <s v="No"/>
    <s v="FB"/>
    <n v="29"/>
    <n v="1.5510567792598368E-2"/>
    <n v="0.10233393177737882"/>
    <n v="1.7857809694793536"/>
    <n v="17.450526315789475"/>
    <n v="4"/>
    <x v="1"/>
    <s v="April"/>
  </r>
  <r>
    <s v="CMP-01099"/>
    <s v="Q4_BlackFriday_CMP-01099"/>
    <x v="2"/>
    <s v="BlackFriday"/>
    <d v="2023-04-06T00:00:00"/>
    <d v="2023-04-23T00:00:00"/>
    <x v="4"/>
    <n v="21611"/>
    <n v="536"/>
    <n v="404.28"/>
    <n v="0"/>
    <s v="No"/>
    <s v="Google Ads"/>
    <n v="17"/>
    <n v="2.4802184072925827E-2"/>
    <n v="0"/>
    <n v="0.75425373134328355"/>
    <s v="0"/>
    <n v="4"/>
    <x v="1"/>
    <s v="April"/>
  </r>
  <r>
    <s v="CMP-01512"/>
    <s v="Q4_BlackFriday_CMP-01512"/>
    <x v="2"/>
    <s v="BlackFriday"/>
    <d v="2023-04-06T00:00:00"/>
    <d v="2023-04-27T00:00:00"/>
    <x v="2"/>
    <n v="63552"/>
    <n v="2250"/>
    <n v="1833.4"/>
    <n v="310"/>
    <s v="No"/>
    <s v="IG"/>
    <n v="21"/>
    <n v="3.5404078549848943E-2"/>
    <n v="0.13777777777777778"/>
    <n v="0.81484444444444448"/>
    <n v="5.9141935483870967"/>
    <n v="4"/>
    <x v="1"/>
    <s v="April"/>
  </r>
  <r>
    <s v="CMP-00804"/>
    <s v="Q3_BlackFriday_CMP-00804"/>
    <x v="1"/>
    <s v="BlackFriday"/>
    <d v="2023-04-06T00:00:00"/>
    <d v="2023-04-11T00:00:00"/>
    <x v="5"/>
    <n v="99142"/>
    <n v="3715"/>
    <n v="7008.09"/>
    <n v="676"/>
    <s v="Yes"/>
    <s v="Not specified"/>
    <n v="5"/>
    <n v="3.7471505517338764E-2"/>
    <n v="0.1819650067294751"/>
    <n v="1.8864306864064604"/>
    <n v="10.366997041420118"/>
    <n v="4"/>
    <x v="1"/>
    <s v="April"/>
  </r>
  <r>
    <s v="CMP-00309"/>
    <s v="Q3_Winstagramter_CMP-00309"/>
    <x v="1"/>
    <s v="Winstagramter"/>
    <d v="2023-04-07T00:00:00"/>
    <d v="2023-04-28T00:00:00"/>
    <x v="4"/>
    <n v="22357"/>
    <n v="1094"/>
    <n v="2103.4899999999998"/>
    <n v="119"/>
    <s v="Yes"/>
    <s v="Google Ads"/>
    <n v="21"/>
    <n v="4.8933220020575215E-2"/>
    <n v="0.10877513711151737"/>
    <n v="1.9227513711151736"/>
    <n v="17.676386554621846"/>
    <n v="4"/>
    <x v="1"/>
    <s v="April"/>
  </r>
  <r>
    <s v="CMP-01009"/>
    <s v="Q3_Summer_CMP-01009"/>
    <x v="1"/>
    <s v="Summer"/>
    <d v="2023-04-07T00:00:00"/>
    <d v="2023-04-20T00:00:00"/>
    <x v="3"/>
    <n v="57138"/>
    <n v="2085"/>
    <n v="1634.48"/>
    <n v="0"/>
    <s v="Yes"/>
    <s v="FB"/>
    <n v="13"/>
    <n v="3.6490601701144598E-2"/>
    <n v="0"/>
    <n v="0.7839232613908873"/>
    <s v="0"/>
    <n v="4"/>
    <x v="1"/>
    <s v="April"/>
  </r>
  <r>
    <s v="CMP-00761"/>
    <s v="Q4_Launch_CMP-00761"/>
    <x v="2"/>
    <s v="Launch"/>
    <d v="2023-04-07T00:00:00"/>
    <d v="2023-04-22T00:00:00"/>
    <x v="5"/>
    <n v="98007"/>
    <n v="2537"/>
    <n v="3937.61"/>
    <n v="379"/>
    <s v="Yes"/>
    <s v="Not specified"/>
    <n v="15"/>
    <n v="2.5885906108747334E-2"/>
    <n v="0.14938904217579818"/>
    <n v="1.5520733149389043"/>
    <n v="10.389472295514512"/>
    <n v="4"/>
    <x v="1"/>
    <s v="April"/>
  </r>
  <r>
    <s v="CMP-01364"/>
    <s v="Q4_Launch_CMP-01364"/>
    <x v="2"/>
    <s v="Launch"/>
    <d v="2023-04-07T00:00:00"/>
    <d v="2023-04-09T00:00:00"/>
    <x v="2"/>
    <n v="34572"/>
    <n v="714"/>
    <n v="922.02"/>
    <n v="80"/>
    <s v="No"/>
    <s v="IG"/>
    <n v="2"/>
    <n v="2.0652551197500868E-2"/>
    <n v="0.11204481792717087"/>
    <n v="1.291344537815126"/>
    <n v="11.52525"/>
    <n v="4"/>
    <x v="1"/>
    <s v="April"/>
  </r>
  <r>
    <s v="CMP-01847"/>
    <s v="Q4_Winstagramter_CMP-01847"/>
    <x v="2"/>
    <s v="Winstagramter"/>
    <d v="2023-04-07T00:00:00"/>
    <d v="2023-04-22T00:00:00"/>
    <x v="3"/>
    <n v="64416"/>
    <n v="2670"/>
    <n v="2865.44"/>
    <n v="173"/>
    <s v="No"/>
    <s v="FB"/>
    <n v="15"/>
    <n v="4.1449329359165427E-2"/>
    <n v="6.4794007490636699E-2"/>
    <n v="1.0731985018726593"/>
    <n v="16.563236994219654"/>
    <n v="4"/>
    <x v="1"/>
    <s v="April"/>
  </r>
  <r>
    <s v="CMP-01634"/>
    <s v="Q1_Winstagramter_CMP-01634"/>
    <x v="3"/>
    <s v="Winstagramter"/>
    <d v="2023-04-07T00:00:00"/>
    <d v="2023-04-12T00:00:00"/>
    <x v="5"/>
    <n v="81435"/>
    <n v="1509"/>
    <n v="2104.5300000000002"/>
    <n v="294"/>
    <s v="No"/>
    <s v="Not specified"/>
    <n v="5"/>
    <n v="1.8530116043470251E-2"/>
    <n v="0.19483101391650098"/>
    <n v="1.3946520874751491"/>
    <n v="7.1582653061224493"/>
    <n v="4"/>
    <x v="1"/>
    <s v="April"/>
  </r>
  <r>
    <s v="CMP-00384"/>
    <s v="Q2_Summer_CMP-00384"/>
    <x v="0"/>
    <s v="Summer"/>
    <d v="2023-04-08T00:00:00"/>
    <d v="2023-05-05T00:00:00"/>
    <x v="5"/>
    <n v="5014"/>
    <n v="163"/>
    <n v="214.27"/>
    <n v="21"/>
    <s v="Yes"/>
    <s v="Not specified"/>
    <n v="27"/>
    <n v="3.2508974870362986E-2"/>
    <n v="0.12883435582822086"/>
    <n v="1.3145398773006136"/>
    <n v="10.203333333333333"/>
    <n v="4"/>
    <x v="1"/>
    <s v="April"/>
  </r>
  <r>
    <s v="CMP-00787"/>
    <s v="Q2_Summer_CMP-00787"/>
    <x v="0"/>
    <s v="Summer"/>
    <d v="2023-04-08T00:00:00"/>
    <d v="2023-04-26T00:00:00"/>
    <x v="1"/>
    <n v="21309"/>
    <n v="912"/>
    <n v="630.4"/>
    <n v="170"/>
    <s v="Yes"/>
    <s v="Email"/>
    <n v="18"/>
    <n v="4.279881740109813E-2"/>
    <n v="0.18640350877192982"/>
    <n v="0.69122807017543852"/>
    <n v="3.7082352941176469"/>
    <n v="4"/>
    <x v="1"/>
    <s v="April"/>
  </r>
  <r>
    <s v="CMP-01729"/>
    <s v="Q2_BlackFriday_CMP-01729"/>
    <x v="0"/>
    <s v="BlackFriday"/>
    <d v="2023-04-08T00:00:00"/>
    <d v="2023-04-22T00:00:00"/>
    <x v="4"/>
    <n v="27292"/>
    <n v="922"/>
    <n v="1498.19"/>
    <n v="109"/>
    <s v="Yes"/>
    <s v="Google Ads"/>
    <n v="14"/>
    <n v="3.3782793492598565E-2"/>
    <n v="0.11822125813449023"/>
    <n v="1.6249349240780913"/>
    <n v="13.744862385321101"/>
    <n v="4"/>
    <x v="1"/>
    <s v="April"/>
  </r>
  <r>
    <s v="CMP-00085"/>
    <s v="Q4_Summer_CMP-00085"/>
    <x v="2"/>
    <s v="Summer"/>
    <d v="2023-04-08T00:00:00"/>
    <d v="2023-04-16T00:00:00"/>
    <x v="1"/>
    <n v="25300"/>
    <n v="1251"/>
    <n v="2298.8000000000002"/>
    <n v="105"/>
    <s v="Yes"/>
    <s v="Email"/>
    <n v="8"/>
    <n v="4.9446640316205534E-2"/>
    <n v="8.3932853717026384E-2"/>
    <n v="1.8375699440447644"/>
    <n v="21.893333333333334"/>
    <n v="4"/>
    <x v="1"/>
    <s v="April"/>
  </r>
  <r>
    <s v="CMP-01597"/>
    <s v="Q4_BlackFriday_CMP-01597"/>
    <x v="2"/>
    <s v="BlackFriday"/>
    <d v="2023-04-08T00:00:00"/>
    <d v="2023-05-04T00:00:00"/>
    <x v="4"/>
    <n v="11616"/>
    <n v="272"/>
    <n v="264.13"/>
    <n v="36"/>
    <s v="No"/>
    <s v="Google Ads"/>
    <n v="26"/>
    <n v="2.3415977961432508E-2"/>
    <n v="0.13235294117647059"/>
    <n v="0.97106617647058824"/>
    <n v="7.3369444444444447"/>
    <n v="4"/>
    <x v="1"/>
    <s v="April"/>
  </r>
  <r>
    <s v="CMP-00017"/>
    <s v="Q1_Winstagramter_CMP-00017"/>
    <x v="3"/>
    <s v="Winstagramter"/>
    <d v="2023-04-09T00:00:00"/>
    <d v="2023-10-01T00:00:00"/>
    <x v="1"/>
    <n v="63955"/>
    <n v="2804"/>
    <n v="3147.37"/>
    <n v="536"/>
    <s v="No"/>
    <s v="Email"/>
    <n v="175"/>
    <n v="4.3843327339535609E-2"/>
    <n v="0.19115549215406563"/>
    <n v="1.1224572039942937"/>
    <n v="5.8719589552238807"/>
    <n v="4"/>
    <x v="1"/>
    <s v="April"/>
  </r>
  <r>
    <s v="CMP-00236"/>
    <s v="Q3_BlackFriday_CMP-00236"/>
    <x v="1"/>
    <s v="BlackFriday"/>
    <d v="2023-04-09T00:00:00"/>
    <d v="2023-04-24T00:00:00"/>
    <x v="3"/>
    <n v="66733"/>
    <n v="2621"/>
    <n v="2740.82"/>
    <n v="0"/>
    <s v="No"/>
    <s v="FB"/>
    <n v="15"/>
    <n v="3.9275920459143153E-2"/>
    <n v="0"/>
    <n v="1.0457153758107594"/>
    <s v="0"/>
    <n v="4"/>
    <x v="1"/>
    <s v="April"/>
  </r>
  <r>
    <s v="CMP-01221"/>
    <s v="Q3_Launch_CMP-01221"/>
    <x v="1"/>
    <s v="Launch"/>
    <d v="2023-04-09T00:00:00"/>
    <d v="2023-05-07T00:00:00"/>
    <x v="5"/>
    <n v="40282"/>
    <n v="442"/>
    <n v="425.74"/>
    <n v="71"/>
    <s v="Yes"/>
    <s v="Not specified"/>
    <n v="28"/>
    <n v="1.0972642867782136E-2"/>
    <n v="0.16063348416289594"/>
    <n v="0.96321266968325792"/>
    <n v="5.9963380281690144"/>
    <n v="4"/>
    <x v="1"/>
    <s v="April"/>
  </r>
  <r>
    <s v="CMP-00713"/>
    <s v="Q4_BlackFriday_CMP-00713"/>
    <x v="2"/>
    <s v="BlackFriday"/>
    <d v="2023-04-09T00:00:00"/>
    <d v="2023-04-12T00:00:00"/>
    <x v="2"/>
    <n v="83848"/>
    <n v="3131"/>
    <n v="4561.41"/>
    <n v="177"/>
    <s v="Yes"/>
    <s v="IG"/>
    <n v="3"/>
    <n v="3.7341379639347388E-2"/>
    <n v="5.6531459597572657E-2"/>
    <n v="1.4568540402427339"/>
    <n v="25.770677966101694"/>
    <n v="4"/>
    <x v="1"/>
    <s v="April"/>
  </r>
  <r>
    <s v="CMP-01470"/>
    <s v="Q2_Winstagramter_CMP-01470"/>
    <x v="0"/>
    <s v="Winstagramter"/>
    <d v="2023-04-10T00:00:00"/>
    <d v="2023-04-21T00:00:00"/>
    <x v="2"/>
    <n v="35008"/>
    <n v="368"/>
    <n v="689.53"/>
    <n v="28"/>
    <s v="No"/>
    <s v="IG"/>
    <n v="11"/>
    <n v="1.0511882998171846E-2"/>
    <n v="7.6086956521739135E-2"/>
    <n v="1.8737228260869565"/>
    <n v="24.626071428571429"/>
    <n v="4"/>
    <x v="1"/>
    <s v="April"/>
  </r>
  <r>
    <s v="CMP-00937"/>
    <s v="Q3_Launch_CMP-00937"/>
    <x v="1"/>
    <s v="Launch"/>
    <d v="2023-04-10T00:00:00"/>
    <d v="2023-05-07T00:00:00"/>
    <x v="0"/>
    <n v="80714"/>
    <n v="3868"/>
    <n v="5510.52"/>
    <n v="717"/>
    <s v="No"/>
    <s v="TikTok"/>
    <n v="27"/>
    <n v="4.7922293530242584E-2"/>
    <n v="0.18536711478800413"/>
    <n v="1.42464322647363"/>
    <n v="7.6855230125523022"/>
    <n v="4"/>
    <x v="1"/>
    <s v="April"/>
  </r>
  <r>
    <s v="CMP-00162"/>
    <s v="Q4_Winstagramter_CMP-00162"/>
    <x v="2"/>
    <s v="Winstagramter"/>
    <d v="2023-04-10T00:00:00"/>
    <d v="2023-05-07T00:00:00"/>
    <x v="4"/>
    <n v="65044"/>
    <n v="2202"/>
    <n v="1863.31"/>
    <n v="261"/>
    <s v="No"/>
    <s v="Google Ads"/>
    <n v="27"/>
    <n v="3.3854006518664291E-2"/>
    <n v="0.11852861035422343"/>
    <n v="0.84618982742960946"/>
    <n v="7.1391187739463602"/>
    <n v="4"/>
    <x v="1"/>
    <s v="April"/>
  </r>
  <r>
    <s v="CMP-00240"/>
    <s v="Q4_Summer_CMP-00240"/>
    <x v="2"/>
    <s v="Summer"/>
    <d v="2023-04-10T00:00:00"/>
    <d v="2023-04-15T00:00:00"/>
    <x v="0"/>
    <n v="23671"/>
    <n v="962"/>
    <n v="1912.13"/>
    <n v="80"/>
    <s v="Yes"/>
    <s v="TikTok"/>
    <n v="5"/>
    <n v="4.0640446115499981E-2"/>
    <n v="8.3160083160083165E-2"/>
    <n v="1.9876611226611227"/>
    <n v="23.901625000000003"/>
    <n v="4"/>
    <x v="1"/>
    <s v="April"/>
  </r>
  <r>
    <s v="CMP-01406"/>
    <s v="Q4_Launch_CMP-01406"/>
    <x v="2"/>
    <s v="Launch"/>
    <d v="2023-04-10T00:00:00"/>
    <d v="2023-04-13T00:00:00"/>
    <x v="3"/>
    <n v="79411"/>
    <n v="3939"/>
    <n v="3339.33"/>
    <n v="288"/>
    <s v="Yes"/>
    <s v="FB"/>
    <n v="3"/>
    <n v="4.9602699877850674E-2"/>
    <n v="7.311500380807312E-2"/>
    <n v="0.84776085300837778"/>
    <n v="11.594895833333332"/>
    <n v="4"/>
    <x v="1"/>
    <s v="April"/>
  </r>
  <r>
    <s v="CMP-01922"/>
    <s v="Q4_Summer_CMP-01922"/>
    <x v="2"/>
    <s v="Summer"/>
    <d v="2023-04-10T00:00:00"/>
    <d v="2023-04-14T00:00:00"/>
    <x v="4"/>
    <n v="53269"/>
    <n v="579"/>
    <n v="545.66"/>
    <n v="56"/>
    <s v="Yes"/>
    <s v="Google Ads"/>
    <n v="4"/>
    <n v="1.0869361166907582E-2"/>
    <n v="9.6718480138169263E-2"/>
    <n v="0.94241796200345418"/>
    <n v="9.7439285714285706"/>
    <n v="4"/>
    <x v="1"/>
    <s v="April"/>
  </r>
  <r>
    <s v="CMP-01058"/>
    <s v="Q1_Winstagramter_CMP-01058"/>
    <x v="3"/>
    <s v="Winstagramter"/>
    <d v="2023-04-11T00:00:00"/>
    <d v="2023-04-20T00:00:00"/>
    <x v="3"/>
    <n v="3219"/>
    <n v="33"/>
    <n v="29.28"/>
    <n v="4"/>
    <s v="Yes"/>
    <s v="FB"/>
    <n v="9"/>
    <n v="1.0251630941286114E-2"/>
    <n v="0.12121212121212122"/>
    <n v="0.88727272727272732"/>
    <n v="7.32"/>
    <n v="4"/>
    <x v="1"/>
    <s v="April"/>
  </r>
  <r>
    <s v="CMP-01498"/>
    <s v="Q1_BlackFriday_CMP-01498"/>
    <x v="3"/>
    <s v="BlackFriday"/>
    <d v="2023-04-11T00:00:00"/>
    <d v="2023-04-16T00:00:00"/>
    <x v="3"/>
    <n v="45623"/>
    <n v="1395"/>
    <n v="1936.72"/>
    <n v="82"/>
    <s v="No"/>
    <s v="FB"/>
    <n v="5"/>
    <n v="3.0576682813493194E-2"/>
    <n v="5.8781362007168457E-2"/>
    <n v="1.3883297491039426"/>
    <n v="23.618536585365852"/>
    <n v="4"/>
    <x v="1"/>
    <s v="April"/>
  </r>
  <r>
    <s v="CMP-00159"/>
    <s v="Q1_Winstagramter_CMP-00159"/>
    <x v="3"/>
    <s v="Winstagramter"/>
    <d v="2023-04-12T00:00:00"/>
    <d v="2023-12-05T00:00:00"/>
    <x v="4"/>
    <n v="94426"/>
    <n v="3072"/>
    <n v="4273.53"/>
    <n v="201"/>
    <s v="Yes"/>
    <s v="Google Ads"/>
    <n v="237"/>
    <n v="3.2533412407599605E-2"/>
    <n v="6.54296875E-2"/>
    <n v="1.391123046875"/>
    <n v="21.261343283582089"/>
    <n v="4"/>
    <x v="1"/>
    <s v="April"/>
  </r>
  <r>
    <s v="CMP-01977"/>
    <s v="Q3_Summer_CMP-01977"/>
    <x v="1"/>
    <s v="Summer"/>
    <d v="2023-04-12T00:00:00"/>
    <d v="2023-05-10T00:00:00"/>
    <x v="2"/>
    <n v="82941"/>
    <n v="1061"/>
    <n v="1790.96"/>
    <n v="64"/>
    <s v="No"/>
    <s v="IG"/>
    <n v="28"/>
    <n v="1.2792225799061984E-2"/>
    <n v="6.0320452403393024E-2"/>
    <n v="1.6879924599434497"/>
    <n v="27.983750000000001"/>
    <n v="4"/>
    <x v="1"/>
    <s v="April"/>
  </r>
  <r>
    <s v="CMP-00047"/>
    <s v="Q4_BlackFriday_CMP-00047"/>
    <x v="2"/>
    <s v="BlackFriday"/>
    <d v="2023-04-12T00:00:00"/>
    <d v="2023-04-19T00:00:00"/>
    <x v="4"/>
    <n v="9792"/>
    <n v="136"/>
    <n v="235.62"/>
    <n v="13"/>
    <s v="Yes"/>
    <s v="Google Ads"/>
    <n v="7"/>
    <n v="1.3888888888888888E-2"/>
    <n v="9.5588235294117641E-2"/>
    <n v="1.7324999999999999"/>
    <n v="18.124615384615385"/>
    <n v="4"/>
    <x v="1"/>
    <s v="April"/>
  </r>
  <r>
    <s v="CMP-00265"/>
    <s v="Q4_Launch_CMP-00265"/>
    <x v="2"/>
    <s v="Launch"/>
    <d v="2023-04-12T00:00:00"/>
    <d v="2023-05-09T00:00:00"/>
    <x v="4"/>
    <n v="2802"/>
    <n v="119"/>
    <n v="190.92"/>
    <n v="11"/>
    <s v="Yes"/>
    <s v="Google Ads"/>
    <n v="27"/>
    <n v="4.246966452533904E-2"/>
    <n v="9.2436974789915971E-2"/>
    <n v="1.6043697478991596"/>
    <n v="17.356363636363636"/>
    <n v="4"/>
    <x v="1"/>
    <s v="April"/>
  </r>
  <r>
    <s v="CMP-01467"/>
    <s v="Q4_Launch_CMP-01467"/>
    <x v="2"/>
    <s v="Launch"/>
    <d v="2023-04-12T00:00:00"/>
    <d v="2023-05-11T00:00:00"/>
    <x v="2"/>
    <n v="36111"/>
    <n v="1689"/>
    <n v="1641.61"/>
    <n v="150"/>
    <s v="Yes"/>
    <s v="IG"/>
    <n v="29"/>
    <n v="4.6772451607543411E-2"/>
    <n v="8.8809946714031973E-2"/>
    <n v="0.97194197750148015"/>
    <n v="10.944066666666666"/>
    <n v="4"/>
    <x v="1"/>
    <s v="April"/>
  </r>
  <r>
    <s v="CMP-01588"/>
    <s v="Q4_Launch_CMP-01588"/>
    <x v="2"/>
    <s v="Launch"/>
    <d v="2023-04-12T00:00:00"/>
    <d v="2023-09-04T00:00:00"/>
    <x v="1"/>
    <n v="52184"/>
    <n v="1859"/>
    <n v="2600.85"/>
    <n v="303"/>
    <s v="Yes"/>
    <s v="Email"/>
    <n v="145"/>
    <n v="3.5623946037099494E-2"/>
    <n v="0.16299085529854759"/>
    <n v="1.3990586336740183"/>
    <n v="8.5836633663366335"/>
    <n v="4"/>
    <x v="1"/>
    <s v="April"/>
  </r>
  <r>
    <s v="CMP-00356"/>
    <s v="Q1_Winstagramter_CMP-00356"/>
    <x v="3"/>
    <s v="Winstagramter"/>
    <d v="2023-04-13T00:00:00"/>
    <d v="2023-04-30T00:00:00"/>
    <x v="2"/>
    <n v="44484"/>
    <n v="1468"/>
    <n v="1959.32"/>
    <n v="76"/>
    <s v="No"/>
    <s v="IG"/>
    <n v="17"/>
    <n v="3.3000629439798576E-2"/>
    <n v="5.1771117166212535E-2"/>
    <n v="1.3346866485013624"/>
    <n v="25.780526315789473"/>
    <n v="4"/>
    <x v="1"/>
    <s v="April"/>
  </r>
  <r>
    <s v="CMP-01575"/>
    <s v="Q1_Launch_CMP-01575"/>
    <x v="3"/>
    <s v="Launch"/>
    <d v="2023-04-13T00:00:00"/>
    <d v="2023-04-23T00:00:00"/>
    <x v="4"/>
    <n v="67081"/>
    <n v="2255"/>
    <n v="3875.19"/>
    <n v="325"/>
    <s v="No"/>
    <s v="Google Ads"/>
    <n v="10"/>
    <n v="3.3616076087118557E-2"/>
    <n v="0.14412416851441243"/>
    <n v="1.7184878048780488"/>
    <n v="11.923661538461539"/>
    <n v="4"/>
    <x v="1"/>
    <s v="April"/>
  </r>
  <r>
    <s v="CMP-00561"/>
    <s v="Q2_Winstagramter_CMP-00561"/>
    <x v="0"/>
    <s v="Winstagramter"/>
    <d v="2023-04-13T00:00:00"/>
    <d v="2023-05-12T00:00:00"/>
    <x v="1"/>
    <n v="16305"/>
    <n v="737"/>
    <n v="684.34"/>
    <n v="136"/>
    <s v="Yes"/>
    <s v="Email"/>
    <n v="29"/>
    <n v="4.5200858632321372E-2"/>
    <n v="0.18453188602442333"/>
    <n v="0.9285481682496608"/>
    <n v="5.0319117647058826"/>
    <n v="4"/>
    <x v="1"/>
    <s v="April"/>
  </r>
  <r>
    <s v="CMP-00594"/>
    <s v="Q2_BlackFriday_CMP-00594"/>
    <x v="0"/>
    <s v="BlackFriday"/>
    <d v="2023-04-13T00:00:00"/>
    <d v="2023-05-08T00:00:00"/>
    <x v="2"/>
    <n v="33479"/>
    <n v="373"/>
    <n v="400.37"/>
    <n v="35"/>
    <s v="No"/>
    <s v="IG"/>
    <n v="25"/>
    <n v="1.1141312464530003E-2"/>
    <n v="9.3833780160857902E-2"/>
    <n v="1.0733780160857909"/>
    <n v="11.439142857142857"/>
    <n v="4"/>
    <x v="1"/>
    <s v="April"/>
  </r>
  <r>
    <s v="CMP-01269"/>
    <s v="Q2_BlackFriday_CMP-01269"/>
    <x v="0"/>
    <s v="BlackFriday"/>
    <d v="2023-04-13T00:00:00"/>
    <d v="2023-05-02T00:00:00"/>
    <x v="2"/>
    <n v="21806"/>
    <n v="568"/>
    <n v="825.93"/>
    <n v="30"/>
    <s v="Yes"/>
    <s v="IG"/>
    <n v="19"/>
    <n v="2.6047876731174906E-2"/>
    <n v="5.2816901408450703E-2"/>
    <n v="1.4541021126760563"/>
    <n v="27.530999999999999"/>
    <n v="4"/>
    <x v="1"/>
    <s v="April"/>
  </r>
  <r>
    <s v="CMP-01963"/>
    <s v="Q2_BlackFriday_CMP-01963"/>
    <x v="0"/>
    <s v="BlackFriday"/>
    <d v="2023-04-13T00:00:00"/>
    <d v="2023-04-14T00:00:00"/>
    <x v="5"/>
    <n v="91827"/>
    <n v="1072"/>
    <n v="1558.54"/>
    <n v="208"/>
    <s v="Yes"/>
    <s v="Not specified"/>
    <n v="1"/>
    <n v="1.1674126346281595E-2"/>
    <n v="0.19402985074626866"/>
    <n v="1.4538619402985073"/>
    <n v="7.4929807692307691"/>
    <n v="4"/>
    <x v="1"/>
    <s v="April"/>
  </r>
  <r>
    <s v="CMP-00521"/>
    <s v="Q3_Launch_CMP-00521"/>
    <x v="1"/>
    <s v="Launch"/>
    <d v="2023-04-13T00:00:00"/>
    <d v="2023-04-25T00:00:00"/>
    <x v="2"/>
    <n v="42975"/>
    <n v="451"/>
    <n v="797.05"/>
    <n v="0"/>
    <s v="Yes"/>
    <s v="IG"/>
    <n v="12"/>
    <n v="1.0494473531122745E-2"/>
    <n v="0"/>
    <n v="1.7672949002217293"/>
    <s v="0"/>
    <n v="4"/>
    <x v="1"/>
    <s v="April"/>
  </r>
  <r>
    <s v="CMP-00883"/>
    <s v="Q3_Launch_CMP-00883"/>
    <x v="1"/>
    <s v="Launch"/>
    <d v="2023-04-13T00:00:00"/>
    <d v="2023-05-01T00:00:00"/>
    <x v="4"/>
    <n v="93705"/>
    <n v="3558"/>
    <n v="6985.1"/>
    <n v="652"/>
    <s v="Yes"/>
    <s v="Google Ads"/>
    <n v="18"/>
    <n v="3.7970225708340001E-2"/>
    <n v="0.18324901630129287"/>
    <n v="1.9632096683530074"/>
    <n v="10.71334355828221"/>
    <n v="4"/>
    <x v="1"/>
    <s v="April"/>
  </r>
  <r>
    <s v="CMP-01907"/>
    <s v="Q3_Launch_CMP-01907"/>
    <x v="1"/>
    <s v="Launch"/>
    <d v="2023-04-13T00:00:00"/>
    <d v="2023-07-04T00:00:00"/>
    <x v="3"/>
    <n v="7154"/>
    <n v="148"/>
    <n v="130.91999999999999"/>
    <n v="15"/>
    <s v="Yes"/>
    <s v="FB"/>
    <n v="82"/>
    <n v="2.0687727145652781E-2"/>
    <n v="0.10135135135135136"/>
    <n v="0.88459459459459455"/>
    <n v="8.7279999999999998"/>
    <n v="4"/>
    <x v="1"/>
    <s v="April"/>
  </r>
  <r>
    <s v="CMP-01075"/>
    <s v="Q2_Winstagramter_CMP-01075"/>
    <x v="0"/>
    <s v="Winstagramter"/>
    <d v="2023-04-14T00:00:00"/>
    <d v="2023-04-30T00:00:00"/>
    <x v="2"/>
    <n v="13219"/>
    <n v="447"/>
    <n v="334.85"/>
    <n v="61"/>
    <s v="Yes"/>
    <s v="IG"/>
    <n v="16"/>
    <n v="3.3814963310386567E-2"/>
    <n v="0.13646532438478748"/>
    <n v="0.7491051454138703"/>
    <n v="5.4893442622950825"/>
    <n v="4"/>
    <x v="1"/>
    <s v="April"/>
  </r>
  <r>
    <s v="CMP-01568"/>
    <s v="Q2_BlackFriday_CMP-01568"/>
    <x v="0"/>
    <s v="BlackFriday"/>
    <d v="2023-04-14T00:00:00"/>
    <d v="2023-04-23T00:00:00"/>
    <x v="3"/>
    <n v="28345"/>
    <n v="808"/>
    <n v="1065.1300000000001"/>
    <n v="53"/>
    <s v="Yes"/>
    <s v="FB"/>
    <n v="9"/>
    <n v="2.8505909331451754E-2"/>
    <n v="6.5594059405940597E-2"/>
    <n v="1.3182301980198021"/>
    <n v="20.09679245283019"/>
    <n v="4"/>
    <x v="1"/>
    <s v="April"/>
  </r>
  <r>
    <s v="CMP-01950"/>
    <s v="Q2_Summer_CMP-01950"/>
    <x v="0"/>
    <s v="Summer"/>
    <d v="2023-04-14T00:00:00"/>
    <d v="2023-05-11T00:00:00"/>
    <x v="2"/>
    <n v="66641"/>
    <n v="1005"/>
    <n v="1069.0999999999999"/>
    <n v="165"/>
    <s v="No"/>
    <s v="IG"/>
    <n v="27"/>
    <n v="1.5080806110352486E-2"/>
    <n v="0.16417910447761194"/>
    <n v="1.0637810945273631"/>
    <n v="6.4793939393939386"/>
    <n v="4"/>
    <x v="1"/>
    <s v="April"/>
  </r>
  <r>
    <s v="CMP-01530"/>
    <s v="Q3_Launch_CMP-01530"/>
    <x v="1"/>
    <s v="Launch"/>
    <d v="2023-04-14T00:00:00"/>
    <d v="2023-04-28T00:00:00"/>
    <x v="3"/>
    <n v="12122"/>
    <n v="232"/>
    <n v="300.83"/>
    <n v="46"/>
    <s v="Yes"/>
    <s v="FB"/>
    <n v="14"/>
    <n v="1.9138755980861243E-2"/>
    <n v="0.19827586206896552"/>
    <n v="1.2966810344827586"/>
    <n v="6.5397826086956519"/>
    <n v="4"/>
    <x v="1"/>
    <s v="April"/>
  </r>
  <r>
    <s v="CMP-00560"/>
    <s v="Q4_Winstagramter_CMP-00560"/>
    <x v="2"/>
    <s v="Winstagramter"/>
    <d v="2023-04-14T00:00:00"/>
    <d v="2023-05-12T00:00:00"/>
    <x v="0"/>
    <n v="89668"/>
    <n v="3556"/>
    <n v="3466.67"/>
    <n v="641"/>
    <s v="No"/>
    <s v="TikTok"/>
    <n v="28"/>
    <n v="3.9657402863897934E-2"/>
    <n v="0.18025871766029247"/>
    <n v="0.97487907761529813"/>
    <n v="5.4082215288611541"/>
    <n v="4"/>
    <x v="1"/>
    <s v="April"/>
  </r>
  <r>
    <s v="CMP-01599"/>
    <s v="Q4_Launch_CMP-01599"/>
    <x v="2"/>
    <s v="Launch"/>
    <d v="2023-04-14T00:00:00"/>
    <d v="2023-05-12T00:00:00"/>
    <x v="3"/>
    <n v="25574"/>
    <n v="670"/>
    <n v="552.66"/>
    <n v="0"/>
    <s v="Yes"/>
    <s v="FB"/>
    <n v="28"/>
    <n v="2.6198482834128411E-2"/>
    <n v="0"/>
    <n v="0.82486567164179103"/>
    <s v="0"/>
    <n v="4"/>
    <x v="1"/>
    <s v="April"/>
  </r>
  <r>
    <s v="CMP-00674"/>
    <s v="Q2_BlackFriday_CMP-00674"/>
    <x v="0"/>
    <s v="BlackFriday"/>
    <d v="2023-04-15T00:00:00"/>
    <d v="2023-04-24T00:00:00"/>
    <x v="4"/>
    <n v="84285"/>
    <n v="1772"/>
    <n v="1673.81"/>
    <n v="317"/>
    <s v="No"/>
    <s v="Google Ads"/>
    <n v="9"/>
    <n v="2.1023906982262561E-2"/>
    <n v="0.17889390519187359"/>
    <n v="0.94458803611738151"/>
    <n v="5.2801577287066248"/>
    <n v="4"/>
    <x v="1"/>
    <s v="April"/>
  </r>
  <r>
    <s v="CMP-00450"/>
    <s v="Q3_Summer_CMP-00450"/>
    <x v="1"/>
    <s v="Summer"/>
    <d v="2023-04-15T00:00:00"/>
    <d v="2023-04-27T00:00:00"/>
    <x v="0"/>
    <n v="95476"/>
    <n v="1246"/>
    <n v="1600.75"/>
    <n v="80"/>
    <s v="Yes"/>
    <s v="TikTok"/>
    <n v="12"/>
    <n v="1.305040010054883E-2"/>
    <n v="6.4205457463884424E-2"/>
    <n v="1.2847110754414126"/>
    <n v="20.009374999999999"/>
    <n v="4"/>
    <x v="1"/>
    <s v="April"/>
  </r>
  <r>
    <s v="CMP-00800"/>
    <s v="Q3_Summer_CMP-00800"/>
    <x v="1"/>
    <s v="Summer"/>
    <d v="2023-04-15T00:00:00"/>
    <d v="2023-05-10T00:00:00"/>
    <x v="1"/>
    <n v="30189"/>
    <n v="1505"/>
    <n v="2064.5500000000002"/>
    <n v="101"/>
    <s v="Yes"/>
    <s v="Email"/>
    <n v="25"/>
    <n v="4.9852595316174766E-2"/>
    <n v="6.7109634551495018E-2"/>
    <n v="1.371794019933555"/>
    <n v="20.441089108910894"/>
    <n v="4"/>
    <x v="1"/>
    <s v="April"/>
  </r>
  <r>
    <s v="CMP-01858"/>
    <s v="Q3_Launch_CMP-01858"/>
    <x v="1"/>
    <s v="Launch"/>
    <d v="2023-04-15T00:00:00"/>
    <d v="2023-05-09T00:00:00"/>
    <x v="1"/>
    <n v="83711"/>
    <n v="1690"/>
    <n v="2082.38"/>
    <n v="203"/>
    <s v="No"/>
    <s v="Email"/>
    <n v="24"/>
    <n v="2.0188505692202936E-2"/>
    <n v="0.12011834319526628"/>
    <n v="1.2321775147928995"/>
    <n v="10.258029556650246"/>
    <n v="4"/>
    <x v="1"/>
    <s v="April"/>
  </r>
  <r>
    <s v="CMP-01551"/>
    <s v="Q4_Winstagramter_CMP-01551"/>
    <x v="2"/>
    <s v="Winstagramter"/>
    <d v="2023-04-15T00:00:00"/>
    <d v="2023-04-22T00:00:00"/>
    <x v="5"/>
    <n v="58132"/>
    <n v="1174"/>
    <n v="1924.15"/>
    <n v="182"/>
    <s v="Yes"/>
    <s v="Not specified"/>
    <n v="7"/>
    <n v="2.0195417326085461E-2"/>
    <n v="0.15502555366269166"/>
    <n v="1.6389693356047701"/>
    <n v="10.572252747252747"/>
    <n v="4"/>
    <x v="1"/>
    <s v="April"/>
  </r>
  <r>
    <s v="CMP-00919"/>
    <s v="Q2_Summer_CMP-00919"/>
    <x v="0"/>
    <s v="Summer"/>
    <d v="2023-04-16T00:00:00"/>
    <d v="2023-04-20T00:00:00"/>
    <x v="0"/>
    <n v="52745"/>
    <n v="1059"/>
    <n v="1784.44"/>
    <n v="82"/>
    <s v="Yes"/>
    <s v="TikTok"/>
    <n v="4"/>
    <n v="2.0077732486491612E-2"/>
    <n v="7.7431539187913123E-2"/>
    <n v="1.6850236071765818"/>
    <n v="21.761463414634147"/>
    <n v="4"/>
    <x v="1"/>
    <s v="April"/>
  </r>
  <r>
    <s v="CMP-00955"/>
    <s v="Q2_BlackFriday_CMP-00955"/>
    <x v="0"/>
    <s v="BlackFriday"/>
    <d v="2023-04-16T00:00:00"/>
    <d v="2023-04-22T00:00:00"/>
    <x v="1"/>
    <n v="85717"/>
    <n v="2928"/>
    <n v="4530.49"/>
    <n v="173"/>
    <s v="Yes"/>
    <s v="Email"/>
    <n v="6"/>
    <n v="3.4158918300920472E-2"/>
    <n v="5.9084699453551916E-2"/>
    <n v="1.5472984972677595"/>
    <n v="26.187803468208092"/>
    <n v="4"/>
    <x v="1"/>
    <s v="April"/>
  </r>
  <r>
    <s v="CMP-01299"/>
    <s v="Q3_Summer_CMP-01299"/>
    <x v="1"/>
    <s v="Summer"/>
    <d v="2023-04-16T00:00:00"/>
    <d v="2023-05-04T00:00:00"/>
    <x v="1"/>
    <n v="39565"/>
    <n v="579"/>
    <n v="336.2"/>
    <n v="35"/>
    <s v="No"/>
    <s v="Email"/>
    <n v="18"/>
    <n v="1.4634146341463415E-2"/>
    <n v="6.0449050086355788E-2"/>
    <n v="0.58065630397236612"/>
    <n v="9.605714285714285"/>
    <n v="4"/>
    <x v="1"/>
    <s v="April"/>
  </r>
  <r>
    <s v="CMP-00907"/>
    <s v="Q4_BlackFriday_CMP-00907"/>
    <x v="2"/>
    <s v="BlackFriday"/>
    <d v="2023-04-16T00:00:00"/>
    <d v="2023-04-25T00:00:00"/>
    <x v="5"/>
    <n v="12314"/>
    <n v="285"/>
    <n v="455.6"/>
    <n v="55"/>
    <s v="No"/>
    <s v="Not specified"/>
    <n v="9"/>
    <n v="2.3144388500893291E-2"/>
    <n v="0.19298245614035087"/>
    <n v="1.5985964912280703"/>
    <n v="8.2836363636363632"/>
    <n v="4"/>
    <x v="1"/>
    <s v="April"/>
  </r>
  <r>
    <s v="CMP-01837"/>
    <s v="Q4_Winstagramter_CMP-01837"/>
    <x v="2"/>
    <s v="Winstagramter"/>
    <d v="2023-04-16T00:00:00"/>
    <d v="2023-05-06T00:00:00"/>
    <x v="2"/>
    <n v="45413"/>
    <n v="1307"/>
    <n v="1521.67"/>
    <n v="185"/>
    <s v="Yes"/>
    <s v="IG"/>
    <n v="20"/>
    <n v="2.8780305198951844E-2"/>
    <n v="0.14154552410099464"/>
    <n v="1.16424636572303"/>
    <n v="8.2252432432432432"/>
    <n v="4"/>
    <x v="1"/>
    <s v="April"/>
  </r>
  <r>
    <s v="CMP-01739"/>
    <s v="Q1_BlackFriday_CMP-01739"/>
    <x v="3"/>
    <s v="BlackFriday"/>
    <d v="2023-04-17T00:00:00"/>
    <d v="2023-04-18T00:00:00"/>
    <x v="0"/>
    <n v="69344"/>
    <n v="2645"/>
    <n v="2576.2199999999998"/>
    <n v="286"/>
    <s v="Yes"/>
    <s v="TikTok"/>
    <n v="1"/>
    <n v="3.8143170281495158E-2"/>
    <n v="0.10812854442344046"/>
    <n v="0.97399621928166347"/>
    <n v="9.0077622377622379"/>
    <n v="4"/>
    <x v="1"/>
    <s v="April"/>
  </r>
  <r>
    <s v="CMP-01924"/>
    <s v="Q2_Summer_CMP-01924"/>
    <x v="0"/>
    <s v="Summer"/>
    <d v="2023-04-17T00:00:00"/>
    <d v="2023-05-09T00:00:00"/>
    <x v="2"/>
    <n v="75319"/>
    <n v="2851"/>
    <n v="4662.5"/>
    <n v="498"/>
    <s v="Yes"/>
    <s v="IG"/>
    <n v="22"/>
    <n v="3.7852334736255128E-2"/>
    <n v="0.17467555243774113"/>
    <n v="1.6353910908453175"/>
    <n v="9.3624497991967868"/>
    <n v="4"/>
    <x v="1"/>
    <s v="April"/>
  </r>
  <r>
    <s v="CMP-01939"/>
    <s v="Q2_Summer_CMP-01939"/>
    <x v="0"/>
    <s v="Summer"/>
    <d v="2023-04-17T00:00:00"/>
    <d v="2023-05-16T00:00:00"/>
    <x v="4"/>
    <n v="89652"/>
    <n v="2360"/>
    <n v="2959.74"/>
    <n v="135"/>
    <s v="No"/>
    <s v="Google Ads"/>
    <n v="29"/>
    <n v="2.6324008387989112E-2"/>
    <n v="5.7203389830508475E-2"/>
    <n v="1.2541271186440677"/>
    <n v="21.923999999999999"/>
    <n v="4"/>
    <x v="1"/>
    <s v="April"/>
  </r>
  <r>
    <s v="CMP-00841"/>
    <s v="Q3_Winstagramter_CMP-00841"/>
    <x v="1"/>
    <s v="Winstagramter"/>
    <d v="2023-04-17T00:00:00"/>
    <d v="2023-04-30T00:00:00"/>
    <x v="0"/>
    <n v="38626"/>
    <n v="550"/>
    <n v="388.86"/>
    <n v="81"/>
    <s v="No"/>
    <s v="TikTok"/>
    <n v="13"/>
    <n v="1.4239113550458241E-2"/>
    <n v="0.14727272727272728"/>
    <n v="0.70701818181818188"/>
    <n v="4.800740740740741"/>
    <n v="4"/>
    <x v="1"/>
    <s v="April"/>
  </r>
  <r>
    <s v="CMP-01898"/>
    <s v="Q4_Launch_CMP-01898"/>
    <x v="2"/>
    <s v="Launch"/>
    <d v="2023-04-17T00:00:00"/>
    <d v="2023-04-22T00:00:00"/>
    <x v="5"/>
    <n v="30759"/>
    <n v="1392"/>
    <n v="2503.31"/>
    <n v="0"/>
    <s v="Yes"/>
    <s v="Not specified"/>
    <n v="5"/>
    <n v="4.5255047303228324E-2"/>
    <n v="0"/>
    <n v="1.7983548850574713"/>
    <s v="0"/>
    <n v="4"/>
    <x v="1"/>
    <s v="April"/>
  </r>
  <r>
    <s v="CMP-01562"/>
    <s v="Q2_Launch_CMP-01562"/>
    <x v="0"/>
    <s v="Launch"/>
    <d v="2023-04-17T00:00:00"/>
    <d v="2023-11-04T00:00:00"/>
    <x v="0"/>
    <n v="95071"/>
    <n v="1131"/>
    <n v="1542.32"/>
    <n v="168"/>
    <s v="Yes"/>
    <s v="TikTok"/>
    <n v="201"/>
    <n v="1.1896372184998579E-2"/>
    <n v="0.14854111405835543"/>
    <n v="1.3636781609195401"/>
    <n v="9.18047619047619"/>
    <n v="4"/>
    <x v="1"/>
    <s v="April"/>
  </r>
  <r>
    <s v="CMP-00108"/>
    <s v="Q1_Launch_CMP-00108"/>
    <x v="3"/>
    <s v="Launch"/>
    <d v="2023-04-18T00:00:00"/>
    <d v="2023-05-07T00:00:00"/>
    <x v="4"/>
    <n v="34159"/>
    <n v="522"/>
    <n v="714.23"/>
    <n v="47"/>
    <s v="No"/>
    <s v="Google Ads"/>
    <n v="19"/>
    <n v="1.5281477795017418E-2"/>
    <n v="9.0038314176245207E-2"/>
    <n v="1.368256704980843"/>
    <n v="15.196382978723404"/>
    <n v="4"/>
    <x v="1"/>
    <s v="April"/>
  </r>
  <r>
    <s v="CMP-01434"/>
    <s v="Q1_Summer_CMP-01434"/>
    <x v="3"/>
    <s v="Summer"/>
    <d v="2023-04-18T00:00:00"/>
    <d v="2023-05-07T00:00:00"/>
    <x v="3"/>
    <n v="88410"/>
    <n v="2642"/>
    <n v="3549.91"/>
    <n v="370"/>
    <s v="No"/>
    <s v="FB"/>
    <n v="19"/>
    <n v="2.9883497341929646E-2"/>
    <n v="0.1400454201362604"/>
    <n v="1.3436449659348977"/>
    <n v="9.5943513513513512"/>
    <n v="4"/>
    <x v="1"/>
    <s v="April"/>
  </r>
  <r>
    <s v="CMP-01808"/>
    <s v="Q2_BlackFriday_CMP-01808"/>
    <x v="0"/>
    <s v="BlackFriday"/>
    <d v="2023-04-18T00:00:00"/>
    <d v="2023-04-30T00:00:00"/>
    <x v="4"/>
    <n v="45064"/>
    <n v="1376"/>
    <n v="2464.42"/>
    <n v="258"/>
    <s v="No"/>
    <s v="Google Ads"/>
    <n v="12"/>
    <n v="3.0534351145038167E-2"/>
    <n v="0.1875"/>
    <n v="1.7910029069767441"/>
    <n v="9.5520155038759693"/>
    <n v="4"/>
    <x v="1"/>
    <s v="April"/>
  </r>
  <r>
    <s v="CMP-00386"/>
    <s v="Q1_Summer_CMP-00386"/>
    <x v="3"/>
    <s v="Summer"/>
    <d v="2023-04-19T00:00:00"/>
    <d v="2023-05-02T00:00:00"/>
    <x v="0"/>
    <n v="19070"/>
    <n v="352"/>
    <n v="406.02"/>
    <n v="27"/>
    <s v="Yes"/>
    <s v="TikTok"/>
    <n v="13"/>
    <n v="1.8458311484006291E-2"/>
    <n v="7.6704545454545456E-2"/>
    <n v="1.153465909090909"/>
    <n v="15.037777777777777"/>
    <n v="4"/>
    <x v="1"/>
    <s v="April"/>
  </r>
  <r>
    <s v="CMP-00974"/>
    <s v="Q2_Winstagramter_CMP-00974"/>
    <x v="0"/>
    <s v="Winstagramter"/>
    <d v="2023-04-19T00:00:00"/>
    <d v="2023-05-13T00:00:00"/>
    <x v="0"/>
    <n v="4596"/>
    <n v="86"/>
    <n v="84.17"/>
    <n v="4"/>
    <s v="No"/>
    <s v="TikTok"/>
    <n v="24"/>
    <n v="1.8711923411662314E-2"/>
    <n v="4.6511627906976744E-2"/>
    <n v="0.97872093023255813"/>
    <n v="21.0425"/>
    <n v="4"/>
    <x v="1"/>
    <s v="April"/>
  </r>
  <r>
    <s v="CMP-00258"/>
    <s v="Q3_Winstagramter_CMP-00258"/>
    <x v="1"/>
    <s v="Winstagramter"/>
    <d v="2023-04-19T00:00:00"/>
    <d v="2023-05-03T00:00:00"/>
    <x v="0"/>
    <n v="9680"/>
    <n v="327"/>
    <n v="506.13"/>
    <n v="58"/>
    <s v="No"/>
    <s v="TikTok"/>
    <n v="14"/>
    <n v="3.378099173553719E-2"/>
    <n v="0.17737003058103976"/>
    <n v="1.5477981651376147"/>
    <n v="8.7263793103448268"/>
    <n v="4"/>
    <x v="1"/>
    <s v="April"/>
  </r>
  <r>
    <s v="CMP-00792"/>
    <s v="Q3_Winstagramter_CMP-00792"/>
    <x v="1"/>
    <s v="Winstagramter"/>
    <d v="2023-04-19T00:00:00"/>
    <d v="2023-04-20T00:00:00"/>
    <x v="0"/>
    <n v="21384"/>
    <n v="314"/>
    <n v="623.97"/>
    <n v="40"/>
    <s v="No"/>
    <s v="TikTok"/>
    <n v="1"/>
    <n v="1.4683875794986907E-2"/>
    <n v="0.12738853503184713"/>
    <n v="1.9871656050955415"/>
    <n v="15.599250000000001"/>
    <n v="4"/>
    <x v="1"/>
    <s v="April"/>
  </r>
  <r>
    <s v="CMP-01485"/>
    <s v="Q3_Summer_CMP-01485"/>
    <x v="1"/>
    <s v="Summer"/>
    <d v="2023-04-19T00:00:00"/>
    <d v="2023-05-16T00:00:00"/>
    <x v="2"/>
    <n v="24051"/>
    <n v="992"/>
    <n v="811.88"/>
    <n v="148"/>
    <s v="No"/>
    <s v="IG"/>
    <n v="27"/>
    <n v="4.1245686250051976E-2"/>
    <n v="0.14919354838709678"/>
    <n v="0.81842741935483876"/>
    <n v="5.4856756756756759"/>
    <n v="4"/>
    <x v="1"/>
    <s v="April"/>
  </r>
  <r>
    <s v="CMP-00057"/>
    <s v="Q4_Launch_CMP-00057"/>
    <x v="2"/>
    <s v="Launch"/>
    <d v="2023-04-19T00:00:00"/>
    <d v="2023-05-11T00:00:00"/>
    <x v="1"/>
    <n v="36920"/>
    <n v="382"/>
    <n v="428.93"/>
    <n v="29"/>
    <s v="Yes"/>
    <s v="Email"/>
    <n v="22"/>
    <n v="1.0346695557963163E-2"/>
    <n v="7.5916230366492143E-2"/>
    <n v="1.1228534031413613"/>
    <n v="14.790689655172415"/>
    <n v="4"/>
    <x v="1"/>
    <s v="April"/>
  </r>
  <r>
    <s v="CMP-01665"/>
    <s v="Q2_Summer_CMP-01665"/>
    <x v="0"/>
    <s v="Summer"/>
    <d v="2023-04-19T00:00:00"/>
    <d v="2023-10-04T00:00:00"/>
    <x v="3"/>
    <n v="27685"/>
    <n v="1331"/>
    <n v="2535.67"/>
    <n v="205"/>
    <s v="No"/>
    <s v="FB"/>
    <n v="168"/>
    <n v="4.8076575763048579E-2"/>
    <n v="0.15401953418482345"/>
    <n v="1.9050864012021038"/>
    <n v="12.369121951219512"/>
    <n v="4"/>
    <x v="1"/>
    <s v="April"/>
  </r>
  <r>
    <s v="CMP-00999"/>
    <s v="Q1_BlackFriday_CMP-00999"/>
    <x v="3"/>
    <s v="BlackFriday"/>
    <d v="2023-04-20T00:00:00"/>
    <d v="2023-05-13T00:00:00"/>
    <x v="2"/>
    <n v="4812"/>
    <n v="186"/>
    <n v="188.38"/>
    <n v="18"/>
    <s v="Yes"/>
    <s v="IG"/>
    <n v="23"/>
    <n v="3.8653366583541147E-2"/>
    <n v="9.6774193548387094E-2"/>
    <n v="1.0127956989247311"/>
    <n v="10.465555555555556"/>
    <n v="4"/>
    <x v="1"/>
    <s v="April"/>
  </r>
  <r>
    <s v="CMP-00693"/>
    <s v="Q2_Winstagramter_CMP-00693"/>
    <x v="0"/>
    <s v="Winstagramter"/>
    <d v="2023-04-20T00:00:00"/>
    <d v="2023-05-18T00:00:00"/>
    <x v="5"/>
    <n v="87188"/>
    <n v="1318"/>
    <n v="1940.3"/>
    <n v="124"/>
    <s v="Yes"/>
    <s v="Not specified"/>
    <n v="28"/>
    <n v="1.5116759187044089E-2"/>
    <n v="9.4081942336874058E-2"/>
    <n v="1.4721547799696511"/>
    <n v="15.647580645161289"/>
    <n v="4"/>
    <x v="1"/>
    <s v="April"/>
  </r>
  <r>
    <s v="CMP-00080"/>
    <s v="Q4_Summer_CMP-00080"/>
    <x v="2"/>
    <s v="Summer"/>
    <d v="2023-04-20T00:00:00"/>
    <d v="2023-05-04T00:00:00"/>
    <x v="3"/>
    <n v="2016"/>
    <n v="56"/>
    <n v="67.13"/>
    <n v="10"/>
    <s v="Yes"/>
    <s v="FB"/>
    <n v="14"/>
    <n v="2.7777777777777776E-2"/>
    <n v="0.17857142857142858"/>
    <n v="1.19875"/>
    <n v="6.7129999999999992"/>
    <n v="4"/>
    <x v="1"/>
    <s v="April"/>
  </r>
  <r>
    <s v="CMP-01365"/>
    <s v="Q1_Launch_CMP-01365"/>
    <x v="3"/>
    <s v="Launch"/>
    <d v="2023-04-21T00:00:00"/>
    <d v="2023-05-20T00:00:00"/>
    <x v="3"/>
    <n v="79757"/>
    <n v="3110"/>
    <n v="2355.5"/>
    <n v="287"/>
    <s v="No"/>
    <s v="FB"/>
    <n v="29"/>
    <n v="3.8993442581842348E-2"/>
    <n v="9.2282958199356918E-2"/>
    <n v="0.75739549839228293"/>
    <n v="8.2073170731707314"/>
    <n v="4"/>
    <x v="1"/>
    <s v="April"/>
  </r>
  <r>
    <s v="CMP-00643"/>
    <s v="Q2_Winstagramter_CMP-00643"/>
    <x v="0"/>
    <s v="Winstagramter"/>
    <d v="2023-04-21T00:00:00"/>
    <d v="2023-05-03T00:00:00"/>
    <x v="1"/>
    <n v="89461"/>
    <n v="2990"/>
    <n v="1523.06"/>
    <n v="246"/>
    <s v="Yes"/>
    <s v="Email"/>
    <n v="12"/>
    <n v="3.3422385173427528E-2"/>
    <n v="8.2274247491638794E-2"/>
    <n v="0.50938461538461532"/>
    <n v="6.1913008130081302"/>
    <n v="4"/>
    <x v="1"/>
    <s v="April"/>
  </r>
  <r>
    <s v="CMP-00537"/>
    <s v="Q3_BlackFriday_CMP-00537"/>
    <x v="1"/>
    <s v="BlackFriday"/>
    <d v="2023-04-21T00:00:00"/>
    <d v="2023-05-21T00:00:00"/>
    <x v="2"/>
    <n v="73369"/>
    <n v="1524"/>
    <n v="1777.25"/>
    <n v="0"/>
    <s v="No"/>
    <s v="IG"/>
    <n v="30"/>
    <n v="2.0771715574697761E-2"/>
    <n v="0"/>
    <n v="1.1661745406824147"/>
    <s v="0"/>
    <n v="4"/>
    <x v="1"/>
    <s v="April"/>
  </r>
  <r>
    <s v="CMP-01018"/>
    <s v="Q3_BlackFriday_CMP-01018"/>
    <x v="1"/>
    <s v="BlackFriday"/>
    <d v="2023-04-21T00:00:00"/>
    <d v="2023-04-22T00:00:00"/>
    <x v="3"/>
    <n v="10111"/>
    <n v="362"/>
    <n v="454.43"/>
    <n v="65"/>
    <s v="No"/>
    <s v="FB"/>
    <n v="1"/>
    <n v="3.580259123726634E-2"/>
    <n v="0.17955801104972377"/>
    <n v="1.2553314917127072"/>
    <n v="6.9912307692307696"/>
    <n v="4"/>
    <x v="1"/>
    <s v="April"/>
  </r>
  <r>
    <s v="CMP-01523"/>
    <s v="Q3_Winstagramter_CMP-01523"/>
    <x v="1"/>
    <s v="Winstagramter"/>
    <d v="2023-04-21T00:00:00"/>
    <d v="2023-05-04T00:00:00"/>
    <x v="0"/>
    <n v="95457"/>
    <n v="4189"/>
    <n v="5991.79"/>
    <n v="480"/>
    <s v="No"/>
    <s v="TikTok"/>
    <n v="13"/>
    <n v="4.3883633468472717E-2"/>
    <n v="0.11458582000477441"/>
    <n v="1.4303628550966818"/>
    <n v="12.482895833333334"/>
    <n v="4"/>
    <x v="1"/>
    <s v="April"/>
  </r>
  <r>
    <s v="CMP-00196"/>
    <s v="Q4_Summer_CMP-00196"/>
    <x v="2"/>
    <s v="Summer"/>
    <d v="2023-04-21T00:00:00"/>
    <d v="2023-08-04T00:00:00"/>
    <x v="2"/>
    <n v="35766"/>
    <n v="595"/>
    <n v="364.28"/>
    <n v="101"/>
    <s v="Yes"/>
    <s v="IG"/>
    <n v="105"/>
    <n v="1.6635911200581558E-2"/>
    <n v="0.16974789915966387"/>
    <n v="0.61223529411764699"/>
    <n v="3.6067326732673264"/>
    <n v="4"/>
    <x v="1"/>
    <s v="April"/>
  </r>
  <r>
    <s v="CMP-00005"/>
    <s v="Q2_Winstagramter_CMP-00005"/>
    <x v="0"/>
    <s v="Winstagramter"/>
    <d v="2023-04-22T00:00:00"/>
    <d v="2023-04-23T00:00:00"/>
    <x v="3"/>
    <n v="7265"/>
    <n v="169"/>
    <n v="252.44"/>
    <n v="30"/>
    <s v="Yes"/>
    <s v="FB"/>
    <n v="1"/>
    <n v="2.3262216104611148E-2"/>
    <n v="0.17751479289940827"/>
    <n v="1.4937278106508876"/>
    <n v="8.4146666666666672"/>
    <n v="4"/>
    <x v="1"/>
    <s v="April"/>
  </r>
  <r>
    <s v="CMP-00203"/>
    <s v="Q2_Summer_CMP-00203"/>
    <x v="0"/>
    <s v="Summer"/>
    <d v="2023-04-22T00:00:00"/>
    <d v="2023-05-01T00:00:00"/>
    <x v="3"/>
    <n v="52005"/>
    <n v="706"/>
    <n v="517.75"/>
    <n v="63"/>
    <s v="No"/>
    <s v="FB"/>
    <n v="9"/>
    <n v="1.3575617729064514E-2"/>
    <n v="8.9235127478753534E-2"/>
    <n v="0.73335694050991507"/>
    <n v="8.2182539682539684"/>
    <n v="4"/>
    <x v="1"/>
    <s v="April"/>
  </r>
  <r>
    <s v="CMP-01001"/>
    <s v="Q2_Winstagramter_CMP-01001"/>
    <x v="0"/>
    <s v="Winstagramter"/>
    <d v="2023-04-22T00:00:00"/>
    <d v="2023-04-25T00:00:00"/>
    <x v="3"/>
    <n v="59656"/>
    <n v="601"/>
    <n v="312.14"/>
    <n v="108"/>
    <s v="No"/>
    <s v="FB"/>
    <n v="3"/>
    <n v="1.0074426713155425E-2"/>
    <n v="0.17970049916805325"/>
    <n v="0.51936772046589019"/>
    <n v="2.8901851851851852"/>
    <n v="4"/>
    <x v="1"/>
    <s v="April"/>
  </r>
  <r>
    <s v="CMP-01894"/>
    <s v="Q2_Summer_CMP-01894"/>
    <x v="0"/>
    <s v="Summer"/>
    <d v="2023-04-22T00:00:00"/>
    <d v="2023-05-06T00:00:00"/>
    <x v="4"/>
    <n v="6109"/>
    <n v="193"/>
    <n v="203.43"/>
    <n v="22"/>
    <s v="Yes"/>
    <s v="Google Ads"/>
    <n v="14"/>
    <n v="3.1592732034702899E-2"/>
    <n v="0.11398963730569948"/>
    <n v="1.054041450777202"/>
    <n v="9.2468181818181829"/>
    <n v="4"/>
    <x v="1"/>
    <s v="April"/>
  </r>
  <r>
    <s v="CMP-00733"/>
    <s v="Q4_BlackFriday_CMP-00733"/>
    <x v="2"/>
    <s v="BlackFriday"/>
    <d v="2023-04-22T00:00:00"/>
    <d v="2023-05-15T00:00:00"/>
    <x v="2"/>
    <n v="69866"/>
    <n v="2897"/>
    <n v="4282.17"/>
    <n v="400"/>
    <s v="Yes"/>
    <s v="IG"/>
    <n v="23"/>
    <n v="4.1465090315747286E-2"/>
    <n v="0.13807386952019329"/>
    <n v="1.4781394546082154"/>
    <n v="10.705425"/>
    <n v="4"/>
    <x v="1"/>
    <s v="April"/>
  </r>
  <r>
    <s v="CMP-01689"/>
    <s v="Q4_Winstagramter_CMP-01689"/>
    <x v="2"/>
    <s v="Winstagramter"/>
    <d v="2023-04-22T00:00:00"/>
    <d v="2023-05-17T00:00:00"/>
    <x v="1"/>
    <n v="47542"/>
    <n v="2145"/>
    <n v="3479.24"/>
    <n v="397"/>
    <s v="Yes"/>
    <s v="Email"/>
    <n v="25"/>
    <n v="4.5118000925497455E-2"/>
    <n v="0.18508158508158509"/>
    <n v="1.6220233100233099"/>
    <n v="8.7638287153652392"/>
    <n v="4"/>
    <x v="1"/>
    <s v="April"/>
  </r>
  <r>
    <s v="CMP-00941"/>
    <s v="Q2_Winstagramter_CMP-00941"/>
    <x v="0"/>
    <s v="Winstagramter"/>
    <d v="2023-04-23T00:00:00"/>
    <d v="2023-05-09T00:00:00"/>
    <x v="0"/>
    <n v="83558"/>
    <n v="3096"/>
    <n v="3475.08"/>
    <n v="572"/>
    <s v="No"/>
    <s v="TikTok"/>
    <n v="16"/>
    <n v="3.7052107518131115E-2"/>
    <n v="0.1847545219638243"/>
    <n v="1.1224418604651163"/>
    <n v="6.0753146853146855"/>
    <n v="4"/>
    <x v="1"/>
    <s v="April"/>
  </r>
  <r>
    <s v="CMP-01417"/>
    <s v="Q3_Launch_CMP-01417"/>
    <x v="1"/>
    <s v="Launch"/>
    <d v="2023-04-23T00:00:00"/>
    <d v="2023-05-07T00:00:00"/>
    <x v="0"/>
    <n v="97523"/>
    <n v="4280"/>
    <n v="3633.53"/>
    <n v="687"/>
    <s v="Yes"/>
    <s v="TikTok"/>
    <n v="14"/>
    <n v="4.3887083047076073E-2"/>
    <n v="0.16051401869158879"/>
    <n v="0.84895560747663557"/>
    <n v="5.2889810771470165"/>
    <n v="4"/>
    <x v="1"/>
    <s v="April"/>
  </r>
  <r>
    <s v="CMP-00130"/>
    <s v="Q1_BlackFriday_CMP-00130"/>
    <x v="3"/>
    <s v="BlackFriday"/>
    <d v="2023-04-24T00:00:00"/>
    <d v="2023-05-14T00:00:00"/>
    <x v="3"/>
    <n v="25538"/>
    <n v="868"/>
    <n v="1272.82"/>
    <n v="156"/>
    <s v="No"/>
    <s v="FB"/>
    <n v="20"/>
    <n v="3.3988566058422744E-2"/>
    <n v="0.17972350230414746"/>
    <n v="1.4663824884792627"/>
    <n v="8.1591025641025645"/>
    <n v="4"/>
    <x v="1"/>
    <s v="April"/>
  </r>
  <r>
    <s v="CMP-00465"/>
    <s v="Q1_BlackFriday_CMP-00465"/>
    <x v="3"/>
    <s v="BlackFriday"/>
    <d v="2023-04-24T00:00:00"/>
    <d v="2023-04-25T00:00:00"/>
    <x v="4"/>
    <n v="2150"/>
    <n v="59"/>
    <n v="98.84"/>
    <n v="5"/>
    <s v="No"/>
    <s v="Google Ads"/>
    <n v="1"/>
    <n v="2.7441860465116281E-2"/>
    <n v="8.4745762711864403E-2"/>
    <n v="1.6752542372881356"/>
    <n v="19.768000000000001"/>
    <n v="4"/>
    <x v="1"/>
    <s v="April"/>
  </r>
  <r>
    <s v="CMP-00900"/>
    <s v="Q1_Summer_CMP-00900"/>
    <x v="3"/>
    <s v="Summer"/>
    <d v="2023-04-24T00:00:00"/>
    <d v="2023-05-24T00:00:00"/>
    <x v="3"/>
    <n v="59243"/>
    <n v="768"/>
    <n v="1429.71"/>
    <n v="46"/>
    <s v="Yes"/>
    <s v="FB"/>
    <n v="30"/>
    <n v="1.2963556875917831E-2"/>
    <n v="5.9895833333333336E-2"/>
    <n v="1.8616015625"/>
    <n v="31.080652173913045"/>
    <n v="4"/>
    <x v="1"/>
    <s v="April"/>
  </r>
  <r>
    <s v="CMP-01089"/>
    <s v="Q2_Winstagramter_CMP-01089"/>
    <x v="0"/>
    <s v="Winstagramter"/>
    <d v="2023-04-24T00:00:00"/>
    <d v="2023-04-29T00:00:00"/>
    <x v="2"/>
    <n v="9007"/>
    <n v="125"/>
    <n v="184.93"/>
    <n v="20"/>
    <s v="No"/>
    <s v="IG"/>
    <n v="5"/>
    <n v="1.3878094815143778E-2"/>
    <n v="0.16"/>
    <n v="1.4794400000000001"/>
    <n v="9.2465000000000011"/>
    <n v="4"/>
    <x v="1"/>
    <s v="April"/>
  </r>
  <r>
    <s v="CMP-01420"/>
    <s v="Q2_BlackFriday_CMP-01420"/>
    <x v="0"/>
    <s v="BlackFriday"/>
    <d v="2023-04-24T00:00:00"/>
    <d v="2023-05-09T00:00:00"/>
    <x v="0"/>
    <n v="75182"/>
    <n v="3703"/>
    <n v="5321.2"/>
    <n v="600"/>
    <s v="Yes"/>
    <s v="TikTok"/>
    <n v="15"/>
    <n v="4.9253810752573755E-2"/>
    <n v="0.16203078584931138"/>
    <n v="1.4369970294355927"/>
    <n v="8.868666666666666"/>
    <n v="4"/>
    <x v="1"/>
    <s v="April"/>
  </r>
  <r>
    <s v="CMP-01563"/>
    <s v="Q2_Winstagramter_CMP-01563"/>
    <x v="0"/>
    <s v="Winstagramter"/>
    <d v="2023-04-24T00:00:00"/>
    <d v="2023-04-27T00:00:00"/>
    <x v="3"/>
    <n v="7640"/>
    <n v="298"/>
    <n v="530.58000000000004"/>
    <n v="37"/>
    <s v="No"/>
    <s v="FB"/>
    <n v="3"/>
    <n v="3.9005235602094242E-2"/>
    <n v="0.12416107382550336"/>
    <n v="1.7804697986577183"/>
    <n v="14.340000000000002"/>
    <n v="4"/>
    <x v="1"/>
    <s v="April"/>
  </r>
  <r>
    <s v="CMP-01857"/>
    <s v="Q2_Winstagramter_CMP-01857"/>
    <x v="0"/>
    <s v="Winstagramter"/>
    <d v="2023-04-24T00:00:00"/>
    <d v="2023-05-18T00:00:00"/>
    <x v="2"/>
    <n v="85976"/>
    <n v="2762"/>
    <n v="3225.77"/>
    <n v="336"/>
    <s v="No"/>
    <s v="IG"/>
    <n v="24"/>
    <n v="3.2125244254210476E-2"/>
    <n v="0.12165097755249819"/>
    <n v="1.1679109341057206"/>
    <n v="9.6005059523809528"/>
    <n v="4"/>
    <x v="1"/>
    <s v="April"/>
  </r>
  <r>
    <s v="CMP-00231"/>
    <s v="Q3_Summer_CMP-00231"/>
    <x v="1"/>
    <s v="Summer"/>
    <d v="2023-04-24T00:00:00"/>
    <d v="2023-05-09T00:00:00"/>
    <x v="5"/>
    <n v="13688"/>
    <n v="632"/>
    <n v="734.78"/>
    <n v="112"/>
    <s v="Yes"/>
    <s v="Not specified"/>
    <n v="15"/>
    <n v="4.6171829339567504E-2"/>
    <n v="0.17721518987341772"/>
    <n v="1.1626265822784809"/>
    <n v="6.5605357142857139"/>
    <n v="4"/>
    <x v="1"/>
    <s v="April"/>
  </r>
  <r>
    <s v="CMP-00528"/>
    <s v="Q3_Summer_CMP-00528"/>
    <x v="1"/>
    <s v="Summer"/>
    <d v="2023-04-24T00:00:00"/>
    <d v="2023-05-19T00:00:00"/>
    <x v="0"/>
    <n v="31977"/>
    <n v="1133"/>
    <n v="1668.18"/>
    <n v="59"/>
    <s v="Yes"/>
    <s v="TikTok"/>
    <n v="25"/>
    <n v="3.543171654626763E-2"/>
    <n v="5.2074139452780228E-2"/>
    <n v="1.4723565754633716"/>
    <n v="28.274237288135595"/>
    <n v="4"/>
    <x v="1"/>
    <s v="April"/>
  </r>
  <r>
    <s v="CMP-01232"/>
    <s v="Q3_Winstagramter_CMP-01232"/>
    <x v="1"/>
    <s v="Winstagramter"/>
    <d v="2023-04-24T00:00:00"/>
    <d v="2023-05-13T00:00:00"/>
    <x v="5"/>
    <n v="41738"/>
    <n v="1823"/>
    <n v="2923.87"/>
    <n v="332"/>
    <s v="Yes"/>
    <s v="Not specified"/>
    <n v="19"/>
    <n v="4.367722459149935E-2"/>
    <n v="0.18211738891936369"/>
    <n v="1.6038782227098189"/>
    <n v="8.8068373493975898"/>
    <n v="4"/>
    <x v="1"/>
    <s v="April"/>
  </r>
  <r>
    <s v="CMP-01261"/>
    <s v="Q3_Summer_CMP-01261"/>
    <x v="1"/>
    <s v="Summer"/>
    <d v="2023-04-24T00:00:00"/>
    <d v="2023-05-06T00:00:00"/>
    <x v="1"/>
    <n v="20816"/>
    <n v="593"/>
    <n v="1155.05"/>
    <n v="51"/>
    <s v="Yes"/>
    <s v="Email"/>
    <n v="12"/>
    <n v="2.8487701767870868E-2"/>
    <n v="8.6003372681281623E-2"/>
    <n v="1.9478077571669477"/>
    <n v="22.648039215686275"/>
    <n v="4"/>
    <x v="1"/>
    <s v="April"/>
  </r>
  <r>
    <s v="CMP-01738"/>
    <s v="Q4_Summer_CMP-01738"/>
    <x v="2"/>
    <s v="Summer"/>
    <d v="2023-04-24T00:00:00"/>
    <d v="2023-05-19T00:00:00"/>
    <x v="5"/>
    <n v="75553"/>
    <n v="2694"/>
    <n v="4832.32"/>
    <n v="271"/>
    <s v="Yes"/>
    <s v="Not specified"/>
    <n v="25"/>
    <n v="3.565708840151946E-2"/>
    <n v="0.1005939123979213"/>
    <n v="1.7937342242019301"/>
    <n v="17.831439114391141"/>
    <n v="4"/>
    <x v="1"/>
    <s v="April"/>
  </r>
  <r>
    <s v="CMP-00601"/>
    <s v="Q1_Launch_CMP-00601"/>
    <x v="3"/>
    <s v="Launch"/>
    <d v="2023-04-25T00:00:00"/>
    <d v="2023-05-02T00:00:00"/>
    <x v="4"/>
    <n v="69450"/>
    <n v="2704"/>
    <n v="3100.07"/>
    <n v="302"/>
    <s v="No"/>
    <s v="Google Ads"/>
    <n v="7"/>
    <n v="3.8934485241180705E-2"/>
    <n v="0.11168639053254438"/>
    <n v="1.1464755917159763"/>
    <n v="10.265132450331127"/>
    <n v="4"/>
    <x v="1"/>
    <s v="April"/>
  </r>
  <r>
    <s v="CMP-01488"/>
    <s v="Q1_Winstagramter_CMP-01488"/>
    <x v="3"/>
    <s v="Winstagramter"/>
    <d v="2023-04-25T00:00:00"/>
    <d v="2023-05-08T00:00:00"/>
    <x v="1"/>
    <n v="70626"/>
    <n v="3122"/>
    <n v="3914.05"/>
    <n v="181"/>
    <s v="No"/>
    <s v="Email"/>
    <n v="13"/>
    <n v="4.420468382748563E-2"/>
    <n v="5.7975656630365149E-2"/>
    <n v="1.2536995515695069"/>
    <n v="21.624585635359118"/>
    <n v="4"/>
    <x v="1"/>
    <s v="April"/>
  </r>
  <r>
    <s v="CMP-01290"/>
    <s v="Q2_BlackFriday_CMP-01290"/>
    <x v="0"/>
    <s v="BlackFriday"/>
    <d v="2023-04-25T00:00:00"/>
    <d v="2023-05-07T00:00:00"/>
    <x v="1"/>
    <n v="34536"/>
    <n v="1125"/>
    <n v="1483.75"/>
    <n v="127"/>
    <s v="Yes"/>
    <s v="Email"/>
    <n v="12"/>
    <n v="3.2574704656011116E-2"/>
    <n v="0.11288888888888889"/>
    <n v="1.318888888888889"/>
    <n v="11.683070866141732"/>
    <n v="4"/>
    <x v="1"/>
    <s v="April"/>
  </r>
  <r>
    <s v="CMP-01346"/>
    <s v="Q2_Summer_CMP-01346"/>
    <x v="0"/>
    <s v="Summer"/>
    <d v="2023-04-25T00:00:00"/>
    <d v="2023-05-21T00:00:00"/>
    <x v="2"/>
    <n v="3198"/>
    <n v="106"/>
    <n v="150.31"/>
    <n v="18"/>
    <s v="Yes"/>
    <s v="IG"/>
    <n v="26"/>
    <n v="3.3145716072545343E-2"/>
    <n v="0.16981132075471697"/>
    <n v="1.4180188679245282"/>
    <n v="8.3505555555555553"/>
    <n v="4"/>
    <x v="1"/>
    <s v="April"/>
  </r>
  <r>
    <s v="CMP-00757"/>
    <s v="Q3_Summer_CMP-00757"/>
    <x v="1"/>
    <s v="Summer"/>
    <d v="2023-04-25T00:00:00"/>
    <d v="2023-04-29T00:00:00"/>
    <x v="0"/>
    <n v="79752"/>
    <n v="2043"/>
    <n v="1790.93"/>
    <n v="254"/>
    <s v="No"/>
    <s v="TikTok"/>
    <n v="4"/>
    <n v="2.5616912428528437E-2"/>
    <n v="0.12432697014194811"/>
    <n v="0.87661771904062658"/>
    <n v="7.050905511811024"/>
    <n v="4"/>
    <x v="1"/>
    <s v="April"/>
  </r>
  <r>
    <s v="CMP-01356"/>
    <s v="Q4_Launch_CMP-01356"/>
    <x v="2"/>
    <s v="Launch"/>
    <d v="2023-04-25T00:00:00"/>
    <d v="2023-04-30T00:00:00"/>
    <x v="0"/>
    <n v="43880"/>
    <n v="2037"/>
    <n v="1422.71"/>
    <n v="0"/>
    <s v="No"/>
    <s v="TikTok"/>
    <n v="5"/>
    <n v="4.6422060164083866E-2"/>
    <n v="0"/>
    <n v="0.69843397152675502"/>
    <s v="0"/>
    <n v="4"/>
    <x v="1"/>
    <s v="April"/>
  </r>
  <r>
    <s v="CMP-01802"/>
    <s v="Q2_Launch_CMP-01802"/>
    <x v="0"/>
    <s v="Launch"/>
    <d v="2023-04-25T00:00:00"/>
    <d v="2023-04-30T00:00:00"/>
    <x v="4"/>
    <n v="91874"/>
    <n v="4170"/>
    <n v="5308.23"/>
    <n v="679"/>
    <s v="No"/>
    <s v="Google Ads"/>
    <n v="5"/>
    <n v="4.538824912379999E-2"/>
    <n v="0.16282973621103117"/>
    <n v="1.2729568345323741"/>
    <n v="7.8177172312223853"/>
    <n v="4"/>
    <x v="1"/>
    <s v="April"/>
  </r>
  <r>
    <s v="CMP-00506"/>
    <s v="Q1_Launch_CMP-00506"/>
    <x v="3"/>
    <s v="Launch"/>
    <d v="2023-04-26T00:00:00"/>
    <d v="2023-05-06T00:00:00"/>
    <x v="3"/>
    <n v="92747"/>
    <n v="2859"/>
    <n v="4780.99"/>
    <n v="0"/>
    <s v="Yes"/>
    <s v="FB"/>
    <n v="10"/>
    <n v="3.0825794904417395E-2"/>
    <n v="0"/>
    <n v="1.672259531304652"/>
    <s v="0"/>
    <n v="4"/>
    <x v="1"/>
    <s v="April"/>
  </r>
  <r>
    <s v="CMP-01831"/>
    <s v="Q1_Summer_CMP-01831"/>
    <x v="3"/>
    <s v="Summer"/>
    <d v="2023-04-26T00:00:00"/>
    <d v="2023-05-09T00:00:00"/>
    <x v="4"/>
    <n v="79797"/>
    <n v="2394"/>
    <n v="1947.65"/>
    <n v="0"/>
    <s v="No"/>
    <s v="Google Ads"/>
    <n v="13"/>
    <n v="3.0001127861949698E-2"/>
    <n v="0"/>
    <n v="0.81355472013366759"/>
    <s v="0"/>
    <n v="4"/>
    <x v="1"/>
    <s v="April"/>
  </r>
  <r>
    <s v="CMP-01855"/>
    <s v="Q2_Winstagramter_CMP-01855"/>
    <x v="0"/>
    <s v="Winstagramter"/>
    <d v="2023-04-26T00:00:00"/>
    <d v="2023-05-21T00:00:00"/>
    <x v="2"/>
    <n v="49290"/>
    <n v="2315"/>
    <n v="4550.01"/>
    <n v="225"/>
    <s v="Yes"/>
    <s v="IG"/>
    <n v="25"/>
    <n v="4.6966930411848247E-2"/>
    <n v="9.719222462203024E-2"/>
    <n v="1.9654470842332614"/>
    <n v="20.222266666666666"/>
    <n v="4"/>
    <x v="1"/>
    <s v="April"/>
  </r>
  <r>
    <s v="CMP-00018"/>
    <s v="Q1_BlackFriday_CMP-00018"/>
    <x v="3"/>
    <s v="BlackFriday"/>
    <d v="2023-04-27T00:00:00"/>
    <d v="2023-05-25T00:00:00"/>
    <x v="2"/>
    <n v="65925"/>
    <n v="2317"/>
    <n v="3635.76"/>
    <n v="389"/>
    <s v="Yes"/>
    <s v="IG"/>
    <n v="28"/>
    <n v="3.5145999241562378E-2"/>
    <n v="0.16788951230038843"/>
    <n v="1.5691670263271473"/>
    <n v="9.3464267352185093"/>
    <n v="4"/>
    <x v="1"/>
    <s v="April"/>
  </r>
  <r>
    <s v="CMP-00132"/>
    <s v="Q2_Launch_CMP-00132"/>
    <x v="0"/>
    <s v="Launch"/>
    <d v="2023-04-27T00:00:00"/>
    <d v="2023-04-30T00:00:00"/>
    <x v="4"/>
    <n v="99018"/>
    <n v="4265"/>
    <n v="2579.0500000000002"/>
    <n v="480"/>
    <s v="No"/>
    <s v="Google Ads"/>
    <n v="3"/>
    <n v="4.3072976630511621E-2"/>
    <n v="0.11254396248534584"/>
    <n v="0.60470105509964833"/>
    <n v="5.3730208333333334"/>
    <n v="4"/>
    <x v="1"/>
    <s v="April"/>
  </r>
  <r>
    <s v="CMP-01213"/>
    <s v="Q2_Launch_CMP-01213"/>
    <x v="0"/>
    <s v="Launch"/>
    <d v="2023-04-27T00:00:00"/>
    <d v="2023-05-17T00:00:00"/>
    <x v="1"/>
    <n v="77589"/>
    <n v="3287"/>
    <n v="5453.15"/>
    <n v="642"/>
    <s v="Yes"/>
    <s v="Email"/>
    <n v="20"/>
    <n v="4.2364252664681849E-2"/>
    <n v="0.19531487678734408"/>
    <n v="1.6590051718892607"/>
    <n v="8.4940031152647961"/>
    <n v="4"/>
    <x v="1"/>
    <s v="April"/>
  </r>
  <r>
    <s v="CMP-01442"/>
    <s v="Q3_Summer_CMP-01442"/>
    <x v="1"/>
    <s v="Summer"/>
    <d v="2023-04-27T00:00:00"/>
    <d v="2023-05-01T00:00:00"/>
    <x v="1"/>
    <n v="25762"/>
    <n v="1249"/>
    <n v="2233.39"/>
    <n v="116"/>
    <s v="Yes"/>
    <s v="Email"/>
    <n v="4"/>
    <n v="4.8482260694045494E-2"/>
    <n v="9.2874299439551639E-2"/>
    <n v="1.7881425140112088"/>
    <n v="19.253362068965515"/>
    <n v="4"/>
    <x v="1"/>
    <s v="April"/>
  </r>
  <r>
    <s v="CMP-01780"/>
    <s v="Q3_Winstagramter_CMP-01780"/>
    <x v="1"/>
    <s v="Winstagramter"/>
    <d v="2023-04-27T00:00:00"/>
    <d v="2023-05-18T00:00:00"/>
    <x v="5"/>
    <n v="92357"/>
    <n v="4604"/>
    <n v="5093.6899999999996"/>
    <n v="594"/>
    <s v="Yes"/>
    <s v="Not specified"/>
    <n v="21"/>
    <n v="4.9850038437801142E-2"/>
    <n v="0.12901824500434406"/>
    <n v="1.1063618592528235"/>
    <n v="8.5752356902356901"/>
    <n v="4"/>
    <x v="1"/>
    <s v="April"/>
  </r>
  <r>
    <s v="CMP-01309"/>
    <s v="Q2_BlackFriday_CMP-01309"/>
    <x v="0"/>
    <s v="BlackFriday"/>
    <d v="2023-04-27T00:00:00"/>
    <d v="2023-09-04T00:00:00"/>
    <x v="5"/>
    <n v="53603"/>
    <n v="1133"/>
    <n v="1726.67"/>
    <n v="160"/>
    <s v="Yes"/>
    <s v="Not specified"/>
    <n v="130"/>
    <n v="2.1136876667350708E-2"/>
    <n v="0.14121800529567519"/>
    <n v="1.5239805825242718"/>
    <n v="10.7916875"/>
    <n v="4"/>
    <x v="1"/>
    <s v="April"/>
  </r>
  <r>
    <s v="CMP-00027"/>
    <s v="Q1_Winstagramter_CMP-00027"/>
    <x v="3"/>
    <s v="Winstagramter"/>
    <d v="2023-04-28T00:00:00"/>
    <d v="2023-05-12T00:00:00"/>
    <x v="0"/>
    <n v="26658"/>
    <n v="912"/>
    <n v="1219.24"/>
    <n v="166"/>
    <s v="Yes"/>
    <s v="TikTok"/>
    <n v="14"/>
    <n v="3.4211118613549404E-2"/>
    <n v="0.18201754385964913"/>
    <n v="1.3368859649122806"/>
    <n v="7.3448192771084342"/>
    <n v="4"/>
    <x v="1"/>
    <s v="April"/>
  </r>
  <r>
    <s v="CMP-00062"/>
    <s v="Q1_BlackFriday_CMP-00062"/>
    <x v="3"/>
    <s v="BlackFriday"/>
    <d v="2023-04-28T00:00:00"/>
    <d v="2023-05-18T00:00:00"/>
    <x v="4"/>
    <n v="20457"/>
    <n v="396"/>
    <n v="663.56"/>
    <n v="58"/>
    <s v="Yes"/>
    <s v="Google Ads"/>
    <n v="20"/>
    <n v="1.9357677078750551E-2"/>
    <n v="0.14646464646464646"/>
    <n v="1.6756565656565656"/>
    <n v="11.440689655172413"/>
    <n v="4"/>
    <x v="1"/>
    <s v="April"/>
  </r>
  <r>
    <s v="CMP-00274"/>
    <s v="Q1_Launch_CMP-00274"/>
    <x v="3"/>
    <s v="Launch"/>
    <d v="2023-04-28T00:00:00"/>
    <d v="2023-04-30T00:00:00"/>
    <x v="2"/>
    <n v="17646"/>
    <n v="435"/>
    <n v="775.19"/>
    <n v="44"/>
    <s v="Yes"/>
    <s v="IG"/>
    <n v="2"/>
    <n v="2.4651479088745324E-2"/>
    <n v="0.10114942528735632"/>
    <n v="1.7820459770114945"/>
    <n v="17.617954545454548"/>
    <n v="4"/>
    <x v="1"/>
    <s v="April"/>
  </r>
  <r>
    <s v="CMP-00836"/>
    <s v="Q1_BlackFriday_CMP-00836"/>
    <x v="3"/>
    <s v="BlackFriday"/>
    <d v="2023-04-28T00:00:00"/>
    <d v="2023-05-07T00:00:00"/>
    <x v="3"/>
    <n v="33049"/>
    <n v="1396"/>
    <n v="2093.16"/>
    <n v="255"/>
    <s v="Yes"/>
    <s v="FB"/>
    <n v="9"/>
    <n v="4.2240309842960455E-2"/>
    <n v="0.1826647564469914"/>
    <n v="1.4993982808022921"/>
    <n v="8.2084705882352935"/>
    <n v="4"/>
    <x v="1"/>
    <s v="April"/>
  </r>
  <r>
    <s v="CMP-01556"/>
    <s v="Q3_Winstagramter_CMP-01556"/>
    <x v="1"/>
    <s v="Winstagramter"/>
    <d v="2023-04-28T00:00:00"/>
    <d v="2023-04-30T00:00:00"/>
    <x v="4"/>
    <n v="98241"/>
    <n v="2414"/>
    <n v="2576.5500000000002"/>
    <n v="430"/>
    <s v="Yes"/>
    <s v="Google Ads"/>
    <n v="2"/>
    <n v="2.4572225445587893E-2"/>
    <n v="0.17812758906379453"/>
    <n v="1.0673363711681856"/>
    <n v="5.9919767441860472"/>
    <n v="4"/>
    <x v="1"/>
    <s v="April"/>
  </r>
  <r>
    <s v="CMP-00993"/>
    <s v="Q4_Summer_CMP-00993"/>
    <x v="2"/>
    <s v="Summer"/>
    <d v="2023-04-28T00:00:00"/>
    <d v="2023-05-12T00:00:00"/>
    <x v="1"/>
    <n v="55553"/>
    <n v="2046"/>
    <n v="4078.61"/>
    <n v="319"/>
    <s v="No"/>
    <s v="Email"/>
    <n v="14"/>
    <n v="3.6829694165931633E-2"/>
    <n v="0.15591397849462366"/>
    <n v="1.993455522971652"/>
    <n v="12.785611285266459"/>
    <n v="4"/>
    <x v="1"/>
    <s v="April"/>
  </r>
  <r>
    <s v="CMP-01655"/>
    <s v="Q4_Launch_CMP-01655"/>
    <x v="2"/>
    <s v="Launch"/>
    <d v="2023-04-28T00:00:00"/>
    <d v="2023-05-03T00:00:00"/>
    <x v="5"/>
    <n v="47600"/>
    <n v="1430"/>
    <n v="1546.61"/>
    <n v="147"/>
    <s v="Yes"/>
    <s v="Not specified"/>
    <n v="5"/>
    <n v="3.004201680672269E-2"/>
    <n v="0.10279720279720279"/>
    <n v="1.0815454545454544"/>
    <n v="10.521156462585033"/>
    <n v="4"/>
    <x v="1"/>
    <s v="April"/>
  </r>
  <r>
    <s v="CMP-01819"/>
    <s v="Q3_Winstagramter_CMP-01819"/>
    <x v="1"/>
    <s v="Winstagramter"/>
    <d v="2023-04-29T00:00:00"/>
    <d v="2023-05-22T00:00:00"/>
    <x v="2"/>
    <n v="15288"/>
    <n v="678"/>
    <n v="534.22"/>
    <n v="124"/>
    <s v="No"/>
    <s v="IG"/>
    <n v="23"/>
    <n v="4.4348508634222919E-2"/>
    <n v="0.18289085545722714"/>
    <n v="0.78793510324483784"/>
    <n v="4.3082258064516132"/>
    <n v="4"/>
    <x v="1"/>
    <s v="April"/>
  </r>
  <r>
    <s v="CMP-00814"/>
    <s v="Q4_Winstagramter_CMP-00814"/>
    <x v="2"/>
    <s v="Winstagramter"/>
    <d v="2023-04-29T00:00:00"/>
    <d v="2023-05-09T00:00:00"/>
    <x v="0"/>
    <n v="54330"/>
    <n v="783"/>
    <n v="1346.88"/>
    <n v="154"/>
    <s v="No"/>
    <s v="TikTok"/>
    <n v="10"/>
    <n v="1.4411927112092767E-2"/>
    <n v="0.19667943805874841"/>
    <n v="1.7201532567049811"/>
    <n v="8.7459740259740268"/>
    <n v="4"/>
    <x v="1"/>
    <s v="April"/>
  </r>
  <r>
    <s v="CMP-01066"/>
    <s v="Q4_Launch_CMP-01066"/>
    <x v="2"/>
    <s v="Launch"/>
    <d v="2023-04-29T00:00:00"/>
    <d v="2023-05-10T00:00:00"/>
    <x v="1"/>
    <n v="94070"/>
    <n v="1109"/>
    <n v="1104.1099999999999"/>
    <n v="78"/>
    <s v="No"/>
    <s v="Email"/>
    <n v="11"/>
    <n v="1.1789093228446901E-2"/>
    <n v="7.0333633904418394E-2"/>
    <n v="0.995590622182146"/>
    <n v="14.15525641025641"/>
    <n v="4"/>
    <x v="1"/>
    <s v="April"/>
  </r>
  <r>
    <s v="CMP-00770"/>
    <s v="Q1_Winstagramter_CMP-00770"/>
    <x v="3"/>
    <s v="Winstagramter"/>
    <d v="2023-04-30T00:00:00"/>
    <d v="2023-05-29T00:00:00"/>
    <x v="5"/>
    <n v="51990"/>
    <n v="1169"/>
    <n v="1999.15"/>
    <n v="201"/>
    <s v="Yes"/>
    <s v="Not specified"/>
    <n v="29"/>
    <n v="2.2485093287170611E-2"/>
    <n v="0.17194183062446536"/>
    <n v="1.7101368691189052"/>
    <n v="9.9460199004975127"/>
    <n v="4"/>
    <x v="1"/>
    <s v="April"/>
  </r>
  <r>
    <s v="CMP-00768"/>
    <s v="Q3_Launch_CMP-00768"/>
    <x v="1"/>
    <s v="Launch"/>
    <d v="2023-04-30T00:00:00"/>
    <d v="2023-05-23T00:00:00"/>
    <x v="4"/>
    <n v="50407"/>
    <n v="2031"/>
    <n v="1100.33"/>
    <n v="279"/>
    <s v="No"/>
    <s v="Google Ads"/>
    <n v="23"/>
    <n v="4.0292022933322756E-2"/>
    <n v="0.13737075332348597"/>
    <n v="0.54176760216642039"/>
    <n v="3.9438351254480284"/>
    <n v="4"/>
    <x v="1"/>
    <s v="April"/>
  </r>
  <r>
    <s v="CMP-01124"/>
    <s v="Q3_Winstagramter_CMP-01124"/>
    <x v="1"/>
    <s v="Winstagramter"/>
    <d v="2023-04-30T00:00:00"/>
    <d v="2023-05-22T00:00:00"/>
    <x v="1"/>
    <n v="93263"/>
    <n v="4031"/>
    <n v="4265.5200000000004"/>
    <n v="258"/>
    <s v="Yes"/>
    <s v="Email"/>
    <n v="22"/>
    <n v="4.3221856470411629E-2"/>
    <n v="6.4003969238402375E-2"/>
    <n v="1.0581791118829076"/>
    <n v="16.533023255813955"/>
    <n v="4"/>
    <x v="1"/>
    <s v="April"/>
  </r>
  <r>
    <s v="CMP-00019"/>
    <s v="Q4_Winstagramter_CMP-00019"/>
    <x v="2"/>
    <s v="Winstagramter"/>
    <d v="2023-04-30T00:00:00"/>
    <d v="2023-05-18T00:00:00"/>
    <x v="3"/>
    <n v="68969"/>
    <n v="2718"/>
    <n v="2933.59"/>
    <n v="145"/>
    <s v="No"/>
    <s v="FB"/>
    <n v="18"/>
    <n v="3.9409009845002826E-2"/>
    <n v="5.3348050036791758E-2"/>
    <n v="1.079319352465048"/>
    <n v="20.231655172413795"/>
    <n v="4"/>
    <x v="1"/>
    <s v="April"/>
  </r>
  <r>
    <s v="CMP-00391"/>
    <s v="Q4_Summer_CMP-00391"/>
    <x v="2"/>
    <s v="Summer"/>
    <d v="2023-04-30T00:00:00"/>
    <d v="2023-05-30T00:00:00"/>
    <x v="4"/>
    <n v="46017"/>
    <n v="1252"/>
    <n v="2221.4299999999998"/>
    <n v="125"/>
    <s v="Yes"/>
    <s v="Google Ads"/>
    <n v="30"/>
    <n v="2.7207336419149446E-2"/>
    <n v="9.9840255591054319E-2"/>
    <n v="1.7743051118210862"/>
    <n v="17.771439999999998"/>
    <n v="4"/>
    <x v="1"/>
    <s v="April"/>
  </r>
  <r>
    <s v="CMP-01113"/>
    <s v="Q4_Winstagramter_CMP-01113"/>
    <x v="2"/>
    <s v="Winstagramter"/>
    <d v="2023-04-30T00:00:00"/>
    <d v="2023-05-14T00:00:00"/>
    <x v="0"/>
    <n v="72520"/>
    <n v="2269"/>
    <n v="4407.3599999999997"/>
    <n v="356"/>
    <s v="Yes"/>
    <s v="TikTok"/>
    <n v="14"/>
    <n v="3.1287920573634859E-2"/>
    <n v="0.15689731159100925"/>
    <n v="1.9424239753195238"/>
    <n v="12.380224719101122"/>
    <n v="4"/>
    <x v="1"/>
    <s v="April"/>
  </r>
  <r>
    <s v="CMP-01497"/>
    <s v="Q4_Winstagramter_CMP-01497"/>
    <x v="2"/>
    <s v="Winstagramter"/>
    <d v="2023-04-30T00:00:00"/>
    <d v="2023-05-09T00:00:00"/>
    <x v="1"/>
    <n v="2341"/>
    <n v="40"/>
    <n v="46.73"/>
    <n v="3"/>
    <s v="Yes"/>
    <s v="Email"/>
    <n v="9"/>
    <n v="1.7086715079026059E-2"/>
    <n v="7.4999999999999997E-2"/>
    <n v="1.16825"/>
    <n v="15.576666666666666"/>
    <n v="4"/>
    <x v="1"/>
    <s v="April"/>
  </r>
  <r>
    <s v="CMP-00158"/>
    <s v="Q1_Winstagramter_CMP-00158"/>
    <x v="3"/>
    <s v="Winstagramter"/>
    <d v="2023-05-01T00:00:00"/>
    <d v="2023-05-22T00:00:00"/>
    <x v="5"/>
    <n v="76450"/>
    <n v="2629"/>
    <n v="1688.77"/>
    <n v="0"/>
    <s v="Yes"/>
    <s v="Not specified"/>
    <n v="21"/>
    <n v="3.4388489208633091E-2"/>
    <n v="0"/>
    <n v="0.64236211487257511"/>
    <s v="0"/>
    <n v="5"/>
    <x v="1"/>
    <s v="May"/>
  </r>
  <r>
    <s v="CMP-01469"/>
    <s v="Q3_Summer_CMP-01469"/>
    <x v="1"/>
    <s v="Summer"/>
    <d v="2023-05-01T00:00:00"/>
    <d v="2023-05-12T00:00:00"/>
    <x v="5"/>
    <n v="55912"/>
    <n v="1037"/>
    <n v="1831.83"/>
    <n v="207"/>
    <s v="Yes"/>
    <s v="Not specified"/>
    <n v="11"/>
    <n v="1.8547002432393763E-2"/>
    <n v="0.19961427193828352"/>
    <n v="1.766470588235294"/>
    <n v="8.8494202898550718"/>
    <n v="5"/>
    <x v="1"/>
    <s v="May"/>
  </r>
  <r>
    <s v="CMP-00024"/>
    <s v="Q4_Winstagramter_CMP-00024"/>
    <x v="2"/>
    <s v="Winstagramter"/>
    <d v="2023-05-01T00:00:00"/>
    <d v="2023-05-06T00:00:00"/>
    <x v="2"/>
    <n v="29693"/>
    <n v="995"/>
    <n v="1793.94"/>
    <n v="179"/>
    <s v="No"/>
    <s v="IG"/>
    <n v="5"/>
    <n v="3.3509581382817497E-2"/>
    <n v="0.17989949748743719"/>
    <n v="1.8029547738693468"/>
    <n v="10.022011173184358"/>
    <n v="5"/>
    <x v="1"/>
    <s v="May"/>
  </r>
  <r>
    <s v="CMP-00805"/>
    <s v="Q4_Summer_CMP-00805"/>
    <x v="2"/>
    <s v="Summer"/>
    <d v="2023-05-01T00:00:00"/>
    <d v="2023-05-06T00:00:00"/>
    <x v="5"/>
    <n v="10860"/>
    <n v="149"/>
    <n v="147.32"/>
    <n v="11"/>
    <s v="Yes"/>
    <s v="Not specified"/>
    <n v="5"/>
    <n v="1.3720073664825047E-2"/>
    <n v="7.3825503355704702E-2"/>
    <n v="0.98872483221476504"/>
    <n v="13.392727272727273"/>
    <n v="5"/>
    <x v="1"/>
    <s v="May"/>
  </r>
  <r>
    <s v="CMP-01667"/>
    <s v="Q1_Winstagramter_CMP-01667"/>
    <x v="3"/>
    <s v="Winstagramter"/>
    <d v="2023-05-01T00:00:00"/>
    <d v="2023-06-05T00:00:00"/>
    <x v="1"/>
    <n v="29831"/>
    <n v="1347"/>
    <n v="1678.2"/>
    <n v="248"/>
    <s v="Yes"/>
    <s v="Email"/>
    <n v="35"/>
    <n v="4.5154369615500657E-2"/>
    <n v="0.18411284335560504"/>
    <n v="1.2458797327394209"/>
    <n v="6.7669354838709683"/>
    <n v="5"/>
    <x v="1"/>
    <s v="May"/>
  </r>
  <r>
    <s v="CMP-00079"/>
    <s v="Q1_BlackFriday_CMP-00079"/>
    <x v="3"/>
    <s v="BlackFriday"/>
    <d v="2023-05-02T00:00:00"/>
    <d v="2023-05-14T00:00:00"/>
    <x v="4"/>
    <n v="92387"/>
    <n v="3530"/>
    <n v="1795.28"/>
    <n v="347"/>
    <s v="Yes"/>
    <s v="Google Ads"/>
    <n v="12"/>
    <n v="3.8208838905906678E-2"/>
    <n v="9.8300283286118978E-2"/>
    <n v="0.50857790368271949"/>
    <n v="5.1737175792507202"/>
    <n v="5"/>
    <x v="1"/>
    <s v="May"/>
  </r>
  <r>
    <s v="CMP-00065"/>
    <s v="Q2_Summer_CMP-00065"/>
    <x v="0"/>
    <s v="Summer"/>
    <d v="2023-05-02T00:00:00"/>
    <d v="2023-05-12T00:00:00"/>
    <x v="1"/>
    <n v="79953"/>
    <n v="1857"/>
    <n v="2360.81"/>
    <n v="218"/>
    <s v="No"/>
    <s v="Email"/>
    <n v="10"/>
    <n v="2.3226145360399235E-2"/>
    <n v="0.11739364566505116"/>
    <n v="1.2713031771674743"/>
    <n v="10.829403669724771"/>
    <n v="5"/>
    <x v="1"/>
    <s v="May"/>
  </r>
  <r>
    <s v="CMP-00952"/>
    <s v="Q2_Summer_CMP-00952"/>
    <x v="0"/>
    <s v="Summer"/>
    <d v="2023-05-02T00:00:00"/>
    <d v="2023-05-15T00:00:00"/>
    <x v="2"/>
    <n v="6122"/>
    <n v="279"/>
    <n v="422.25"/>
    <n v="36"/>
    <s v="No"/>
    <s v="IG"/>
    <n v="13"/>
    <n v="4.5573342045083308E-2"/>
    <n v="0.12903225806451613"/>
    <n v="1.5134408602150538"/>
    <n v="11.729166666666666"/>
    <n v="5"/>
    <x v="1"/>
    <s v="May"/>
  </r>
  <r>
    <s v="CMP-01064"/>
    <s v="Q2_Summer_CMP-01064"/>
    <x v="0"/>
    <s v="Summer"/>
    <d v="2023-05-02T00:00:00"/>
    <d v="2023-05-28T00:00:00"/>
    <x v="3"/>
    <n v="64076"/>
    <n v="1065"/>
    <n v="1371.03"/>
    <n v="169"/>
    <s v="Yes"/>
    <s v="FB"/>
    <n v="26"/>
    <n v="1.6620887695861165E-2"/>
    <n v="0.15868544600938966"/>
    <n v="1.2873521126760563"/>
    <n v="8.1126035502958587"/>
    <n v="5"/>
    <x v="1"/>
    <s v="May"/>
  </r>
  <r>
    <s v="CMP-01167"/>
    <s v="Q2_BlackFriday_CMP-01167"/>
    <x v="0"/>
    <s v="BlackFriday"/>
    <d v="2023-05-02T00:00:00"/>
    <d v="2023-05-23T00:00:00"/>
    <x v="1"/>
    <n v="21103"/>
    <n v="986"/>
    <n v="1251.99"/>
    <n v="114"/>
    <s v="No"/>
    <s v="Email"/>
    <n v="21"/>
    <n v="4.6723214708809177E-2"/>
    <n v="0.11561866125760649"/>
    <n v="1.2697667342799188"/>
    <n v="10.982368421052632"/>
    <n v="5"/>
    <x v="1"/>
    <s v="May"/>
  </r>
  <r>
    <s v="CMP-01145"/>
    <s v="Q3_BlackFriday_CMP-01145"/>
    <x v="1"/>
    <s v="BlackFriday"/>
    <d v="2023-05-02T00:00:00"/>
    <d v="2023-05-27T00:00:00"/>
    <x v="4"/>
    <n v="52356"/>
    <n v="1778"/>
    <n v="1834.12"/>
    <n v="301"/>
    <s v="Yes"/>
    <s v="Google Ads"/>
    <n v="25"/>
    <n v="3.3959813583925434E-2"/>
    <n v="0.16929133858267717"/>
    <n v="1.0315635545556805"/>
    <n v="6.0934219269102989"/>
    <n v="5"/>
    <x v="1"/>
    <s v="May"/>
  </r>
  <r>
    <s v="CMP-00124"/>
    <s v="Q4_Launch_CMP-00124"/>
    <x v="2"/>
    <s v="Launch"/>
    <d v="2023-05-02T00:00:00"/>
    <d v="2023-05-19T00:00:00"/>
    <x v="5"/>
    <n v="78373"/>
    <n v="3388"/>
    <n v="3535.88"/>
    <n v="307"/>
    <s v="Yes"/>
    <s v="Not specified"/>
    <n v="17"/>
    <n v="4.3229173312237634E-2"/>
    <n v="9.0613931523022426E-2"/>
    <n v="1.0436481700118063"/>
    <n v="11.517524429967427"/>
    <n v="5"/>
    <x v="1"/>
    <s v="May"/>
  </r>
  <r>
    <s v="CMP-01947"/>
    <s v="Q4_BlackFriday_CMP-01947"/>
    <x v="2"/>
    <s v="BlackFriday"/>
    <d v="2023-05-02T00:00:00"/>
    <d v="2023-05-07T00:00:00"/>
    <x v="2"/>
    <n v="76897"/>
    <n v="2199"/>
    <n v="1763.84"/>
    <n v="133"/>
    <s v="No"/>
    <s v="IG"/>
    <n v="5"/>
    <n v="2.8596694279360704E-2"/>
    <n v="6.0482037289677125E-2"/>
    <n v="0.80211005002273761"/>
    <n v="13.261954887218044"/>
    <n v="5"/>
    <x v="1"/>
    <s v="May"/>
  </r>
  <r>
    <s v="CMP-00858"/>
    <s v="Q1_Summer_CMP-00858"/>
    <x v="3"/>
    <s v="Summer"/>
    <d v="2023-05-02T00:00:00"/>
    <d v="2023-07-04T00:00:00"/>
    <x v="2"/>
    <n v="79587"/>
    <n v="3672"/>
    <n v="5903.69"/>
    <n v="192"/>
    <s v="No"/>
    <s v="IG"/>
    <n v="63"/>
    <n v="4.6138188397602621E-2"/>
    <n v="5.2287581699346407E-2"/>
    <n v="1.6077587145969499"/>
    <n v="30.748385416666665"/>
    <n v="5"/>
    <x v="1"/>
    <s v="May"/>
  </r>
  <r>
    <s v="CMP-01011"/>
    <s v="Q1_Summer_CMP-01011"/>
    <x v="3"/>
    <s v="Summer"/>
    <d v="2023-05-03T00:00:00"/>
    <d v="2023-06-02T00:00:00"/>
    <x v="0"/>
    <n v="14918"/>
    <n v="505"/>
    <n v="822.24"/>
    <n v="93"/>
    <s v="No"/>
    <s v="TikTok"/>
    <n v="30"/>
    <n v="3.3851722751039016E-2"/>
    <n v="0.18415841584158416"/>
    <n v="1.6281980198019803"/>
    <n v="8.8412903225806456"/>
    <n v="5"/>
    <x v="1"/>
    <s v="May"/>
  </r>
  <r>
    <s v="CMP-01572"/>
    <s v="Q2_BlackFriday_CMP-01572"/>
    <x v="0"/>
    <s v="BlackFriday"/>
    <d v="2023-05-03T00:00:00"/>
    <d v="2023-05-12T00:00:00"/>
    <x v="0"/>
    <n v="81765"/>
    <n v="2099"/>
    <n v="3722.34"/>
    <n v="0"/>
    <s v="No"/>
    <s v="TikTok"/>
    <n v="9"/>
    <n v="2.5671130679386044E-2"/>
    <n v="0"/>
    <n v="1.7733873272987137"/>
    <s v="0"/>
    <n v="5"/>
    <x v="1"/>
    <s v="May"/>
  </r>
  <r>
    <s v="CMP-00294"/>
    <s v="Q3_Winstagramter_CMP-00294"/>
    <x v="1"/>
    <s v="Winstagramter"/>
    <d v="2023-05-03T00:00:00"/>
    <d v="2023-05-28T00:00:00"/>
    <x v="0"/>
    <n v="60040"/>
    <n v="1994"/>
    <n v="1752.66"/>
    <n v="288"/>
    <s v="No"/>
    <s v="TikTok"/>
    <n v="25"/>
    <n v="3.3211192538307795E-2"/>
    <n v="0.14443329989969911"/>
    <n v="0.87896690070210637"/>
    <n v="6.0856250000000003"/>
    <n v="5"/>
    <x v="1"/>
    <s v="May"/>
  </r>
  <r>
    <s v="CMP-00540"/>
    <s v="Q4_Summer_CMP-00540"/>
    <x v="2"/>
    <s v="Summer"/>
    <d v="2023-05-03T00:00:00"/>
    <d v="2023-06-02T00:00:00"/>
    <x v="3"/>
    <n v="92680"/>
    <n v="1326"/>
    <n v="1732.65"/>
    <n v="261"/>
    <s v="No"/>
    <s v="FB"/>
    <n v="30"/>
    <n v="1.430729391454467E-2"/>
    <n v="0.19683257918552036"/>
    <n v="1.3066742081447964"/>
    <n v="6.6385057471264375"/>
    <n v="5"/>
    <x v="1"/>
    <s v="May"/>
  </r>
  <r>
    <s v="CMP-00781"/>
    <s v="Q1_BlackFriday_CMP-00781"/>
    <x v="3"/>
    <s v="BlackFriday"/>
    <d v="2023-05-04T00:00:00"/>
    <d v="2023-05-12T00:00:00"/>
    <x v="5"/>
    <n v="28712"/>
    <n v="481"/>
    <n v="667.64"/>
    <n v="32"/>
    <s v="Yes"/>
    <s v="Not specified"/>
    <n v="8"/>
    <n v="1.6752577319587628E-2"/>
    <n v="6.6528066528066532E-2"/>
    <n v="1.388024948024948"/>
    <n v="20.86375"/>
    <n v="5"/>
    <x v="1"/>
    <s v="May"/>
  </r>
  <r>
    <s v="CMP-01598"/>
    <s v="Q1_Launch_CMP-01598"/>
    <x v="3"/>
    <s v="Launch"/>
    <d v="2023-05-04T00:00:00"/>
    <d v="2023-06-01T00:00:00"/>
    <x v="4"/>
    <n v="51072"/>
    <n v="2552"/>
    <n v="3186.93"/>
    <n v="378"/>
    <s v="Yes"/>
    <s v="Google Ads"/>
    <n v="28"/>
    <n v="4.9968671679197996E-2"/>
    <n v="0.14811912225705329"/>
    <n v="1.2487970219435736"/>
    <n v="8.4310317460317457"/>
    <n v="5"/>
    <x v="1"/>
    <s v="May"/>
  </r>
  <r>
    <s v="CMP-01248"/>
    <s v="Q2_Launch_CMP-01248"/>
    <x v="0"/>
    <s v="Launch"/>
    <d v="2023-05-04T00:00:00"/>
    <d v="2023-05-11T00:00:00"/>
    <x v="4"/>
    <n v="46765"/>
    <n v="877"/>
    <n v="1333.67"/>
    <n v="152"/>
    <s v="No"/>
    <s v="Google Ads"/>
    <n v="7"/>
    <n v="1.8753341173954882E-2"/>
    <n v="0.1733181299885975"/>
    <n v="1.5207183580387686"/>
    <n v="8.7741447368421053"/>
    <n v="5"/>
    <x v="1"/>
    <s v="May"/>
  </r>
  <r>
    <s v="CMP-00545"/>
    <s v="Q4_Summer_CMP-00545"/>
    <x v="2"/>
    <s v="Summer"/>
    <d v="2023-05-04T00:00:00"/>
    <d v="2023-05-28T00:00:00"/>
    <x v="1"/>
    <n v="39304"/>
    <n v="629"/>
    <n v="342.01"/>
    <n v="37"/>
    <s v="No"/>
    <s v="Email"/>
    <n v="24"/>
    <n v="1.6003460207612456E-2"/>
    <n v="5.8823529411764705E-2"/>
    <n v="0.54373608903020665"/>
    <n v="9.2435135135135127"/>
    <n v="5"/>
    <x v="1"/>
    <s v="May"/>
  </r>
  <r>
    <s v="CMP-00553"/>
    <s v="Q4_Summer_CMP-00553"/>
    <x v="2"/>
    <s v="Summer"/>
    <d v="2023-05-04T00:00:00"/>
    <d v="2023-05-10T00:00:00"/>
    <x v="2"/>
    <n v="13161"/>
    <n v="180"/>
    <n v="351.54"/>
    <n v="10"/>
    <s v="Yes"/>
    <s v="IG"/>
    <n v="6"/>
    <n v="1.3676772281741509E-2"/>
    <n v="5.5555555555555552E-2"/>
    <n v="1.9530000000000001"/>
    <n v="35.154000000000003"/>
    <n v="5"/>
    <x v="1"/>
    <s v="May"/>
  </r>
  <r>
    <s v="CMP-00210"/>
    <s v="Q2_Launch_CMP-00210"/>
    <x v="0"/>
    <s v="Launch"/>
    <d v="2023-05-05T00:00:00"/>
    <d v="2023-05-26T00:00:00"/>
    <x v="2"/>
    <n v="90474"/>
    <n v="4014"/>
    <n v="4136.6099999999997"/>
    <n v="516"/>
    <s v="Yes"/>
    <s v="IG"/>
    <n v="21"/>
    <n v="4.4366337290271236E-2"/>
    <n v="0.12855007473841554"/>
    <n v="1.0305455904334828"/>
    <n v="8.0166860465116265"/>
    <n v="5"/>
    <x v="1"/>
    <s v="May"/>
  </r>
  <r>
    <s v="CMP-00794"/>
    <s v="Q4_Winstagramter_CMP-00794"/>
    <x v="2"/>
    <s v="Winstagramter"/>
    <d v="2023-05-05T00:00:00"/>
    <d v="2023-05-06T00:00:00"/>
    <x v="0"/>
    <n v="76880"/>
    <n v="1751"/>
    <n v="2936.7"/>
    <n v="116"/>
    <s v="Yes"/>
    <s v="TikTok"/>
    <n v="1"/>
    <n v="2.2775754422476587E-2"/>
    <n v="6.6247858366647636E-2"/>
    <n v="1.6771559109080525"/>
    <n v="25.316379310344825"/>
    <n v="5"/>
    <x v="1"/>
    <s v="May"/>
  </r>
  <r>
    <s v="CMP-01795"/>
    <s v="Q4_Winstagramter_CMP-01795"/>
    <x v="2"/>
    <s v="Winstagramter"/>
    <d v="2023-05-05T00:00:00"/>
    <d v="2023-05-25T00:00:00"/>
    <x v="0"/>
    <n v="77919"/>
    <n v="1885"/>
    <n v="1262.8499999999999"/>
    <n v="316"/>
    <s v="Yes"/>
    <s v="TikTok"/>
    <n v="20"/>
    <n v="2.4191788908995239E-2"/>
    <n v="0.16763925729442972"/>
    <n v="0.66994694960212198"/>
    <n v="3.9963607594936708"/>
    <n v="5"/>
    <x v="1"/>
    <s v="May"/>
  </r>
  <r>
    <s v="CMP-00002"/>
    <s v="Q1_Launch_CMP-00002"/>
    <x v="3"/>
    <s v="Launch"/>
    <d v="2023-05-06T00:00:00"/>
    <d v="2023-05-12T00:00:00"/>
    <x v="3"/>
    <n v="1860"/>
    <n v="30"/>
    <n v="24.33"/>
    <n v="1"/>
    <s v="No"/>
    <s v="FB"/>
    <n v="6"/>
    <n v="1.6129032258064516E-2"/>
    <n v="3.3333333333333333E-2"/>
    <n v="0.81099999999999994"/>
    <n v="24.33"/>
    <n v="5"/>
    <x v="1"/>
    <s v="May"/>
  </r>
  <r>
    <s v="CMP-00102"/>
    <s v="Q3_BlackFriday_CMP-00102"/>
    <x v="1"/>
    <s v="BlackFriday"/>
    <d v="2023-05-06T00:00:00"/>
    <d v="2023-05-13T00:00:00"/>
    <x v="4"/>
    <n v="68563"/>
    <n v="2276"/>
    <n v="2471.4899999999998"/>
    <n v="403"/>
    <s v="Yes"/>
    <s v="Google Ads"/>
    <n v="7"/>
    <n v="3.3195746977232619E-2"/>
    <n v="0.17706502636203866"/>
    <n v="1.0858919156414761"/>
    <n v="6.1327295285359797"/>
    <n v="5"/>
    <x v="1"/>
    <s v="May"/>
  </r>
  <r>
    <s v="CMP-01866"/>
    <s v="Q3_Winstagramter_CMP-01866"/>
    <x v="1"/>
    <s v="Winstagramter"/>
    <d v="2023-05-06T00:00:00"/>
    <d v="2023-05-17T00:00:00"/>
    <x v="5"/>
    <n v="6776"/>
    <n v="239"/>
    <n v="477.11"/>
    <n v="0"/>
    <s v="Yes"/>
    <s v="Not specified"/>
    <n v="11"/>
    <n v="3.5271546635182997E-2"/>
    <n v="0"/>
    <n v="1.9962761506276152"/>
    <s v="0"/>
    <n v="5"/>
    <x v="1"/>
    <s v="May"/>
  </r>
  <r>
    <s v="CMP-00767"/>
    <s v="Q4_Launch_CMP-00767"/>
    <x v="2"/>
    <s v="Launch"/>
    <d v="2023-05-06T00:00:00"/>
    <d v="2023-05-13T00:00:00"/>
    <x v="3"/>
    <n v="57178"/>
    <n v="1387"/>
    <n v="956.45"/>
    <n v="0"/>
    <s v="Yes"/>
    <s v="FB"/>
    <n v="7"/>
    <n v="2.4257581587323798E-2"/>
    <n v="0"/>
    <n v="0.68958183129055517"/>
    <s v="0"/>
    <n v="5"/>
    <x v="1"/>
    <s v="May"/>
  </r>
  <r>
    <s v="CMP-01059"/>
    <s v="Q4_Launch_CMP-01059"/>
    <x v="2"/>
    <s v="Launch"/>
    <d v="2023-05-06T00:00:00"/>
    <d v="2023-05-25T00:00:00"/>
    <x v="4"/>
    <n v="40809"/>
    <n v="1012"/>
    <n v="678.35"/>
    <n v="201"/>
    <s v="No"/>
    <s v="Google Ads"/>
    <n v="19"/>
    <n v="2.4798451322012301E-2"/>
    <n v="0.19861660079051383"/>
    <n v="0.67030632411067192"/>
    <n v="3.3748756218905474"/>
    <n v="5"/>
    <x v="1"/>
    <s v="May"/>
  </r>
  <r>
    <s v="CMP-01760"/>
    <s v="Q3_Summer_CMP-01760"/>
    <x v="1"/>
    <s v="Summer"/>
    <d v="2023-05-06T00:00:00"/>
    <d v="2023-05-11T00:00:00"/>
    <x v="1"/>
    <n v="76418"/>
    <n v="1942"/>
    <n v="3829.18"/>
    <n v="179"/>
    <s v="Yes"/>
    <s v="Email"/>
    <n v="5"/>
    <n v="2.5412860844303699E-2"/>
    <n v="9.2173017507723998E-2"/>
    <n v="1.9717713697219361"/>
    <n v="21.392067039106145"/>
    <n v="5"/>
    <x v="1"/>
    <s v="May"/>
  </r>
  <r>
    <s v="CMP-00760"/>
    <s v="Q1_BlackFriday_CMP-00760"/>
    <x v="3"/>
    <s v="BlackFriday"/>
    <d v="2023-05-07T00:00:00"/>
    <d v="2023-05-28T00:00:00"/>
    <x v="5"/>
    <n v="36547"/>
    <n v="1025"/>
    <n v="700.09"/>
    <n v="0"/>
    <s v="Yes"/>
    <s v="Not specified"/>
    <n v="21"/>
    <n v="2.8046077653432568E-2"/>
    <n v="0"/>
    <n v="0.68301463414634145"/>
    <s v="0"/>
    <n v="5"/>
    <x v="1"/>
    <s v="May"/>
  </r>
  <r>
    <s v="CMP-00964"/>
    <s v="Q1_BlackFriday_CMP-00964"/>
    <x v="3"/>
    <s v="BlackFriday"/>
    <d v="2023-05-07T00:00:00"/>
    <d v="2023-05-30T00:00:00"/>
    <x v="2"/>
    <n v="39518"/>
    <n v="1144"/>
    <n v="1736.12"/>
    <n v="222"/>
    <s v="No"/>
    <s v="IG"/>
    <n v="23"/>
    <n v="2.8948833442988004E-2"/>
    <n v="0.19405594405594406"/>
    <n v="1.5175874125874125"/>
    <n v="7.8203603603603602"/>
    <n v="5"/>
    <x v="1"/>
    <s v="May"/>
  </r>
  <r>
    <s v="CMP-00032"/>
    <s v="Q2_Summer_CMP-00032"/>
    <x v="0"/>
    <s v="Summer"/>
    <d v="2023-05-07T00:00:00"/>
    <d v="2023-05-29T00:00:00"/>
    <x v="2"/>
    <n v="66725"/>
    <n v="1424"/>
    <n v="2759.35"/>
    <n v="251"/>
    <s v="Yes"/>
    <s v="IG"/>
    <n v="22"/>
    <n v="2.134132633945298E-2"/>
    <n v="0.17626404494382023"/>
    <n v="1.9377457865168539"/>
    <n v="10.993426294820717"/>
    <n v="5"/>
    <x v="1"/>
    <s v="May"/>
  </r>
  <r>
    <s v="CMP-00949"/>
    <s v="Q3_Launch_CMP-00949"/>
    <x v="1"/>
    <s v="Launch"/>
    <d v="2023-05-07T00:00:00"/>
    <d v="2023-06-05T00:00:00"/>
    <x v="4"/>
    <n v="5621"/>
    <n v="277"/>
    <n v="499.22"/>
    <n v="39"/>
    <s v="Yes"/>
    <s v="Google Ads"/>
    <n v="29"/>
    <n v="4.9279487635652021E-2"/>
    <n v="0.1407942238267148"/>
    <n v="1.8022382671480146"/>
    <n v="12.800512820512822"/>
    <n v="5"/>
    <x v="1"/>
    <s v="May"/>
  </r>
  <r>
    <s v="CMP-00121"/>
    <s v="Q1_Winstagramter_CMP-00121"/>
    <x v="3"/>
    <s v="Winstagramter"/>
    <d v="2023-05-08T00:00:00"/>
    <d v="2023-06-06T00:00:00"/>
    <x v="1"/>
    <n v="53256"/>
    <n v="1329"/>
    <n v="1669.23"/>
    <n v="241"/>
    <s v="No"/>
    <s v="Email"/>
    <n v="29"/>
    <n v="2.4954934655250113E-2"/>
    <n v="0.18133935289691497"/>
    <n v="1.2560045146726861"/>
    <n v="6.9262655601659748"/>
    <n v="5"/>
    <x v="1"/>
    <s v="May"/>
  </r>
  <r>
    <s v="CMP-00895"/>
    <s v="Q1_Launch_CMP-00895"/>
    <x v="3"/>
    <s v="Launch"/>
    <d v="2023-05-08T00:00:00"/>
    <d v="2023-05-27T00:00:00"/>
    <x v="2"/>
    <n v="72774"/>
    <n v="1494"/>
    <n v="2936.53"/>
    <n v="256"/>
    <s v="No"/>
    <s v="IG"/>
    <n v="19"/>
    <n v="2.0529309918377443E-2"/>
    <n v="0.17135207496653279"/>
    <n v="1.9655488621151274"/>
    <n v="11.470820312500001"/>
    <n v="5"/>
    <x v="1"/>
    <s v="May"/>
  </r>
  <r>
    <s v="CMP-01149"/>
    <s v="Q1_Launch_CMP-01149"/>
    <x v="3"/>
    <s v="Launch"/>
    <d v="2023-05-08T00:00:00"/>
    <d v="2023-05-28T00:00:00"/>
    <x v="4"/>
    <n v="45028"/>
    <n v="1793"/>
    <n v="2480.67"/>
    <n v="256"/>
    <s v="Yes"/>
    <s v="Google Ads"/>
    <n v="20"/>
    <n v="3.9819667762281248E-2"/>
    <n v="0.14277746793084217"/>
    <n v="1.3835303959843837"/>
    <n v="9.6901171875000003"/>
    <n v="5"/>
    <x v="1"/>
    <s v="May"/>
  </r>
  <r>
    <s v="CMP-01748"/>
    <s v="Q1_BlackFriday_CMP-01748"/>
    <x v="3"/>
    <s v="BlackFriday"/>
    <d v="2023-05-08T00:00:00"/>
    <d v="2023-05-27T00:00:00"/>
    <x v="4"/>
    <n v="43534"/>
    <n v="738"/>
    <n v="567.82000000000005"/>
    <n v="43"/>
    <s v="Yes"/>
    <s v="Google Ads"/>
    <n v="19"/>
    <n v="1.6952267193457986E-2"/>
    <n v="5.8265582655826556E-2"/>
    <n v="0.76940379403794046"/>
    <n v="13.205116279069768"/>
    <n v="5"/>
    <x v="1"/>
    <s v="May"/>
  </r>
  <r>
    <s v="CMP-00252"/>
    <s v="Q2_BlackFriday_CMP-00252"/>
    <x v="0"/>
    <s v="BlackFriday"/>
    <d v="2023-05-08T00:00:00"/>
    <d v="2023-06-04T00:00:00"/>
    <x v="0"/>
    <n v="35754"/>
    <n v="1269"/>
    <n v="1699.66"/>
    <n v="175"/>
    <s v="No"/>
    <s v="TikTok"/>
    <n v="27"/>
    <n v="3.5492532304077867E-2"/>
    <n v="0.13790386130811663"/>
    <n v="1.3393695823483058"/>
    <n v="9.7123428571428576"/>
    <n v="5"/>
    <x v="1"/>
    <s v="May"/>
  </r>
  <r>
    <s v="CMP-00963"/>
    <s v="Q2_Launch_CMP-00963"/>
    <x v="0"/>
    <s v="Launch"/>
    <d v="2023-05-08T00:00:00"/>
    <d v="2023-05-16T00:00:00"/>
    <x v="4"/>
    <n v="74688"/>
    <n v="2083"/>
    <n v="2697.39"/>
    <n v="336"/>
    <s v="Yes"/>
    <s v="Google Ads"/>
    <n v="8"/>
    <n v="2.7889353041988002E-2"/>
    <n v="0.1613058089294287"/>
    <n v="1.2949543927028324"/>
    <n v="8.027946428571429"/>
    <n v="5"/>
    <x v="1"/>
    <s v="May"/>
  </r>
  <r>
    <s v="CMP-01005"/>
    <s v="Q3_Summer_CMP-01005"/>
    <x v="1"/>
    <s v="Summer"/>
    <d v="2023-05-08T00:00:00"/>
    <d v="2023-06-06T00:00:00"/>
    <x v="3"/>
    <n v="72158"/>
    <n v="3237"/>
    <n v="4582.1899999999996"/>
    <n v="291"/>
    <s v="Yes"/>
    <s v="FB"/>
    <n v="29"/>
    <n v="4.4859890795199427E-2"/>
    <n v="8.989805375347544E-2"/>
    <n v="1.4155668829162804"/>
    <n v="15.746357388316151"/>
    <n v="5"/>
    <x v="1"/>
    <s v="May"/>
  </r>
  <r>
    <s v="CMP-00167"/>
    <s v="Q4_Summer_CMP-00167"/>
    <x v="2"/>
    <s v="Summer"/>
    <d v="2023-05-08T00:00:00"/>
    <d v="2023-06-03T00:00:00"/>
    <x v="4"/>
    <n v="96259"/>
    <n v="1611"/>
    <n v="2247.61"/>
    <n v="143"/>
    <s v="Yes"/>
    <s v="Google Ads"/>
    <n v="26"/>
    <n v="1.673609740387912E-2"/>
    <n v="8.8764742396027316E-2"/>
    <n v="1.3951644941030417"/>
    <n v="15.717552447552448"/>
    <n v="5"/>
    <x v="1"/>
    <s v="May"/>
  </r>
  <r>
    <s v="CMP-00616"/>
    <s v="Q1_BlackFriday_CMP-00616"/>
    <x v="3"/>
    <s v="BlackFriday"/>
    <d v="2023-05-09T00:00:00"/>
    <d v="2023-06-06T00:00:00"/>
    <x v="4"/>
    <n v="25466"/>
    <n v="468"/>
    <n v="473.06"/>
    <n v="30"/>
    <s v="No"/>
    <s v="Google Ads"/>
    <n v="28"/>
    <n v="1.8377444435718211E-2"/>
    <n v="6.4102564102564097E-2"/>
    <n v="1.0108119658119659"/>
    <n v="15.768666666666666"/>
    <n v="5"/>
    <x v="1"/>
    <s v="May"/>
  </r>
  <r>
    <s v="CMP-01648"/>
    <s v="Q1_Launch_CMP-01648"/>
    <x v="3"/>
    <s v="Launch"/>
    <d v="2023-05-09T00:00:00"/>
    <d v="2023-06-07T00:00:00"/>
    <x v="1"/>
    <n v="56554"/>
    <n v="2334"/>
    <n v="3501.23"/>
    <n v="175"/>
    <s v="No"/>
    <s v="Email"/>
    <n v="29"/>
    <n v="4.1270290341974041E-2"/>
    <n v="7.4978577549271633E-2"/>
    <n v="1.5000985432733505"/>
    <n v="20.00702857142857"/>
    <n v="5"/>
    <x v="1"/>
    <s v="May"/>
  </r>
  <r>
    <s v="CMP-00350"/>
    <s v="Q2_Launch_CMP-00350"/>
    <x v="0"/>
    <s v="Launch"/>
    <d v="2023-05-09T00:00:00"/>
    <d v="2023-05-22T00:00:00"/>
    <x v="3"/>
    <n v="75543"/>
    <n v="824"/>
    <n v="1166.9100000000001"/>
    <n v="138"/>
    <s v="Yes"/>
    <s v="FB"/>
    <n v="13"/>
    <n v="1.0907694955191083E-2"/>
    <n v="0.16747572815533981"/>
    <n v="1.4161529126213592"/>
    <n v="8.4558695652173927"/>
    <n v="5"/>
    <x v="1"/>
    <s v="May"/>
  </r>
  <r>
    <s v="CMP-01441"/>
    <s v="Q2_Winstagramter_CMP-01441"/>
    <x v="0"/>
    <s v="Winstagramter"/>
    <d v="2023-05-09T00:00:00"/>
    <d v="2023-05-17T00:00:00"/>
    <x v="0"/>
    <n v="92248"/>
    <n v="4424"/>
    <n v="5760.01"/>
    <n v="396"/>
    <s v="Yes"/>
    <s v="TikTok"/>
    <n v="8"/>
    <n v="4.7957679299280201E-2"/>
    <n v="8.9511754068716087E-2"/>
    <n v="1.301991410488246"/>
    <n v="14.545479797979798"/>
    <n v="5"/>
    <x v="1"/>
    <s v="May"/>
  </r>
  <r>
    <s v="CMP-01506"/>
    <s v="Q2_Summer_CMP-01506"/>
    <x v="0"/>
    <s v="Summer"/>
    <d v="2023-05-09T00:00:00"/>
    <d v="2023-05-25T00:00:00"/>
    <x v="5"/>
    <n v="55756"/>
    <n v="900"/>
    <n v="609.6"/>
    <n v="171"/>
    <s v="Yes"/>
    <s v="Not specified"/>
    <n v="16"/>
    <n v="1.6141760528014922E-2"/>
    <n v="0.19"/>
    <n v="0.67733333333333334"/>
    <n v="3.5649122807017544"/>
    <n v="5"/>
    <x v="1"/>
    <s v="May"/>
  </r>
  <r>
    <s v="CMP-00039"/>
    <s v="Q3_Launch_CMP-00039"/>
    <x v="1"/>
    <s v="Launch"/>
    <d v="2023-05-09T00:00:00"/>
    <d v="2023-05-25T00:00:00"/>
    <x v="1"/>
    <n v="12394"/>
    <n v="324"/>
    <n v="418.96"/>
    <n v="22"/>
    <s v="Yes"/>
    <s v="Email"/>
    <n v="16"/>
    <n v="2.6141681458770372E-2"/>
    <n v="6.7901234567901231E-2"/>
    <n v="1.2930864197530862"/>
    <n v="19.043636363636363"/>
    <n v="5"/>
    <x v="1"/>
    <s v="May"/>
  </r>
  <r>
    <s v="CMP-00110"/>
    <s v="Q3_Launch_CMP-00110"/>
    <x v="1"/>
    <s v="Launch"/>
    <d v="2023-05-09T00:00:00"/>
    <d v="2023-05-17T00:00:00"/>
    <x v="2"/>
    <n v="62858"/>
    <n v="2991"/>
    <n v="5391.63"/>
    <n v="457"/>
    <s v="No"/>
    <s v="IG"/>
    <n v="8"/>
    <n v="4.7583442043972128E-2"/>
    <n v="0.15279170845870946"/>
    <n v="1.802617853560682"/>
    <n v="11.797877461706783"/>
    <n v="5"/>
    <x v="1"/>
    <s v="May"/>
  </r>
  <r>
    <s v="CMP-00522"/>
    <s v="Q4_Summer_CMP-00522"/>
    <x v="2"/>
    <s v="Summer"/>
    <d v="2023-05-09T00:00:00"/>
    <d v="2023-05-12T00:00:00"/>
    <x v="2"/>
    <n v="10540"/>
    <n v="523"/>
    <n v="437.21"/>
    <n v="95"/>
    <s v="Yes"/>
    <s v="IG"/>
    <n v="3"/>
    <n v="4.9620493358633777E-2"/>
    <n v="0.18164435946462715"/>
    <n v="0.83596558317399616"/>
    <n v="4.6022105263157895"/>
    <n v="5"/>
    <x v="1"/>
    <s v="May"/>
  </r>
  <r>
    <s v="CMP-01695"/>
    <s v="Q4_Launch_CMP-01695"/>
    <x v="2"/>
    <s v="Launch"/>
    <d v="2023-05-09T00:00:00"/>
    <d v="2023-06-07T00:00:00"/>
    <x v="3"/>
    <n v="26559"/>
    <n v="985"/>
    <n v="884.16"/>
    <n v="176"/>
    <s v="Yes"/>
    <s v="FB"/>
    <n v="29"/>
    <n v="3.7087239730411538E-2"/>
    <n v="0.17868020304568527"/>
    <n v="0.89762436548223346"/>
    <n v="5.0236363636363635"/>
    <n v="5"/>
    <x v="1"/>
    <s v="May"/>
  </r>
  <r>
    <s v="CMP-00285"/>
    <s v="Q2_Summer_CMP-00285"/>
    <x v="0"/>
    <s v="Summer"/>
    <d v="2023-05-10T00:00:00"/>
    <d v="2023-05-13T00:00:00"/>
    <x v="5"/>
    <n v="73694"/>
    <n v="1417"/>
    <n v="1245.82"/>
    <n v="177"/>
    <s v="Yes"/>
    <s v="Not specified"/>
    <n v="3"/>
    <n v="1.9228159687355823E-2"/>
    <n v="0.12491178546224418"/>
    <n v="0.87919548341566689"/>
    <n v="7.0385310734463271"/>
    <n v="5"/>
    <x v="1"/>
    <s v="May"/>
  </r>
  <r>
    <s v="CMP-00825"/>
    <s v="Q3_Winstagramter_CMP-00825"/>
    <x v="1"/>
    <s v="Winstagramter"/>
    <d v="2023-05-10T00:00:00"/>
    <d v="2023-05-31T00:00:00"/>
    <x v="4"/>
    <n v="38744"/>
    <n v="562"/>
    <n v="553.05999999999995"/>
    <n v="89"/>
    <s v="No"/>
    <s v="Google Ads"/>
    <n v="21"/>
    <n v="1.4505471814990708E-2"/>
    <n v="0.15836298932384341"/>
    <n v="0.98409252669039138"/>
    <n v="6.2141573033707855"/>
    <n v="5"/>
    <x v="1"/>
    <s v="May"/>
  </r>
  <r>
    <s v="CMP-01891"/>
    <s v="Q4_Summer_CMP-01891"/>
    <x v="2"/>
    <s v="Summer"/>
    <d v="2023-05-10T00:00:00"/>
    <d v="2023-05-24T00:00:00"/>
    <x v="2"/>
    <n v="9712"/>
    <n v="303"/>
    <n v="571.6"/>
    <n v="15"/>
    <s v="No"/>
    <s v="IG"/>
    <n v="14"/>
    <n v="3.119851729818781E-2"/>
    <n v="4.9504950495049507E-2"/>
    <n v="1.8864686468646865"/>
    <n v="38.106666666666669"/>
    <n v="5"/>
    <x v="1"/>
    <s v="May"/>
  </r>
  <r>
    <s v="CMP-00345"/>
    <s v="Q1_BlackFriday_CMP-00345"/>
    <x v="3"/>
    <s v="BlackFriday"/>
    <d v="2023-05-10T00:00:00"/>
    <d v="2023-12-04T00:00:00"/>
    <x v="0"/>
    <n v="40790"/>
    <n v="1584"/>
    <n v="2629.55"/>
    <n v="83"/>
    <s v="No"/>
    <s v="TikTok"/>
    <n v="208"/>
    <n v="3.883304731551851E-2"/>
    <n v="5.2398989898989896E-2"/>
    <n v="1.6600694444444446"/>
    <n v="31.681325301204822"/>
    <n v="5"/>
    <x v="1"/>
    <s v="May"/>
  </r>
  <r>
    <s v="CMP-00141"/>
    <s v="Q1_Winstagramter_CMP-00141"/>
    <x v="3"/>
    <s v="Winstagramter"/>
    <d v="2023-05-11T00:00:00"/>
    <d v="2023-05-14T00:00:00"/>
    <x v="3"/>
    <n v="1206"/>
    <n v="48"/>
    <n v="92.31"/>
    <n v="2"/>
    <s v="Yes"/>
    <s v="FB"/>
    <n v="3"/>
    <n v="3.9800995024875621E-2"/>
    <n v="4.1666666666666664E-2"/>
    <n v="1.923125"/>
    <n v="46.155000000000001"/>
    <n v="5"/>
    <x v="1"/>
    <s v="May"/>
  </r>
  <r>
    <s v="CMP-01813"/>
    <s v="Q2_BlackFriday_CMP-01813"/>
    <x v="0"/>
    <s v="BlackFriday"/>
    <d v="2023-05-11T00:00:00"/>
    <d v="2023-05-28T00:00:00"/>
    <x v="1"/>
    <n v="30241"/>
    <n v="819"/>
    <n v="834.39"/>
    <n v="121"/>
    <s v="Yes"/>
    <s v="Email"/>
    <n v="17"/>
    <n v="2.7082437750074403E-2"/>
    <n v="0.14774114774114774"/>
    <n v="1.0187912087912088"/>
    <n v="6.8957851239669417"/>
    <n v="5"/>
    <x v="1"/>
    <s v="May"/>
  </r>
  <r>
    <s v="CMP-00785"/>
    <s v="Q3_Summer_CMP-00785"/>
    <x v="1"/>
    <s v="Summer"/>
    <d v="2023-05-11T00:00:00"/>
    <d v="2023-06-07T00:00:00"/>
    <x v="3"/>
    <n v="5158"/>
    <n v="126"/>
    <n v="166.33"/>
    <n v="6"/>
    <s v="No"/>
    <s v="FB"/>
    <n v="27"/>
    <n v="2.44280728964715E-2"/>
    <n v="4.7619047619047616E-2"/>
    <n v="1.3200793650793652"/>
    <n v="27.721666666666668"/>
    <n v="5"/>
    <x v="1"/>
    <s v="May"/>
  </r>
  <r>
    <s v="CMP-01629"/>
    <s v="Q3_Launch_CMP-01629"/>
    <x v="1"/>
    <s v="Launch"/>
    <d v="2023-05-11T00:00:00"/>
    <d v="2023-06-04T00:00:00"/>
    <x v="3"/>
    <n v="30757"/>
    <n v="1353"/>
    <n v="1933.18"/>
    <n v="151"/>
    <s v="Yes"/>
    <s v="FB"/>
    <n v="24"/>
    <n v="4.3989986019442727E-2"/>
    <n v="0.11160384331116038"/>
    <n v="1.4288100517368811"/>
    <n v="12.802516556291391"/>
    <n v="5"/>
    <x v="1"/>
    <s v="May"/>
  </r>
  <r>
    <s v="CMP-00336"/>
    <s v="Q4_Summer_CMP-00336"/>
    <x v="2"/>
    <s v="Summer"/>
    <d v="2023-05-11T00:00:00"/>
    <d v="2023-06-03T00:00:00"/>
    <x v="0"/>
    <n v="75290"/>
    <n v="2483"/>
    <n v="2278.66"/>
    <n v="244"/>
    <s v="Yes"/>
    <s v="TikTok"/>
    <n v="23"/>
    <n v="3.297914729711781E-2"/>
    <n v="9.8268223922674189E-2"/>
    <n v="0.91770438985098668"/>
    <n v="9.3387704918032775"/>
    <n v="5"/>
    <x v="1"/>
    <s v="May"/>
  </r>
  <r>
    <s v="CMP-01542"/>
    <s v="Q4_Winstagramter_CMP-01542"/>
    <x v="2"/>
    <s v="Winstagramter"/>
    <d v="2023-05-11T00:00:00"/>
    <d v="2023-05-17T00:00:00"/>
    <x v="2"/>
    <n v="38265"/>
    <n v="1040"/>
    <n v="1381.02"/>
    <n v="93"/>
    <s v="No"/>
    <s v="IG"/>
    <n v="6"/>
    <n v="2.7178884097739449E-2"/>
    <n v="8.9423076923076925E-2"/>
    <n v="1.3279038461538462"/>
    <n v="14.849677419354839"/>
    <n v="5"/>
    <x v="1"/>
    <s v="May"/>
  </r>
  <r>
    <s v="CMP-01928"/>
    <s v="Q4_Summer_CMP-01928"/>
    <x v="2"/>
    <s v="Summer"/>
    <d v="2023-05-11T00:00:00"/>
    <d v="2023-05-22T00:00:00"/>
    <x v="4"/>
    <n v="36488"/>
    <n v="1795"/>
    <n v="2046.82"/>
    <n v="158"/>
    <s v="Yes"/>
    <s v="Google Ads"/>
    <n v="11"/>
    <n v="4.9194255645691735E-2"/>
    <n v="8.8022284122562675E-2"/>
    <n v="1.1402896935933147"/>
    <n v="12.954556962025316"/>
    <n v="5"/>
    <x v="1"/>
    <s v="May"/>
  </r>
  <r>
    <s v="CMP-01314"/>
    <s v="Q1_Winstagramter_CMP-01314"/>
    <x v="3"/>
    <s v="Winstagramter"/>
    <d v="2023-05-12T00:00:00"/>
    <d v="2023-06-07T00:00:00"/>
    <x v="4"/>
    <n v="77534"/>
    <n v="2249"/>
    <n v="3766.68"/>
    <n v="315"/>
    <s v="No"/>
    <s v="Google Ads"/>
    <n v="26"/>
    <n v="2.9006629349704646E-2"/>
    <n v="0.14006224988883947"/>
    <n v="1.6748243663850599"/>
    <n v="11.957714285714285"/>
    <n v="5"/>
    <x v="1"/>
    <s v="May"/>
  </r>
  <r>
    <s v="CMP-01632"/>
    <s v="Q2_Winstagramter_CMP-01632"/>
    <x v="0"/>
    <s v="Winstagramter"/>
    <d v="2023-05-12T00:00:00"/>
    <d v="2023-05-30T00:00:00"/>
    <x v="1"/>
    <n v="49280"/>
    <n v="595"/>
    <n v="493.07"/>
    <n v="75"/>
    <s v="No"/>
    <s v="Email"/>
    <n v="18"/>
    <n v="1.2073863636363636E-2"/>
    <n v="0.12605042016806722"/>
    <n v="0.82868907563025207"/>
    <n v="6.5742666666666665"/>
    <n v="5"/>
    <x v="1"/>
    <s v="May"/>
  </r>
  <r>
    <s v="CMP-01737"/>
    <s v="Q3_Summer_CMP-01737"/>
    <x v="1"/>
    <s v="Summer"/>
    <d v="2023-05-12T00:00:00"/>
    <d v="2023-05-19T00:00:00"/>
    <x v="4"/>
    <n v="50708"/>
    <n v="1629"/>
    <n v="2858.28"/>
    <n v="191"/>
    <s v="No"/>
    <s v="Google Ads"/>
    <n v="7"/>
    <n v="3.2125108464147671E-2"/>
    <n v="0.11724984653161449"/>
    <n v="1.7546224677716391"/>
    <n v="14.964816753926703"/>
    <n v="5"/>
    <x v="1"/>
    <s v="May"/>
  </r>
  <r>
    <s v="CMP-01771"/>
    <s v="Q4_Winstagramter_CMP-01771"/>
    <x v="2"/>
    <s v="Winstagramter"/>
    <d v="2023-05-12T00:00:00"/>
    <d v="2024-01-03T00:00:00"/>
    <x v="0"/>
    <n v="77242"/>
    <n v="3067"/>
    <n v="3342.7"/>
    <n v="280"/>
    <s v="Yes"/>
    <s v="TikTok"/>
    <n v="236"/>
    <n v="3.9706377359467644E-2"/>
    <n v="9.1294424519074019E-2"/>
    <n v="1.0898924029996739"/>
    <n v="11.938214285714285"/>
    <n v="5"/>
    <x v="1"/>
    <s v="May"/>
  </r>
  <r>
    <s v="CMP-01829"/>
    <s v="Q4_Summer_CMP-01829"/>
    <x v="2"/>
    <s v="Summer"/>
    <d v="2023-05-12T00:00:00"/>
    <d v="2023-05-13T00:00:00"/>
    <x v="2"/>
    <n v="51975"/>
    <n v="2149"/>
    <n v="1573.68"/>
    <n v="210"/>
    <s v="No"/>
    <s v="IG"/>
    <n v="1"/>
    <n v="4.1346801346801347E-2"/>
    <n v="9.7719869706840393E-2"/>
    <n v="0.73228478362028848"/>
    <n v="7.4937142857142858"/>
    <n v="5"/>
    <x v="1"/>
    <s v="May"/>
  </r>
  <r>
    <s v="CMP-00304"/>
    <s v="Q4_Winstagramter_CMP-00304"/>
    <x v="2"/>
    <s v="Winstagramter"/>
    <d v="2023-05-12T00:00:00"/>
    <d v="2023-05-17T00:00:00"/>
    <x v="4"/>
    <n v="39360"/>
    <n v="867"/>
    <n v="778.61"/>
    <n v="137"/>
    <s v="Yes"/>
    <s v="Google Ads"/>
    <n v="5"/>
    <n v="2.2027439024390243E-2"/>
    <n v="0.1580161476355248"/>
    <n v="0.89805074971164933"/>
    <n v="5.6832846715328467"/>
    <n v="5"/>
    <x v="1"/>
    <s v="May"/>
  </r>
  <r>
    <s v="CMP-00225"/>
    <s v="Q2_Launch_CMP-00225"/>
    <x v="0"/>
    <s v="Launch"/>
    <d v="2023-05-13T00:00:00"/>
    <d v="2023-05-28T00:00:00"/>
    <x v="5"/>
    <n v="27309"/>
    <n v="835"/>
    <n v="1395.15"/>
    <n v="144"/>
    <s v="Yes"/>
    <s v="Not specified"/>
    <n v="15"/>
    <n v="3.0576000585887435E-2"/>
    <n v="0.17245508982035929"/>
    <n v="1.6708383233532935"/>
    <n v="9.6885416666666675"/>
    <n v="5"/>
    <x v="1"/>
    <s v="May"/>
  </r>
  <r>
    <s v="CMP-01614"/>
    <s v="Q3_BlackFriday_CMP-01614"/>
    <x v="1"/>
    <s v="BlackFriday"/>
    <d v="2023-05-13T00:00:00"/>
    <d v="2023-05-16T00:00:00"/>
    <x v="2"/>
    <n v="91816"/>
    <n v="4404"/>
    <n v="7462.36"/>
    <n v="575"/>
    <s v="Yes"/>
    <s v="IG"/>
    <n v="3"/>
    <n v="4.7965496209810929E-2"/>
    <n v="0.13056312443233425"/>
    <n v="1.6944504995458674"/>
    <n v="12.978017391304347"/>
    <n v="5"/>
    <x v="1"/>
    <s v="May"/>
  </r>
  <r>
    <s v="CMP-01035"/>
    <s v="Q4_Winstagramter_CMP-01035"/>
    <x v="2"/>
    <s v="Winstagramter"/>
    <d v="2023-05-13T00:00:00"/>
    <d v="2023-05-19T00:00:00"/>
    <x v="3"/>
    <n v="7469"/>
    <n v="208"/>
    <n v="192.41"/>
    <n v="27"/>
    <s v="No"/>
    <s v="FB"/>
    <n v="6"/>
    <n v="2.7848440219574239E-2"/>
    <n v="0.12980769230769232"/>
    <n v="0.92504807692307689"/>
    <n v="7.1262962962962959"/>
    <n v="5"/>
    <x v="1"/>
    <s v="May"/>
  </r>
  <r>
    <s v="CMP-01072"/>
    <s v="Q1_Launch_CMP-01072"/>
    <x v="3"/>
    <s v="Launch"/>
    <d v="2023-05-14T00:00:00"/>
    <d v="2023-05-21T00:00:00"/>
    <x v="0"/>
    <n v="43078"/>
    <n v="442"/>
    <n v="749.07"/>
    <n v="51"/>
    <s v="Yes"/>
    <s v="TikTok"/>
    <n v="7"/>
    <n v="1.0260457774269928E-2"/>
    <n v="0.11538461538461539"/>
    <n v="1.6947285067873303"/>
    <n v="14.687647058823531"/>
    <n v="5"/>
    <x v="1"/>
    <s v="May"/>
  </r>
  <r>
    <s v="CMP-01580"/>
    <s v="Q3_Summer_CMP-01580"/>
    <x v="1"/>
    <s v="Summer"/>
    <d v="2023-05-14T00:00:00"/>
    <d v="2023-06-11T00:00:00"/>
    <x v="0"/>
    <n v="49543"/>
    <n v="898"/>
    <n v="1411.7"/>
    <n v="0"/>
    <s v="Yes"/>
    <s v="TikTok"/>
    <n v="28"/>
    <n v="1.8125668611105504E-2"/>
    <n v="0"/>
    <n v="1.5720489977728285"/>
    <s v="0"/>
    <n v="5"/>
    <x v="1"/>
    <s v="May"/>
  </r>
  <r>
    <s v="CMP-00044"/>
    <s v="Q1_Winstagramter_CMP-00044"/>
    <x v="3"/>
    <s v="Winstagramter"/>
    <d v="2023-05-15T00:00:00"/>
    <d v="2023-06-01T00:00:00"/>
    <x v="1"/>
    <n v="81038"/>
    <n v="2149"/>
    <n v="3729.91"/>
    <n v="116"/>
    <s v="Yes"/>
    <s v="Email"/>
    <n v="17"/>
    <n v="2.6518423455662774E-2"/>
    <n v="5.397859469520707E-2"/>
    <n v="1.735649139134481"/>
    <n v="32.154396551724133"/>
    <n v="5"/>
    <x v="1"/>
    <s v="May"/>
  </r>
  <r>
    <s v="CMP-01179"/>
    <s v="Q2_Summer_CMP-01179"/>
    <x v="0"/>
    <s v="Summer"/>
    <d v="2023-05-15T00:00:00"/>
    <d v="2023-06-11T00:00:00"/>
    <x v="1"/>
    <n v="77325"/>
    <n v="783"/>
    <n v="498.74"/>
    <n v="104"/>
    <s v="Yes"/>
    <s v="Email"/>
    <n v="27"/>
    <n v="1.0126091173617846E-2"/>
    <n v="0.13282247765006386"/>
    <n v="0.63696040868454662"/>
    <n v="4.795576923076923"/>
    <n v="5"/>
    <x v="1"/>
    <s v="May"/>
  </r>
  <r>
    <s v="CMP-01676"/>
    <s v="Q2_Summer_CMP-01676"/>
    <x v="0"/>
    <s v="Summer"/>
    <d v="2023-05-15T00:00:00"/>
    <d v="2023-06-04T00:00:00"/>
    <x v="0"/>
    <n v="35701"/>
    <n v="1692"/>
    <n v="1371.35"/>
    <n v="259"/>
    <s v="Yes"/>
    <s v="TikTok"/>
    <n v="20"/>
    <n v="4.7393630430520153E-2"/>
    <n v="0.15307328605200946"/>
    <n v="0.81049054373522456"/>
    <n v="5.2947876447876441"/>
    <n v="5"/>
    <x v="1"/>
    <s v="May"/>
  </r>
  <r>
    <s v="CMP-01503"/>
    <s v="Q4_Winstagramter_CMP-01503"/>
    <x v="2"/>
    <s v="Winstagramter"/>
    <d v="2023-05-15T00:00:00"/>
    <d v="2023-05-28T00:00:00"/>
    <x v="0"/>
    <n v="52860"/>
    <n v="2420"/>
    <n v="3586.65"/>
    <n v="430"/>
    <s v="Yes"/>
    <s v="TikTok"/>
    <n v="13"/>
    <n v="4.5781309118426032E-2"/>
    <n v="0.17768595041322313"/>
    <n v="1.4820867768595041"/>
    <n v="8.3410465116279067"/>
    <n v="5"/>
    <x v="1"/>
    <s v="May"/>
  </r>
  <r>
    <s v="CMP-01592"/>
    <s v="Q4_BlackFriday_CMP-01592"/>
    <x v="2"/>
    <s v="BlackFriday"/>
    <d v="2023-05-15T00:00:00"/>
    <d v="2023-06-04T00:00:00"/>
    <x v="5"/>
    <n v="13984"/>
    <n v="641"/>
    <n v="324.19"/>
    <n v="110"/>
    <s v="No"/>
    <s v="Not specified"/>
    <n v="20"/>
    <n v="4.5838100686498857E-2"/>
    <n v="0.17160686427457097"/>
    <n v="0.50575663026521056"/>
    <n v="2.9471818181818183"/>
    <n v="5"/>
    <x v="1"/>
    <s v="May"/>
  </r>
  <r>
    <s v="CMP-01790"/>
    <s v="Q4_BlackFriday_CMP-01790"/>
    <x v="2"/>
    <s v="BlackFriday"/>
    <d v="2023-05-15T00:00:00"/>
    <d v="2023-06-13T00:00:00"/>
    <x v="2"/>
    <n v="81395"/>
    <n v="910"/>
    <n v="730"/>
    <n v="46"/>
    <s v="Yes"/>
    <s v="IG"/>
    <n v="29"/>
    <n v="1.1180047914491061E-2"/>
    <n v="5.054945054945055E-2"/>
    <n v="0.80219780219780223"/>
    <n v="15.869565217391305"/>
    <n v="5"/>
    <x v="1"/>
    <s v="May"/>
  </r>
  <r>
    <s v="CMP-00397"/>
    <s v="Q1_Winstagramter_CMP-00397"/>
    <x v="3"/>
    <s v="Winstagramter"/>
    <d v="2023-05-16T00:00:00"/>
    <d v="2023-06-03T00:00:00"/>
    <x v="0"/>
    <n v="20190"/>
    <n v="760"/>
    <n v="896.21"/>
    <n v="89"/>
    <s v="Yes"/>
    <s v="TikTok"/>
    <n v="18"/>
    <n v="3.7642397226349676E-2"/>
    <n v="0.11710526315789474"/>
    <n v="1.1792236842105264"/>
    <n v="10.069775280898877"/>
    <n v="5"/>
    <x v="1"/>
    <s v="May"/>
  </r>
  <r>
    <s v="CMP-00624"/>
    <s v="Q1_Summer_CMP-00624"/>
    <x v="3"/>
    <s v="Summer"/>
    <d v="2023-05-16T00:00:00"/>
    <d v="2023-06-11T00:00:00"/>
    <x v="3"/>
    <n v="33307"/>
    <n v="416"/>
    <n v="799.71"/>
    <n v="61"/>
    <s v="Yes"/>
    <s v="FB"/>
    <n v="26"/>
    <n v="1.2489866994925991E-2"/>
    <n v="0.14663461538461539"/>
    <n v="1.9223798076923078"/>
    <n v="13.110000000000001"/>
    <n v="5"/>
    <x v="1"/>
    <s v="May"/>
  </r>
  <r>
    <s v="CMP-00013"/>
    <s v="Q2_Launch_CMP-00013"/>
    <x v="0"/>
    <s v="Launch"/>
    <d v="2023-05-16T00:00:00"/>
    <d v="2023-06-01T00:00:00"/>
    <x v="4"/>
    <n v="68221"/>
    <n v="2975"/>
    <n v="5292.16"/>
    <n v="567"/>
    <s v="No"/>
    <s v="Google Ads"/>
    <n v="16"/>
    <n v="4.360827311238475E-2"/>
    <n v="0.19058823529411764"/>
    <n v="1.7788773109243696"/>
    <n v="9.3336155202821871"/>
    <n v="5"/>
    <x v="1"/>
    <s v="May"/>
  </r>
  <r>
    <s v="CMP-00647"/>
    <s v="Q2_Launch_CMP-00647"/>
    <x v="0"/>
    <s v="Launch"/>
    <d v="2023-05-16T00:00:00"/>
    <d v="2023-05-21T00:00:00"/>
    <x v="4"/>
    <n v="75460"/>
    <n v="3116"/>
    <n v="5070.29"/>
    <n v="0"/>
    <s v="Yes"/>
    <s v="Google Ads"/>
    <n v="5"/>
    <n v="4.1293400477073944E-2"/>
    <n v="0"/>
    <n v="1.6271790757381257"/>
    <s v="0"/>
    <n v="5"/>
    <x v="1"/>
    <s v="May"/>
  </r>
  <r>
    <s v="CMP-00082"/>
    <s v="Q4_Launch_CMP-00082"/>
    <x v="2"/>
    <s v="Launch"/>
    <d v="2023-05-16T00:00:00"/>
    <d v="2023-05-23T00:00:00"/>
    <x v="0"/>
    <n v="56591"/>
    <n v="1829"/>
    <n v="1748.61"/>
    <n v="138"/>
    <s v="No"/>
    <s v="TikTok"/>
    <n v="7"/>
    <n v="3.2319626795780244E-2"/>
    <n v="7.5451066156369595E-2"/>
    <n v="0.95604702022963362"/>
    <n v="12.671086956521739"/>
    <n v="5"/>
    <x v="1"/>
    <s v="May"/>
  </r>
  <r>
    <s v="CMP-00320"/>
    <s v="Q4_Launch_CMP-00320"/>
    <x v="2"/>
    <s v="Launch"/>
    <d v="2023-05-16T00:00:00"/>
    <d v="2023-05-22T00:00:00"/>
    <x v="3"/>
    <n v="4987"/>
    <n v="150"/>
    <n v="190.41"/>
    <n v="13"/>
    <s v="No"/>
    <s v="FB"/>
    <n v="6"/>
    <n v="3.0078203328654501E-2"/>
    <n v="8.666666666666667E-2"/>
    <n v="1.2694000000000001"/>
    <n v="14.646923076923077"/>
    <n v="5"/>
    <x v="1"/>
    <s v="May"/>
  </r>
  <r>
    <s v="CMP-00667"/>
    <s v="Q4_BlackFriday_CMP-00667"/>
    <x v="2"/>
    <s v="BlackFriday"/>
    <d v="2023-05-16T00:00:00"/>
    <d v="2023-06-07T00:00:00"/>
    <x v="3"/>
    <n v="89092"/>
    <n v="4178"/>
    <n v="6846.2"/>
    <n v="0"/>
    <s v="No"/>
    <s v="FB"/>
    <n v="22"/>
    <n v="4.68953441386432E-2"/>
    <n v="0"/>
    <n v="1.6386309238870271"/>
    <s v="0"/>
    <n v="5"/>
    <x v="1"/>
    <s v="May"/>
  </r>
  <r>
    <s v="CMP-01176"/>
    <s v="Q4_Winstagramter_CMP-01176"/>
    <x v="2"/>
    <s v="Winstagramter"/>
    <d v="2023-05-16T00:00:00"/>
    <d v="2023-06-15T00:00:00"/>
    <x v="4"/>
    <n v="72315"/>
    <n v="2101"/>
    <n v="2359.9899999999998"/>
    <n v="116"/>
    <s v="No"/>
    <s v="Google Ads"/>
    <n v="30"/>
    <n v="2.9053446726128741E-2"/>
    <n v="5.5211803902903381E-2"/>
    <n v="1.1232698714897666"/>
    <n v="20.344741379310342"/>
    <n v="5"/>
    <x v="1"/>
    <s v="May"/>
  </r>
  <r>
    <s v="CMP-00818"/>
    <s v="Q1_Launch_CMP-00818"/>
    <x v="3"/>
    <s v="Launch"/>
    <d v="2023-05-16T00:00:00"/>
    <d v="2023-09-05T00:00:00"/>
    <x v="1"/>
    <n v="35816"/>
    <n v="1291"/>
    <n v="1261.81"/>
    <n v="82"/>
    <s v="Yes"/>
    <s v="Email"/>
    <n v="112"/>
    <n v="3.6045342863524683E-2"/>
    <n v="6.3516653756777688E-2"/>
    <n v="0.97738962044926414"/>
    <n v="15.387926829268292"/>
    <n v="5"/>
    <x v="1"/>
    <s v="May"/>
  </r>
  <r>
    <s v="CMP-00722"/>
    <s v="Q1_Summer_CMP-00722"/>
    <x v="3"/>
    <s v="Summer"/>
    <d v="2023-05-17T00:00:00"/>
    <d v="2023-05-21T00:00:00"/>
    <x v="4"/>
    <n v="77539"/>
    <n v="1476"/>
    <n v="790.1"/>
    <n v="178"/>
    <s v="Yes"/>
    <s v="Google Ads"/>
    <n v="4"/>
    <n v="1.9035582094171964E-2"/>
    <n v="0.12059620596205962"/>
    <n v="0.53529810298102987"/>
    <n v="4.4387640449438202"/>
    <n v="5"/>
    <x v="1"/>
    <s v="May"/>
  </r>
  <r>
    <s v="CMP-00291"/>
    <s v="Q2_Launch_CMP-00291"/>
    <x v="0"/>
    <s v="Launch"/>
    <d v="2023-05-17T00:00:00"/>
    <d v="2023-06-09T00:00:00"/>
    <x v="1"/>
    <n v="67690"/>
    <n v="3372"/>
    <n v="3393.83"/>
    <n v="0"/>
    <s v="No"/>
    <s v="Email"/>
    <n v="23"/>
    <n v="4.9815334613680012E-2"/>
    <n v="0"/>
    <n v="1.0064739027283511"/>
    <s v="0"/>
    <n v="5"/>
    <x v="1"/>
    <s v="May"/>
  </r>
  <r>
    <s v="CMP-00128"/>
    <s v="Q4_Winstagramter_CMP-00128"/>
    <x v="2"/>
    <s v="Winstagramter"/>
    <d v="2023-05-17T00:00:00"/>
    <d v="2023-06-11T00:00:00"/>
    <x v="2"/>
    <n v="64335"/>
    <n v="2690"/>
    <n v="3893.68"/>
    <n v="0"/>
    <s v="Yes"/>
    <s v="IG"/>
    <n v="25"/>
    <n v="4.1812388280096369E-2"/>
    <n v="0"/>
    <n v="1.4474646840148697"/>
    <s v="0"/>
    <n v="5"/>
    <x v="1"/>
    <s v="May"/>
  </r>
  <r>
    <s v="CMP-00433"/>
    <s v="Q4_Winstagramter_CMP-00433"/>
    <x v="2"/>
    <s v="Winstagramter"/>
    <d v="2023-05-17T00:00:00"/>
    <d v="2023-06-16T00:00:00"/>
    <x v="3"/>
    <n v="93772"/>
    <n v="2810"/>
    <n v="2135.64"/>
    <n v="181"/>
    <s v="Yes"/>
    <s v="FB"/>
    <n v="30"/>
    <n v="2.9966301241308706E-2"/>
    <n v="6.4412811387900351E-2"/>
    <n v="0.76001423487544484"/>
    <n v="11.799116022099447"/>
    <n v="5"/>
    <x v="1"/>
    <s v="May"/>
  </r>
  <r>
    <s v="CMP-00945"/>
    <s v="Q2_Summer_CMP-00945"/>
    <x v="0"/>
    <s v="Summer"/>
    <d v="2023-05-18T00:00:00"/>
    <d v="2023-06-12T00:00:00"/>
    <x v="5"/>
    <n v="74686"/>
    <n v="3646"/>
    <n v="2810.25"/>
    <n v="429"/>
    <s v="Yes"/>
    <s v="Not specified"/>
    <n v="25"/>
    <n v="4.881771684117505E-2"/>
    <n v="0.1176631925397696"/>
    <n v="0.77077619308831591"/>
    <n v="6.5506993006993008"/>
    <n v="5"/>
    <x v="1"/>
    <s v="May"/>
  </r>
  <r>
    <s v="CMP-01036"/>
    <s v="Q2_BlackFriday_CMP-01036"/>
    <x v="0"/>
    <s v="BlackFriday"/>
    <d v="2023-05-18T00:00:00"/>
    <d v="2023-06-06T00:00:00"/>
    <x v="3"/>
    <n v="31105"/>
    <n v="416"/>
    <n v="730.44"/>
    <n v="60"/>
    <s v="No"/>
    <s v="FB"/>
    <n v="19"/>
    <n v="1.3374055618067834E-2"/>
    <n v="0.14423076923076922"/>
    <n v="1.7558653846153847"/>
    <n v="12.174000000000001"/>
    <n v="5"/>
    <x v="1"/>
    <s v="May"/>
  </r>
  <r>
    <s v="CMP-01233"/>
    <s v="Q2_Launch_CMP-01233"/>
    <x v="0"/>
    <s v="Launch"/>
    <d v="2023-05-18T00:00:00"/>
    <d v="2023-05-25T00:00:00"/>
    <x v="4"/>
    <n v="26150"/>
    <n v="514"/>
    <n v="417.68"/>
    <n v="71"/>
    <s v="Yes"/>
    <s v="Google Ads"/>
    <n v="7"/>
    <n v="1.9655831739961761E-2"/>
    <n v="0.13813229571984437"/>
    <n v="0.81260700389105056"/>
    <n v="5.882816901408451"/>
    <n v="5"/>
    <x v="1"/>
    <s v="May"/>
  </r>
  <r>
    <s v="CMP-01615"/>
    <s v="Q2_BlackFriday_CMP-01615"/>
    <x v="0"/>
    <s v="BlackFriday"/>
    <d v="2023-05-18T00:00:00"/>
    <d v="2023-05-21T00:00:00"/>
    <x v="5"/>
    <n v="91093"/>
    <n v="3214"/>
    <n v="5622.59"/>
    <n v="162"/>
    <s v="Yes"/>
    <s v="Not specified"/>
    <n v="3"/>
    <n v="3.5282623253158861E-2"/>
    <n v="5.0404480398257623E-2"/>
    <n v="1.7494057249533292"/>
    <n v="34.707345679012349"/>
    <n v="5"/>
    <x v="1"/>
    <s v="May"/>
  </r>
  <r>
    <s v="CMP-01180"/>
    <s v="Q4_Winstagramter_CMP-01180"/>
    <x v="2"/>
    <s v="Winstagramter"/>
    <d v="2023-05-18T00:00:00"/>
    <d v="2023-06-05T00:00:00"/>
    <x v="1"/>
    <n v="13999"/>
    <n v="498"/>
    <n v="487.06"/>
    <n v="45"/>
    <s v="Yes"/>
    <s v="Email"/>
    <n v="18"/>
    <n v="3.5573969569254946E-2"/>
    <n v="9.036144578313253E-2"/>
    <n v="0.97803212851405619"/>
    <n v="10.823555555555556"/>
    <n v="5"/>
    <x v="1"/>
    <s v="May"/>
  </r>
  <r>
    <s v="CMP-01210"/>
    <s v="Q4_Winstagramter_CMP-01210"/>
    <x v="2"/>
    <s v="Winstagramter"/>
    <d v="2023-05-18T00:00:00"/>
    <d v="2023-05-29T00:00:00"/>
    <x v="0"/>
    <n v="48882"/>
    <n v="499"/>
    <n v="871.91"/>
    <n v="29"/>
    <s v="No"/>
    <s v="TikTok"/>
    <n v="11"/>
    <n v="1.0208256617977987E-2"/>
    <n v="5.8116232464929862E-2"/>
    <n v="1.7473146292585169"/>
    <n v="30.065862068965515"/>
    <n v="5"/>
    <x v="1"/>
    <s v="May"/>
  </r>
  <r>
    <s v="CMP-01322"/>
    <s v="Q4_Summer_CMP-01322"/>
    <x v="2"/>
    <s v="Summer"/>
    <d v="2023-05-18T00:00:00"/>
    <d v="2023-06-06T00:00:00"/>
    <x v="2"/>
    <n v="86230"/>
    <n v="1245"/>
    <n v="1196.0899999999999"/>
    <n v="142"/>
    <s v="Yes"/>
    <s v="IG"/>
    <n v="19"/>
    <n v="1.443813058100429E-2"/>
    <n v="0.11405622489959839"/>
    <n v="0.96071485943775092"/>
    <n v="8.4231690140845057"/>
    <n v="5"/>
    <x v="1"/>
    <s v="May"/>
  </r>
  <r>
    <s v="CMP-01680"/>
    <s v="Q4_Winstagramter_CMP-01680"/>
    <x v="2"/>
    <s v="Winstagramter"/>
    <d v="2023-05-18T00:00:00"/>
    <d v="2023-05-31T00:00:00"/>
    <x v="1"/>
    <n v="24874"/>
    <n v="495"/>
    <n v="752.69"/>
    <n v="32"/>
    <s v="Yes"/>
    <s v="Email"/>
    <n v="13"/>
    <n v="1.9900297499396962E-2"/>
    <n v="6.4646464646464646E-2"/>
    <n v="1.5205858585858587"/>
    <n v="23.521562500000002"/>
    <n v="5"/>
    <x v="1"/>
    <s v="May"/>
  </r>
  <r>
    <s v="CMP-00235"/>
    <s v="Q1_Winstagramter_CMP-00235"/>
    <x v="3"/>
    <s v="Winstagramter"/>
    <d v="2023-05-19T00:00:00"/>
    <d v="2023-06-08T00:00:00"/>
    <x v="2"/>
    <n v="53083"/>
    <n v="1172"/>
    <n v="1081.6099999999999"/>
    <n v="197"/>
    <s v="Yes"/>
    <s v="IG"/>
    <n v="20"/>
    <n v="2.2078631576964377E-2"/>
    <n v="0.16808873720136519"/>
    <n v="0.92287542662116029"/>
    <n v="5.4904060913705575"/>
    <n v="5"/>
    <x v="1"/>
    <s v="May"/>
  </r>
  <r>
    <s v="CMP-00187"/>
    <s v="Q1_Summer_CMP-00187"/>
    <x v="3"/>
    <s v="Summer"/>
    <d v="2023-05-20T00:00:00"/>
    <d v="2023-06-13T00:00:00"/>
    <x v="3"/>
    <n v="59053"/>
    <n v="1608"/>
    <n v="2955.25"/>
    <n v="230"/>
    <s v="Yes"/>
    <s v="FB"/>
    <n v="24"/>
    <n v="2.7229776641322201E-2"/>
    <n v="0.14303482587064675"/>
    <n v="1.8378420398009949"/>
    <n v="12.848913043478261"/>
    <n v="5"/>
    <x v="1"/>
    <s v="May"/>
  </r>
  <r>
    <s v="CMP-01946"/>
    <s v="Q1_Winstagramter_CMP-01946"/>
    <x v="3"/>
    <s v="Winstagramter"/>
    <d v="2023-05-20T00:00:00"/>
    <d v="2023-06-06T00:00:00"/>
    <x v="0"/>
    <n v="51861"/>
    <n v="2079"/>
    <n v="4074.61"/>
    <n v="113"/>
    <s v="Yes"/>
    <s v="TikTok"/>
    <n v="17"/>
    <n v="4.0087927344247119E-2"/>
    <n v="5.4353054353054354E-2"/>
    <n v="1.95988936988937"/>
    <n v="36.058495575221237"/>
    <n v="5"/>
    <x v="1"/>
    <s v="May"/>
  </r>
  <r>
    <s v="CMP-01965"/>
    <s v="Q1_Summer_CMP-01965"/>
    <x v="3"/>
    <s v="Summer"/>
    <d v="2023-05-20T00:00:00"/>
    <d v="2023-06-05T00:00:00"/>
    <x v="3"/>
    <n v="4389"/>
    <n v="75"/>
    <n v="46.41"/>
    <n v="4"/>
    <s v="No"/>
    <s v="FB"/>
    <n v="16"/>
    <n v="1.7088174982911826E-2"/>
    <n v="5.3333333333333337E-2"/>
    <n v="0.61879999999999991"/>
    <n v="11.602499999999999"/>
    <n v="5"/>
    <x v="1"/>
    <s v="May"/>
  </r>
  <r>
    <s v="CMP-00434"/>
    <s v="Q3_BlackFriday_CMP-00434"/>
    <x v="1"/>
    <s v="BlackFriday"/>
    <d v="2023-05-20T00:00:00"/>
    <d v="2023-06-17T00:00:00"/>
    <x v="0"/>
    <n v="81135"/>
    <n v="1674"/>
    <n v="2056.89"/>
    <n v="196"/>
    <s v="Yes"/>
    <s v="TikTok"/>
    <n v="28"/>
    <n v="2.0632279534109815E-2"/>
    <n v="0.11708482676224612"/>
    <n v="1.2287275985663082"/>
    <n v="10.494336734693876"/>
    <n v="5"/>
    <x v="1"/>
    <s v="May"/>
  </r>
  <r>
    <s v="CMP-00271"/>
    <s v="Q4_Launch_CMP-00271"/>
    <x v="2"/>
    <s v="Launch"/>
    <d v="2023-05-20T00:00:00"/>
    <d v="2023-06-08T00:00:00"/>
    <x v="2"/>
    <n v="86981"/>
    <n v="3114"/>
    <n v="5021.03"/>
    <n v="482"/>
    <s v="Yes"/>
    <s v="IG"/>
    <n v="19"/>
    <n v="3.5800922040445618E-2"/>
    <n v="0.15478484264611433"/>
    <n v="1.6124052665382145"/>
    <n v="10.41707468879668"/>
    <n v="5"/>
    <x v="1"/>
    <s v="May"/>
  </r>
  <r>
    <s v="CMP-00526"/>
    <s v="Q4_Summer_CMP-00526"/>
    <x v="2"/>
    <s v="Summer"/>
    <d v="2023-05-20T00:00:00"/>
    <d v="2023-05-21T00:00:00"/>
    <x v="4"/>
    <n v="52991"/>
    <n v="1077"/>
    <n v="609.65"/>
    <n v="161"/>
    <s v="No"/>
    <s v="Google Ads"/>
    <n v="1"/>
    <n v="2.0324205997244816E-2"/>
    <n v="0.14948932219127206"/>
    <n v="0.56606313834726085"/>
    <n v="3.7866459627329192"/>
    <n v="5"/>
    <x v="1"/>
    <s v="May"/>
  </r>
  <r>
    <s v="CMP-01660"/>
    <s v="Q4_BlackFriday_CMP-01660"/>
    <x v="2"/>
    <s v="BlackFriday"/>
    <d v="2023-05-20T00:00:00"/>
    <d v="2023-06-09T00:00:00"/>
    <x v="5"/>
    <n v="27172"/>
    <n v="607"/>
    <n v="751.8"/>
    <n v="103"/>
    <s v="No"/>
    <s v="Not specified"/>
    <n v="20"/>
    <n v="2.2339172677756515E-2"/>
    <n v="0.16968698517298189"/>
    <n v="1.2385502471169687"/>
    <n v="7.2990291262135916"/>
    <n v="5"/>
    <x v="1"/>
    <s v="May"/>
  </r>
  <r>
    <s v="CMP-00408"/>
    <s v="Q1_BlackFriday_CMP-00408"/>
    <x v="3"/>
    <s v="BlackFriday"/>
    <d v="2023-05-21T00:00:00"/>
    <d v="2023-05-28T00:00:00"/>
    <x v="3"/>
    <n v="78575"/>
    <n v="2058"/>
    <n v="1214.52"/>
    <n v="119"/>
    <s v="No"/>
    <s v="FB"/>
    <n v="7"/>
    <n v="2.6191536748329622E-2"/>
    <n v="5.7823129251700682E-2"/>
    <n v="0.5901457725947522"/>
    <n v="10.206050420168067"/>
    <n v="5"/>
    <x v="1"/>
    <s v="May"/>
  </r>
  <r>
    <s v="CMP-00687"/>
    <s v="Q1_Summer_CMP-00687"/>
    <x v="3"/>
    <s v="Summer"/>
    <d v="2023-05-21T00:00:00"/>
    <d v="2023-05-27T00:00:00"/>
    <x v="2"/>
    <n v="26289"/>
    <n v="594"/>
    <n v="1166.6500000000001"/>
    <n v="0"/>
    <s v="No"/>
    <s v="IG"/>
    <n v="6"/>
    <n v="2.2595001711742554E-2"/>
    <n v="0"/>
    <n v="1.9640572390572393"/>
    <s v="0"/>
    <n v="5"/>
    <x v="1"/>
    <s v="May"/>
  </r>
  <r>
    <s v="CMP-00983"/>
    <s v="Q2_Launch_CMP-00983"/>
    <x v="0"/>
    <s v="Launch"/>
    <d v="2023-05-21T00:00:00"/>
    <d v="2023-06-04T00:00:00"/>
    <x v="1"/>
    <n v="13910"/>
    <n v="458"/>
    <n v="363.1"/>
    <n v="83"/>
    <s v="Yes"/>
    <s v="Email"/>
    <n v="14"/>
    <n v="3.2925952552120774E-2"/>
    <n v="0.18122270742358079"/>
    <n v="0.79279475982532754"/>
    <n v="4.3746987951807235"/>
    <n v="5"/>
    <x v="1"/>
    <s v="May"/>
  </r>
  <r>
    <s v="CMP-01238"/>
    <s v="Q2_Winstagramter_CMP-01238"/>
    <x v="0"/>
    <s v="Winstagramter"/>
    <d v="2023-05-21T00:00:00"/>
    <d v="2023-06-01T00:00:00"/>
    <x v="2"/>
    <n v="9070"/>
    <n v="167"/>
    <n v="117.98"/>
    <n v="28"/>
    <s v="Yes"/>
    <s v="IG"/>
    <n v="11"/>
    <n v="1.8412348401323043E-2"/>
    <n v="0.16766467065868262"/>
    <n v="0.70646706586826347"/>
    <n v="4.213571428571429"/>
    <n v="5"/>
    <x v="1"/>
    <s v="May"/>
  </r>
  <r>
    <s v="CMP-01274"/>
    <s v="Q2_Winstagramter_CMP-01274"/>
    <x v="0"/>
    <s v="Winstagramter"/>
    <d v="2023-05-21T00:00:00"/>
    <d v="2023-06-14T00:00:00"/>
    <x v="3"/>
    <n v="3482"/>
    <n v="72"/>
    <n v="123.7"/>
    <n v="13"/>
    <s v="Yes"/>
    <s v="FB"/>
    <n v="24"/>
    <n v="2.067777139574957E-2"/>
    <n v="0.18055555555555555"/>
    <n v="1.7180555555555557"/>
    <n v="9.5153846153846153"/>
    <n v="5"/>
    <x v="1"/>
    <s v="May"/>
  </r>
  <r>
    <s v="CMP-00477"/>
    <s v="Q3_BlackFriday_CMP-00477"/>
    <x v="1"/>
    <s v="BlackFriday"/>
    <d v="2023-05-21T00:00:00"/>
    <d v="2023-06-05T00:00:00"/>
    <x v="4"/>
    <n v="4343"/>
    <n v="212"/>
    <n v="116.11"/>
    <n v="0"/>
    <s v="No"/>
    <s v="Google Ads"/>
    <n v="15"/>
    <n v="4.881418374395579E-2"/>
    <n v="0"/>
    <n v="0.54768867924528297"/>
    <s v="0"/>
    <n v="5"/>
    <x v="1"/>
    <s v="May"/>
  </r>
  <r>
    <s v="CMP-00617"/>
    <s v="Q3_Winstagramter_CMP-00617"/>
    <x v="1"/>
    <s v="Winstagramter"/>
    <d v="2023-05-21T00:00:00"/>
    <d v="2023-06-09T00:00:00"/>
    <x v="0"/>
    <n v="37939"/>
    <n v="1631"/>
    <n v="2784.84"/>
    <n v="253"/>
    <s v="No"/>
    <s v="TikTok"/>
    <n v="19"/>
    <n v="4.2990062995861777E-2"/>
    <n v="0.15511955855303494"/>
    <n v="1.7074432863274065"/>
    <n v="11.007272727272728"/>
    <n v="5"/>
    <x v="1"/>
    <s v="May"/>
  </r>
  <r>
    <s v="CMP-00774"/>
    <s v="Q3_Launch_CMP-00774"/>
    <x v="1"/>
    <s v="Launch"/>
    <d v="2023-05-21T00:00:00"/>
    <d v="2023-05-25T00:00:00"/>
    <x v="3"/>
    <n v="59141"/>
    <n v="1821"/>
    <n v="2748.38"/>
    <n v="208"/>
    <s v="No"/>
    <s v="FB"/>
    <n v="4"/>
    <n v="3.0790821934022081E-2"/>
    <n v="0.11422295442064799"/>
    <n v="1.5092696320702912"/>
    <n v="13.213365384615384"/>
    <n v="5"/>
    <x v="1"/>
    <s v="May"/>
  </r>
  <r>
    <s v="CMP-01495"/>
    <s v="Q1_Launch_CMP-01495"/>
    <x v="3"/>
    <s v="Launch"/>
    <d v="2023-05-21T00:00:00"/>
    <d v="2023-09-05T00:00:00"/>
    <x v="4"/>
    <n v="58134"/>
    <n v="688"/>
    <n v="1327"/>
    <n v="113"/>
    <s v="Yes"/>
    <s v="Google Ads"/>
    <n v="107"/>
    <n v="1.1834726665978601E-2"/>
    <n v="0.16424418604651161"/>
    <n v="1.9287790697674418"/>
    <n v="11.743362831858407"/>
    <n v="5"/>
    <x v="1"/>
    <s v="May"/>
  </r>
  <r>
    <s v="CMP-01550"/>
    <s v="Q2_Winstagramter_CMP-01550"/>
    <x v="0"/>
    <s v="Winstagramter"/>
    <d v="2023-05-22T00:00:00"/>
    <d v="2023-06-17T00:00:00"/>
    <x v="3"/>
    <n v="97443"/>
    <n v="1771"/>
    <n v="2283.04"/>
    <n v="217"/>
    <s v="Yes"/>
    <s v="FB"/>
    <n v="26"/>
    <n v="1.8174727789579549E-2"/>
    <n v="0.1225296442687747"/>
    <n v="1.289124788255223"/>
    <n v="10.520921658986175"/>
    <n v="5"/>
    <x v="1"/>
    <s v="May"/>
  </r>
  <r>
    <s v="CMP-00870"/>
    <s v="Q3_Summer_CMP-00870"/>
    <x v="1"/>
    <s v="Summer"/>
    <d v="2023-05-22T00:00:00"/>
    <d v="2023-06-12T00:00:00"/>
    <x v="1"/>
    <n v="57800"/>
    <n v="1460"/>
    <n v="1403.49"/>
    <n v="93"/>
    <s v="Yes"/>
    <s v="Email"/>
    <n v="21"/>
    <n v="2.5259515570934254E-2"/>
    <n v="6.3698630136986303E-2"/>
    <n v="0.96129452054794517"/>
    <n v="15.091290322580646"/>
    <n v="5"/>
    <x v="1"/>
    <s v="May"/>
  </r>
  <r>
    <s v="CMP-01198"/>
    <s v="Q3_Summer_CMP-01198"/>
    <x v="1"/>
    <s v="Summer"/>
    <d v="2023-05-22T00:00:00"/>
    <d v="2023-06-13T00:00:00"/>
    <x v="1"/>
    <n v="65644"/>
    <n v="2581"/>
    <n v="3658.49"/>
    <n v="411"/>
    <s v="Yes"/>
    <s v="Email"/>
    <n v="22"/>
    <n v="3.9318140271768935E-2"/>
    <n v="0.15924060441689267"/>
    <n v="1.417469972878729"/>
    <n v="8.9014355231143547"/>
    <n v="5"/>
    <x v="1"/>
    <s v="May"/>
  </r>
  <r>
    <s v="CMP-01246"/>
    <s v="Q4_Summer_CMP-01246"/>
    <x v="2"/>
    <s v="Summer"/>
    <d v="2023-05-22T00:00:00"/>
    <d v="2023-06-13T00:00:00"/>
    <x v="2"/>
    <n v="68526"/>
    <n v="2993"/>
    <n v="1677.38"/>
    <n v="435"/>
    <s v="Yes"/>
    <s v="IG"/>
    <n v="22"/>
    <n v="4.3676852581501911E-2"/>
    <n v="0.14533912462412296"/>
    <n v="0.56043434680922155"/>
    <n v="3.8560459770114943"/>
    <n v="5"/>
    <x v="1"/>
    <s v="May"/>
  </r>
  <r>
    <s v="CMP-01578"/>
    <s v="Q4_Winstagramter_CMP-01578"/>
    <x v="2"/>
    <s v="Winstagramter"/>
    <d v="2023-05-22T00:00:00"/>
    <d v="2023-06-05T00:00:00"/>
    <x v="0"/>
    <n v="28788"/>
    <n v="1120"/>
    <n v="1518.29"/>
    <n v="115"/>
    <s v="No"/>
    <s v="TikTok"/>
    <n v="14"/>
    <n v="3.890509934695012E-2"/>
    <n v="0.10267857142857142"/>
    <n v="1.3556160714285714"/>
    <n v="13.202521739130434"/>
    <n v="5"/>
    <x v="1"/>
    <s v="May"/>
  </r>
  <r>
    <s v="CMP-01023"/>
    <s v="Q1_Winstagramter_CMP-01023"/>
    <x v="3"/>
    <s v="Winstagramter"/>
    <d v="2023-05-23T00:00:00"/>
    <d v="2023-06-14T00:00:00"/>
    <x v="2"/>
    <n v="29746"/>
    <n v="462"/>
    <n v="539.65"/>
    <n v="35"/>
    <s v="Yes"/>
    <s v="IG"/>
    <n v="22"/>
    <n v="1.5531500033617966E-2"/>
    <n v="7.575757575757576E-2"/>
    <n v="1.168073593073593"/>
    <n v="15.418571428571427"/>
    <n v="5"/>
    <x v="1"/>
    <s v="May"/>
  </r>
  <r>
    <s v="CMP-00278"/>
    <s v="Q2_Summer_CMP-00278"/>
    <x v="0"/>
    <s v="Summer"/>
    <d v="2023-05-23T00:00:00"/>
    <d v="2023-06-16T00:00:00"/>
    <x v="0"/>
    <n v="17371"/>
    <n v="751"/>
    <n v="833.49"/>
    <n v="53"/>
    <s v="Yes"/>
    <s v="TikTok"/>
    <n v="24"/>
    <n v="4.3232974497726097E-2"/>
    <n v="7.057256990679095E-2"/>
    <n v="1.1098402130492677"/>
    <n v="15.72622641509434"/>
    <n v="5"/>
    <x v="1"/>
    <s v="May"/>
  </r>
  <r>
    <s v="CMP-00008"/>
    <s v="Q4_Launch_CMP-00008"/>
    <x v="2"/>
    <s v="Launch"/>
    <d v="2023-05-23T00:00:00"/>
    <d v="2023-05-28T00:00:00"/>
    <x v="2"/>
    <n v="88498"/>
    <n v="1173"/>
    <n v="865.7"/>
    <n v="127"/>
    <s v="Yes"/>
    <s v="IG"/>
    <n v="5"/>
    <n v="1.3254536825690976E-2"/>
    <n v="0.1082693947144075"/>
    <n v="0.73802216538789434"/>
    <n v="6.8165354330708663"/>
    <n v="5"/>
    <x v="1"/>
    <s v="May"/>
  </r>
  <r>
    <s v="CMP-00134"/>
    <s v="Q4_Summer_CMP-00134"/>
    <x v="2"/>
    <s v="Summer"/>
    <d v="2023-05-23T00:00:00"/>
    <d v="2023-06-08T00:00:00"/>
    <x v="3"/>
    <n v="80309"/>
    <n v="2657"/>
    <n v="4308.83"/>
    <n v="253"/>
    <s v="Yes"/>
    <s v="FB"/>
    <n v="16"/>
    <n v="3.3084710306441369E-2"/>
    <n v="9.5220173127587501E-2"/>
    <n v="1.6216898757997742"/>
    <n v="17.030948616600789"/>
    <n v="5"/>
    <x v="1"/>
    <s v="May"/>
  </r>
  <r>
    <s v="CMP-00683"/>
    <s v="Q4_Summer_CMP-00683"/>
    <x v="2"/>
    <s v="Summer"/>
    <d v="2023-05-23T00:00:00"/>
    <d v="2023-06-17T00:00:00"/>
    <x v="1"/>
    <n v="20870"/>
    <n v="247"/>
    <n v="340.18"/>
    <n v="16"/>
    <s v="No"/>
    <s v="Email"/>
    <n v="25"/>
    <n v="1.1835170100622903E-2"/>
    <n v="6.4777327935222673E-2"/>
    <n v="1.3772469635627531"/>
    <n v="21.26125"/>
    <n v="5"/>
    <x v="1"/>
    <s v="May"/>
  </r>
  <r>
    <s v="CMP-00379"/>
    <s v="Q2_BlackFriday_CMP-00379"/>
    <x v="0"/>
    <s v="BlackFriday"/>
    <d v="2023-05-24T00:00:00"/>
    <d v="2023-06-12T00:00:00"/>
    <x v="3"/>
    <n v="24093"/>
    <n v="241"/>
    <n v="247.17"/>
    <n v="19"/>
    <s v="No"/>
    <s v="FB"/>
    <n v="19"/>
    <n v="1.0002905408209854E-2"/>
    <n v="7.8838174273858919E-2"/>
    <n v="1.0256016597510373"/>
    <n v="13.008947368421053"/>
    <n v="5"/>
    <x v="1"/>
    <s v="May"/>
  </r>
  <r>
    <s v="CMP-01111"/>
    <s v="Q3_Launch_CMP-01111"/>
    <x v="1"/>
    <s v="Launch"/>
    <d v="2023-05-24T00:00:00"/>
    <d v="2023-06-20T00:00:00"/>
    <x v="0"/>
    <n v="74340"/>
    <n v="3657"/>
    <n v="3610.86"/>
    <n v="662"/>
    <s v="Yes"/>
    <s v="TikTok"/>
    <n v="27"/>
    <n v="4.9192897497982245E-2"/>
    <n v="0.18102269619907027"/>
    <n v="0.98738310090237902"/>
    <n v="5.4544712990936555"/>
    <n v="5"/>
    <x v="1"/>
    <s v="May"/>
  </r>
  <r>
    <s v="CMP-00491"/>
    <s v="Q1_BlackFriday_CMP-00491"/>
    <x v="3"/>
    <s v="BlackFriday"/>
    <d v="2023-05-25T00:00:00"/>
    <d v="2023-06-02T00:00:00"/>
    <x v="5"/>
    <n v="94468"/>
    <n v="4632"/>
    <n v="2847.1"/>
    <n v="400"/>
    <s v="Yes"/>
    <s v="Not specified"/>
    <n v="8"/>
    <n v="4.9032476605834777E-2"/>
    <n v="8.6355785837651119E-2"/>
    <n v="0.61465889464594126"/>
    <n v="7.11775"/>
    <n v="5"/>
    <x v="1"/>
    <s v="May"/>
  </r>
  <r>
    <s v="CMP-00796"/>
    <s v="Q1_Summer_CMP-00796"/>
    <x v="3"/>
    <s v="Summer"/>
    <d v="2023-05-25T00:00:00"/>
    <d v="2023-05-29T00:00:00"/>
    <x v="0"/>
    <n v="1384"/>
    <n v="40"/>
    <n v="56.33"/>
    <n v="7"/>
    <s v="No"/>
    <s v="TikTok"/>
    <n v="4"/>
    <n v="2.8901734104046242E-2"/>
    <n v="0.17499999999999999"/>
    <n v="1.40825"/>
    <n v="8.0471428571428572"/>
    <n v="5"/>
    <x v="1"/>
    <s v="May"/>
  </r>
  <r>
    <s v="CMP-01428"/>
    <s v="Q2_BlackFriday_CMP-01428"/>
    <x v="0"/>
    <s v="BlackFriday"/>
    <d v="2023-05-25T00:00:00"/>
    <d v="2023-05-29T00:00:00"/>
    <x v="1"/>
    <n v="87145"/>
    <n v="3398"/>
    <n v="5122.08"/>
    <n v="259"/>
    <s v="No"/>
    <s v="Email"/>
    <n v="4"/>
    <n v="3.8992483791382176E-2"/>
    <n v="7.6221306650971155E-2"/>
    <n v="1.5073808122424956"/>
    <n v="19.776370656370656"/>
    <n v="5"/>
    <x v="1"/>
    <s v="May"/>
  </r>
  <r>
    <s v="CMP-00644"/>
    <s v="Q3_Winstagramter_CMP-00644"/>
    <x v="1"/>
    <s v="Winstagramter"/>
    <d v="2023-05-25T00:00:00"/>
    <d v="2023-06-18T00:00:00"/>
    <x v="1"/>
    <n v="10348"/>
    <n v="346"/>
    <n v="205.12"/>
    <n v="45"/>
    <s v="Yes"/>
    <s v="Email"/>
    <n v="24"/>
    <n v="3.3436412833397759E-2"/>
    <n v="0.13005780346820808"/>
    <n v="0.59283236994219657"/>
    <n v="4.5582222222222226"/>
    <n v="5"/>
    <x v="1"/>
    <s v="May"/>
  </r>
  <r>
    <s v="CMP-00447"/>
    <s v="Q1_BlackFriday_CMP-00447"/>
    <x v="3"/>
    <s v="BlackFriday"/>
    <d v="2023-05-26T00:00:00"/>
    <d v="2023-06-14T00:00:00"/>
    <x v="1"/>
    <n v="40734"/>
    <n v="1480"/>
    <n v="2030.75"/>
    <n v="225"/>
    <s v="Yes"/>
    <s v="Email"/>
    <n v="19"/>
    <n v="3.6333284234300586E-2"/>
    <n v="0.15202702702702703"/>
    <n v="1.3721283783783784"/>
    <n v="9.025555555555556"/>
    <n v="5"/>
    <x v="1"/>
    <s v="May"/>
  </r>
  <r>
    <s v="CMP-01679"/>
    <s v="Q1_Launch_CMP-01679"/>
    <x v="3"/>
    <s v="Launch"/>
    <d v="2023-05-26T00:00:00"/>
    <d v="2023-05-29T00:00:00"/>
    <x v="1"/>
    <n v="84560"/>
    <n v="2969"/>
    <n v="3070.36"/>
    <n v="520"/>
    <s v="No"/>
    <s v="Email"/>
    <n v="3"/>
    <n v="3.5111163670766318E-2"/>
    <n v="0.17514314584035029"/>
    <n v="1.0341394408891884"/>
    <n v="5.9045384615384622"/>
    <n v="5"/>
    <x v="1"/>
    <s v="May"/>
  </r>
  <r>
    <s v="CMP-00975"/>
    <s v="Q3_Winstagramter_CMP-00975"/>
    <x v="1"/>
    <s v="Winstagramter"/>
    <d v="2023-05-26T00:00:00"/>
    <d v="2023-06-15T00:00:00"/>
    <x v="2"/>
    <n v="7168"/>
    <n v="185"/>
    <n v="222.9"/>
    <n v="26"/>
    <s v="No"/>
    <s v="IG"/>
    <n v="20"/>
    <n v="2.5809151785714284E-2"/>
    <n v="0.14054054054054055"/>
    <n v="1.204864864864865"/>
    <n v="8.5730769230769237"/>
    <n v="5"/>
    <x v="1"/>
    <s v="May"/>
  </r>
  <r>
    <s v="CMP-01969"/>
    <s v="Q3_Launch_CMP-01969"/>
    <x v="1"/>
    <s v="Launch"/>
    <d v="2023-05-26T00:00:00"/>
    <d v="2023-06-05T00:00:00"/>
    <x v="0"/>
    <n v="25826"/>
    <n v="1272"/>
    <n v="1426.69"/>
    <n v="188"/>
    <s v="Yes"/>
    <s v="TikTok"/>
    <n v="10"/>
    <n v="4.9252691086501973E-2"/>
    <n v="0.14779874213836477"/>
    <n v="1.1216116352201257"/>
    <n v="7.5887765957446813"/>
    <n v="5"/>
    <x v="1"/>
    <s v="May"/>
  </r>
  <r>
    <s v="CMP-00083"/>
    <s v="Q1_BlackFriday_CMP-00083"/>
    <x v="3"/>
    <s v="BlackFriday"/>
    <d v="2023-05-27T00:00:00"/>
    <d v="2023-06-07T00:00:00"/>
    <x v="2"/>
    <n v="90812"/>
    <n v="2869"/>
    <n v="2803.46"/>
    <n v="258"/>
    <s v="Yes"/>
    <s v="IG"/>
    <n v="11"/>
    <n v="3.1592741047438665E-2"/>
    <n v="8.9926803764377838E-2"/>
    <n v="0.97715580341582431"/>
    <n v="10.866124031007752"/>
    <n v="5"/>
    <x v="1"/>
    <s v="May"/>
  </r>
  <r>
    <s v="CMP-00821"/>
    <s v="Q1_Launch_CMP-00821"/>
    <x v="3"/>
    <s v="Launch"/>
    <d v="2023-05-27T00:00:00"/>
    <d v="2023-06-16T00:00:00"/>
    <x v="1"/>
    <n v="18100"/>
    <n v="774"/>
    <n v="721.66"/>
    <n v="154"/>
    <s v="Yes"/>
    <s v="Email"/>
    <n v="20"/>
    <n v="4.276243093922652E-2"/>
    <n v="0.19896640826873385"/>
    <n v="0.93237726098191209"/>
    <n v="4.6861038961038961"/>
    <n v="5"/>
    <x v="1"/>
    <s v="May"/>
  </r>
  <r>
    <s v="CMP-01638"/>
    <s v="Q1_Summer_CMP-01638"/>
    <x v="3"/>
    <s v="Summer"/>
    <d v="2023-05-27T00:00:00"/>
    <d v="2023-06-07T00:00:00"/>
    <x v="5"/>
    <n v="82470"/>
    <n v="3347"/>
    <n v="2206.3000000000002"/>
    <n v="514"/>
    <s v="Yes"/>
    <s v="Not specified"/>
    <n v="11"/>
    <n v="4.0584454953316355E-2"/>
    <n v="0.15357036151777712"/>
    <n v="0.65918733193904999"/>
    <n v="4.2924124513618684"/>
    <n v="5"/>
    <x v="1"/>
    <s v="May"/>
  </r>
  <r>
    <s v="CMP-00749"/>
    <s v="Q3_Launch_CMP-00749"/>
    <x v="1"/>
    <s v="Launch"/>
    <d v="2023-05-27T00:00:00"/>
    <d v="2023-06-09T00:00:00"/>
    <x v="4"/>
    <n v="85665"/>
    <n v="4100"/>
    <n v="4375.32"/>
    <n v="744"/>
    <s v="Yes"/>
    <s v="Google Ads"/>
    <n v="13"/>
    <n v="4.7860853323994632E-2"/>
    <n v="0.18146341463414634"/>
    <n v="1.067151219512195"/>
    <n v="5.8808064516129033"/>
    <n v="5"/>
    <x v="1"/>
    <s v="May"/>
  </r>
  <r>
    <s v="CMP-01020"/>
    <s v="Q3_Launch_CMP-01020"/>
    <x v="1"/>
    <s v="Launch"/>
    <d v="2023-05-27T00:00:00"/>
    <d v="2023-05-30T00:00:00"/>
    <x v="0"/>
    <n v="17389"/>
    <n v="791"/>
    <n v="654.36"/>
    <n v="122"/>
    <s v="No"/>
    <s v="TikTok"/>
    <n v="3"/>
    <n v="4.5488527229857953E-2"/>
    <n v="0.15423514538558786"/>
    <n v="0.82725663716814157"/>
    <n v="5.3636065573770493"/>
    <n v="5"/>
    <x v="1"/>
    <s v="May"/>
  </r>
  <r>
    <s v="CMP-00348"/>
    <s v="Q4_Summer_CMP-00348"/>
    <x v="2"/>
    <s v="Summer"/>
    <d v="2023-05-27T00:00:00"/>
    <d v="2023-06-07T00:00:00"/>
    <x v="4"/>
    <n v="94179"/>
    <n v="4026"/>
    <n v="7583.18"/>
    <n v="777"/>
    <s v="No"/>
    <s v="Google Ads"/>
    <n v="11"/>
    <n v="4.2748383397572705E-2"/>
    <n v="0.19299552906110284"/>
    <n v="1.883551912568306"/>
    <n v="9.7595624195624193"/>
    <n v="5"/>
    <x v="1"/>
    <s v="May"/>
  </r>
  <r>
    <s v="CMP-00593"/>
    <s v="Q4_BlackFriday_CMP-00593"/>
    <x v="2"/>
    <s v="BlackFriday"/>
    <d v="2023-05-27T00:00:00"/>
    <d v="2023-05-30T00:00:00"/>
    <x v="1"/>
    <n v="8357"/>
    <n v="143"/>
    <n v="99.9"/>
    <n v="16"/>
    <s v="Yes"/>
    <s v="Email"/>
    <n v="3"/>
    <n v="1.7111403613736986E-2"/>
    <n v="0.11188811188811189"/>
    <n v="0.69860139860139869"/>
    <n v="6.2437500000000004"/>
    <n v="5"/>
    <x v="1"/>
    <s v="May"/>
  </r>
  <r>
    <s v="CMP-01870"/>
    <s v="Q4_Winstagramter_CMP-01870"/>
    <x v="2"/>
    <s v="Winstagramter"/>
    <d v="2023-05-27T00:00:00"/>
    <d v="2023-06-20T00:00:00"/>
    <x v="4"/>
    <n v="75318"/>
    <n v="1713"/>
    <n v="1882.05"/>
    <n v="0"/>
    <s v="Yes"/>
    <s v="Google Ads"/>
    <n v="24"/>
    <n v="2.2743567274755037E-2"/>
    <n v="0"/>
    <n v="1.0986865148861646"/>
    <s v="0"/>
    <n v="5"/>
    <x v="1"/>
    <s v="May"/>
  </r>
  <r>
    <s v="CMP-00703"/>
    <s v="Q1_Summer_CMP-00703"/>
    <x v="3"/>
    <s v="Summer"/>
    <d v="2023-05-28T00:00:00"/>
    <d v="2023-06-25T00:00:00"/>
    <x v="3"/>
    <n v="43344"/>
    <n v="764"/>
    <n v="422.04"/>
    <n v="148"/>
    <s v="No"/>
    <s v="FB"/>
    <n v="28"/>
    <n v="1.7626430417128091E-2"/>
    <n v="0.193717277486911"/>
    <n v="0.55240837696335077"/>
    <n v="2.8516216216216219"/>
    <n v="5"/>
    <x v="1"/>
    <s v="May"/>
  </r>
  <r>
    <s v="CMP-01805"/>
    <s v="Q1_Winstagramter_CMP-01805"/>
    <x v="3"/>
    <s v="Winstagramter"/>
    <d v="2023-05-28T00:00:00"/>
    <d v="2023-06-25T00:00:00"/>
    <x v="1"/>
    <n v="28083"/>
    <n v="599"/>
    <n v="1113.75"/>
    <n v="77"/>
    <s v="Yes"/>
    <s v="Email"/>
    <n v="28"/>
    <n v="2.1329630025282199E-2"/>
    <n v="0.1285475792988314"/>
    <n v="1.8593489148580968"/>
    <n v="14.464285714285714"/>
    <n v="5"/>
    <x v="1"/>
    <s v="May"/>
  </r>
  <r>
    <s v="CMP-00425"/>
    <s v="Q2_Launch_CMP-00425"/>
    <x v="0"/>
    <s v="Launch"/>
    <d v="2023-05-28T00:00:00"/>
    <d v="2023-06-04T00:00:00"/>
    <x v="3"/>
    <n v="97825"/>
    <n v="4242"/>
    <n v="4022.63"/>
    <n v="354"/>
    <s v="Yes"/>
    <s v="FB"/>
    <n v="7"/>
    <n v="4.336314847942755E-2"/>
    <n v="8.3451202263083446E-2"/>
    <n v="0.94828618576143331"/>
    <n v="11.363361581920904"/>
    <n v="5"/>
    <x v="1"/>
    <s v="May"/>
  </r>
  <r>
    <s v="CMP-00539"/>
    <s v="Q3_BlackFriday_CMP-00539"/>
    <x v="1"/>
    <s v="BlackFriday"/>
    <d v="2023-05-28T00:00:00"/>
    <d v="2023-06-23T00:00:00"/>
    <x v="1"/>
    <n v="36195"/>
    <n v="1415"/>
    <n v="1835.95"/>
    <n v="127"/>
    <s v="No"/>
    <s v="Email"/>
    <n v="26"/>
    <n v="3.9093797485840583E-2"/>
    <n v="8.9752650176678439E-2"/>
    <n v="1.2974911660777386"/>
    <n v="14.456299212598426"/>
    <n v="5"/>
    <x v="1"/>
    <s v="May"/>
  </r>
  <r>
    <s v="CMP-00326"/>
    <s v="Q4_Winstagramter_CMP-00326"/>
    <x v="2"/>
    <s v="Winstagramter"/>
    <d v="2023-05-28T00:00:00"/>
    <d v="2023-06-05T00:00:00"/>
    <x v="3"/>
    <n v="45064"/>
    <n v="1137"/>
    <n v="1718.69"/>
    <n v="105"/>
    <s v="Yes"/>
    <s v="FB"/>
    <n v="8"/>
    <n v="2.5230782886561335E-2"/>
    <n v="9.2348284960422161E-2"/>
    <n v="1.5116007036059806"/>
    <n v="16.368476190476191"/>
    <n v="5"/>
    <x v="1"/>
    <s v="May"/>
  </r>
  <r>
    <s v="CMP-00889"/>
    <s v="Q3_Launch_CMP-00889"/>
    <x v="1"/>
    <s v="Launch"/>
    <d v="2023-05-28T00:00:00"/>
    <d v="2023-08-05T00:00:00"/>
    <x v="4"/>
    <n v="13015"/>
    <n v="407"/>
    <n v="522.91999999999996"/>
    <n v="52"/>
    <s v="No"/>
    <s v="Google Ads"/>
    <n v="69"/>
    <n v="3.1271609681137152E-2"/>
    <n v="0.12776412776412777"/>
    <n v="1.2848157248157248"/>
    <n v="10.056153846153846"/>
    <n v="5"/>
    <x v="1"/>
    <s v="May"/>
  </r>
  <r>
    <s v="CMP-00708"/>
    <s v="Q1_Launch_CMP-00708"/>
    <x v="3"/>
    <s v="Launch"/>
    <d v="2023-05-29T00:00:00"/>
    <d v="2023-06-24T00:00:00"/>
    <x v="4"/>
    <n v="62629"/>
    <n v="1084"/>
    <n v="732.7"/>
    <n v="106"/>
    <s v="No"/>
    <s v="Google Ads"/>
    <n v="26"/>
    <n v="1.7308275718916157E-2"/>
    <n v="9.7785977859778592E-2"/>
    <n v="0.67592250922509234"/>
    <n v="6.9122641509433969"/>
    <n v="5"/>
    <x v="1"/>
    <s v="May"/>
  </r>
  <r>
    <s v="CMP-00459"/>
    <s v="Q2_Launch_CMP-00459"/>
    <x v="0"/>
    <s v="Launch"/>
    <d v="2023-05-29T00:00:00"/>
    <d v="2023-06-25T00:00:00"/>
    <x v="2"/>
    <n v="26945"/>
    <n v="514"/>
    <n v="315.33"/>
    <n v="39"/>
    <s v="Yes"/>
    <s v="IG"/>
    <n v="27"/>
    <n v="1.9075895342364074E-2"/>
    <n v="7.5875486381322951E-2"/>
    <n v="0.61348249027237356"/>
    <n v="8.0853846153846156"/>
    <n v="5"/>
    <x v="1"/>
    <s v="May"/>
  </r>
  <r>
    <s v="CMP-00690"/>
    <s v="Q2_BlackFriday_CMP-00690"/>
    <x v="0"/>
    <s v="BlackFriday"/>
    <d v="2023-05-29T00:00:00"/>
    <d v="2023-06-09T00:00:00"/>
    <x v="3"/>
    <n v="95246"/>
    <n v="1854"/>
    <n v="1794.43"/>
    <n v="278"/>
    <s v="No"/>
    <s v="FB"/>
    <n v="11"/>
    <n v="1.9465384373097035E-2"/>
    <n v="0.1499460625674218"/>
    <n v="0.96786947141316082"/>
    <n v="6.4547841726618707"/>
    <n v="5"/>
    <x v="1"/>
    <s v="May"/>
  </r>
  <r>
    <s v="CMP-01466"/>
    <s v="Q2_Summer_CMP-01466"/>
    <x v="0"/>
    <s v="Summer"/>
    <d v="2023-05-29T00:00:00"/>
    <d v="2023-06-24T00:00:00"/>
    <x v="1"/>
    <n v="16048"/>
    <n v="455"/>
    <n v="905.76"/>
    <n v="69"/>
    <s v="No"/>
    <s v="Email"/>
    <n v="26"/>
    <n v="2.8352442671984047E-2"/>
    <n v="0.15164835164835164"/>
    <n v="1.9906813186813186"/>
    <n v="13.12695652173913"/>
    <n v="5"/>
    <x v="1"/>
    <s v="May"/>
  </r>
  <r>
    <s v="CMP-01448"/>
    <s v="Q4_Launch_CMP-01448"/>
    <x v="2"/>
    <s v="Launch"/>
    <d v="2023-05-29T00:00:00"/>
    <d v="2023-06-13T00:00:00"/>
    <x v="0"/>
    <n v="69247"/>
    <n v="1962"/>
    <n v="1183.03"/>
    <n v="144"/>
    <s v="No"/>
    <s v="TikTok"/>
    <n v="15"/>
    <n v="2.8333357401764698E-2"/>
    <n v="7.3394495412844041E-2"/>
    <n v="0.60297145769622829"/>
    <n v="8.2154861111111117"/>
    <n v="5"/>
    <x v="1"/>
    <s v="May"/>
  </r>
  <r>
    <s v="CMP-01489"/>
    <s v="Q4_Summer_CMP-01489"/>
    <x v="2"/>
    <s v="Summer"/>
    <d v="2023-05-29T00:00:00"/>
    <d v="2023-06-04T00:00:00"/>
    <x v="5"/>
    <n v="7960"/>
    <n v="271"/>
    <n v="141.35"/>
    <n v="35"/>
    <s v="Yes"/>
    <s v="Not specified"/>
    <n v="6"/>
    <n v="3.4045226130653264E-2"/>
    <n v="0.12915129151291513"/>
    <n v="0.52158671586715866"/>
    <n v="4.0385714285714283"/>
    <n v="5"/>
    <x v="1"/>
    <s v="May"/>
  </r>
  <r>
    <s v="CMP-01787"/>
    <s v="Q4_Summer_CMP-01787"/>
    <x v="2"/>
    <s v="Summer"/>
    <d v="2023-05-29T00:00:00"/>
    <d v="2023-06-13T00:00:00"/>
    <x v="2"/>
    <n v="46539"/>
    <n v="1988"/>
    <n v="3523.28"/>
    <n v="334"/>
    <s v="Yes"/>
    <s v="IG"/>
    <n v="15"/>
    <n v="4.2716861127226627E-2"/>
    <n v="0.16800804828973842"/>
    <n v="1.7722736418511067"/>
    <n v="10.54874251497006"/>
    <n v="5"/>
    <x v="1"/>
    <s v="May"/>
  </r>
  <r>
    <s v="CMP-01643"/>
    <s v="Q1_BlackFriday_CMP-01643"/>
    <x v="3"/>
    <s v="BlackFriday"/>
    <d v="2023-05-30T00:00:00"/>
    <d v="2023-06-16T00:00:00"/>
    <x v="0"/>
    <n v="78129"/>
    <n v="2289"/>
    <n v="2173.41"/>
    <n v="140"/>
    <s v="Yes"/>
    <s v="TikTok"/>
    <n v="17"/>
    <n v="2.9297699957762161E-2"/>
    <n v="6.1162079510703363E-2"/>
    <n v="0.94950196592398417"/>
    <n v="15.524357142857141"/>
    <n v="5"/>
    <x v="1"/>
    <s v="May"/>
  </r>
  <r>
    <s v="CMP-01818"/>
    <s v="Q1_Winstagramter_CMP-01818"/>
    <x v="3"/>
    <s v="Winstagramter"/>
    <d v="2023-05-30T00:00:00"/>
    <d v="2023-06-23T00:00:00"/>
    <x v="4"/>
    <n v="14025"/>
    <n v="653"/>
    <n v="852.83"/>
    <n v="93"/>
    <s v="No"/>
    <s v="Google Ads"/>
    <n v="24"/>
    <n v="4.6559714795008915E-2"/>
    <n v="0.14241960183767227"/>
    <n v="1.3060183767228177"/>
    <n v="9.1702150537634406"/>
    <n v="5"/>
    <x v="1"/>
    <s v="May"/>
  </r>
  <r>
    <s v="CMP-00544"/>
    <s v="Q3_BlackFriday_CMP-00544"/>
    <x v="1"/>
    <s v="BlackFriday"/>
    <d v="2023-05-30T00:00:00"/>
    <d v="2023-06-20T00:00:00"/>
    <x v="4"/>
    <n v="98856"/>
    <n v="2919"/>
    <n v="3895.38"/>
    <n v="338"/>
    <s v="No"/>
    <s v="Google Ads"/>
    <n v="21"/>
    <n v="2.9527798009225541E-2"/>
    <n v="0.1157930798218568"/>
    <n v="1.3344912641315518"/>
    <n v="11.524792899408284"/>
    <n v="5"/>
    <x v="1"/>
    <s v="May"/>
  </r>
  <r>
    <s v="CMP-00958"/>
    <s v="Q3_Launch_CMP-00958"/>
    <x v="1"/>
    <s v="Launch"/>
    <d v="2023-05-30T00:00:00"/>
    <d v="2023-06-27T00:00:00"/>
    <x v="4"/>
    <n v="68067"/>
    <n v="1959"/>
    <n v="2048.0700000000002"/>
    <n v="139"/>
    <s v="Yes"/>
    <s v="Google Ads"/>
    <n v="28"/>
    <n v="2.8780466305258056E-2"/>
    <n v="7.0954568657478304E-2"/>
    <n v="1.0454670750382848"/>
    <n v="14.734316546762591"/>
    <n v="5"/>
    <x v="1"/>
    <s v="May"/>
  </r>
  <r>
    <s v="CMP-00886"/>
    <s v="Q4_BlackFriday_CMP-00886"/>
    <x v="2"/>
    <s v="BlackFriday"/>
    <d v="2023-05-30T00:00:00"/>
    <d v="2023-06-27T00:00:00"/>
    <x v="0"/>
    <n v="6569"/>
    <n v="228"/>
    <n v="130.44999999999999"/>
    <n v="43"/>
    <s v="Yes"/>
    <s v="TikTok"/>
    <n v="28"/>
    <n v="3.4708479220581519E-2"/>
    <n v="0.18859649122807018"/>
    <n v="0.57214912280701746"/>
    <n v="3.0337209302325578"/>
    <n v="5"/>
    <x v="1"/>
    <s v="May"/>
  </r>
  <r>
    <s v="CMP-01672"/>
    <s v="Q4_Summer_CMP-01672"/>
    <x v="2"/>
    <s v="Summer"/>
    <d v="2023-05-30T00:00:00"/>
    <d v="2023-06-22T00:00:00"/>
    <x v="1"/>
    <n v="34660"/>
    <n v="1478"/>
    <n v="1461.35"/>
    <n v="126"/>
    <s v="No"/>
    <s v="Email"/>
    <n v="23"/>
    <n v="4.2642815926139645E-2"/>
    <n v="8.5250338294993233E-2"/>
    <n v="0.98873477672530441"/>
    <n v="11.598015873015873"/>
    <n v="5"/>
    <x v="1"/>
    <s v="May"/>
  </r>
  <r>
    <s v="CMP-01139"/>
    <s v="Q1_Launch_CMP-01139"/>
    <x v="3"/>
    <s v="Launch"/>
    <d v="2023-05-31T00:00:00"/>
    <d v="2023-06-26T00:00:00"/>
    <x v="1"/>
    <n v="6408"/>
    <n v="102"/>
    <n v="52.7"/>
    <n v="0"/>
    <s v="No"/>
    <s v="Email"/>
    <n v="26"/>
    <n v="1.5917602996254682E-2"/>
    <n v="0"/>
    <n v="0.51666666666666672"/>
    <s v="0"/>
    <n v="5"/>
    <x v="1"/>
    <s v="May"/>
  </r>
  <r>
    <s v="CMP-01582"/>
    <s v="Q1_Launch_CMP-01582"/>
    <x v="3"/>
    <s v="Launch"/>
    <d v="2023-05-31T00:00:00"/>
    <d v="2023-06-06T00:00:00"/>
    <x v="4"/>
    <n v="70346"/>
    <n v="1934"/>
    <n v="2254.38"/>
    <n v="358"/>
    <s v="Yes"/>
    <s v="Google Ads"/>
    <n v="6"/>
    <n v="2.7492679043584569E-2"/>
    <n v="0.18510858324715615"/>
    <n v="1.1656566701137538"/>
    <n v="6.297150837988827"/>
    <n v="5"/>
    <x v="1"/>
    <s v="May"/>
  </r>
  <r>
    <s v="CMP-01719"/>
    <s v="Q1_Winstagramter_CMP-01719"/>
    <x v="3"/>
    <s v="Winstagramter"/>
    <d v="2023-05-31T00:00:00"/>
    <d v="2023-06-02T00:00:00"/>
    <x v="1"/>
    <n v="87231"/>
    <n v="1585"/>
    <n v="500000"/>
    <n v="265"/>
    <s v="No"/>
    <s v="Email"/>
    <n v="2"/>
    <n v="1.8170145934358197E-2"/>
    <n v="0.16719242902208201"/>
    <n v="315.45741324921136"/>
    <n v="1886.7924528301887"/>
    <n v="5"/>
    <x v="1"/>
    <s v="May"/>
  </r>
  <r>
    <s v="CMP-00573"/>
    <s v="Q2_Winstagramter_CMP-00573"/>
    <x v="0"/>
    <s v="Winstagramter"/>
    <d v="2023-05-31T00:00:00"/>
    <d v="2023-06-23T00:00:00"/>
    <x v="5"/>
    <n v="1412"/>
    <n v="43"/>
    <n v="28.44"/>
    <n v="6"/>
    <s v="Yes"/>
    <s v="Not specified"/>
    <n v="23"/>
    <n v="3.0453257790368272E-2"/>
    <n v="0.13953488372093023"/>
    <n v="0.6613953488372093"/>
    <n v="4.74"/>
    <n v="5"/>
    <x v="1"/>
    <s v="May"/>
  </r>
  <r>
    <s v="CMP-00507"/>
    <s v="Q1_Launch_CMP-00507"/>
    <x v="3"/>
    <s v="Launch"/>
    <d v="2023-06-01T00:00:00"/>
    <d v="2023-06-16T00:00:00"/>
    <x v="0"/>
    <n v="63752"/>
    <n v="2209"/>
    <n v="2018.22"/>
    <n v="239"/>
    <s v="Yes"/>
    <s v="TikTok"/>
    <n v="15"/>
    <n v="3.4649893336679637E-2"/>
    <n v="0.10819375282933454"/>
    <n v="0.91363512901765509"/>
    <n v="8.4444351464435154"/>
    <n v="6"/>
    <x v="1"/>
    <s v="June"/>
  </r>
  <r>
    <s v="CMP-00855"/>
    <s v="Q1_Summer_CMP-00855"/>
    <x v="3"/>
    <s v="Summer"/>
    <d v="2023-06-01T00:00:00"/>
    <d v="2023-06-14T00:00:00"/>
    <x v="4"/>
    <n v="60494"/>
    <n v="2451"/>
    <n v="3403.1"/>
    <n v="163"/>
    <s v="Yes"/>
    <s v="Google Ads"/>
    <n v="13"/>
    <n v="4.0516414851059612E-2"/>
    <n v="6.6503467972256217E-2"/>
    <n v="1.3884536923704609"/>
    <n v="20.877914110429447"/>
    <n v="6"/>
    <x v="1"/>
    <s v="June"/>
  </r>
  <r>
    <s v="CMP-01395"/>
    <s v="Q1_Winstagramter_CMP-01395"/>
    <x v="3"/>
    <s v="Winstagramter"/>
    <d v="2023-06-01T00:00:00"/>
    <d v="2023-06-26T00:00:00"/>
    <x v="2"/>
    <n v="57133"/>
    <n v="1236"/>
    <n v="1505.52"/>
    <n v="200"/>
    <s v="Yes"/>
    <s v="IG"/>
    <n v="25"/>
    <n v="2.1633731818738733E-2"/>
    <n v="0.16181229773462782"/>
    <n v="1.2180582524271844"/>
    <n v="7.5275999999999996"/>
    <n v="6"/>
    <x v="1"/>
    <s v="June"/>
  </r>
  <r>
    <s v="CMP-01453"/>
    <s v="Q2_Summer_CMP-01453"/>
    <x v="0"/>
    <s v="Summer"/>
    <d v="2023-06-01T00:00:00"/>
    <d v="2023-06-29T00:00:00"/>
    <x v="4"/>
    <n v="60129"/>
    <n v="2223"/>
    <n v="1728.12"/>
    <n v="253"/>
    <s v="Yes"/>
    <s v="Google Ads"/>
    <n v="28"/>
    <n v="3.6970513396198175E-2"/>
    <n v="0.11381016644174539"/>
    <n v="0.77738191632928466"/>
    <n v="6.8305138339920948"/>
    <n v="6"/>
    <x v="1"/>
    <s v="June"/>
  </r>
  <r>
    <s v="CMP-00344"/>
    <s v="Q3_BlackFriday_CMP-00344"/>
    <x v="1"/>
    <s v="BlackFriday"/>
    <d v="2023-06-01T00:00:00"/>
    <d v="2023-06-06T00:00:00"/>
    <x v="1"/>
    <n v="98888"/>
    <n v="3095"/>
    <n v="3709.43"/>
    <n v="293"/>
    <s v="Yes"/>
    <s v="Email"/>
    <n v="5"/>
    <n v="3.1298034139632717E-2"/>
    <n v="9.4668820678513732E-2"/>
    <n v="1.1985234248788368"/>
    <n v="12.660170648464163"/>
    <n v="6"/>
    <x v="1"/>
    <s v="June"/>
  </r>
  <r>
    <s v="CMP-00355"/>
    <s v="Q4_Winstagramter_CMP-00355"/>
    <x v="2"/>
    <s v="Winstagramter"/>
    <d v="2023-06-01T00:00:00"/>
    <d v="2023-06-02T00:00:00"/>
    <x v="2"/>
    <n v="19589"/>
    <n v="926"/>
    <n v="755.78"/>
    <n v="113"/>
    <s v="Yes"/>
    <s v="IG"/>
    <n v="1"/>
    <n v="4.7271427842156315E-2"/>
    <n v="0.12203023758099352"/>
    <n v="0.81617710583153347"/>
    <n v="6.6883185840707959"/>
    <n v="6"/>
    <x v="1"/>
    <s v="June"/>
  </r>
  <r>
    <s v="CMP-01251"/>
    <s v="Q4_Launch_CMP-01251"/>
    <x v="2"/>
    <s v="Launch"/>
    <d v="2023-06-01T00:00:00"/>
    <d v="2023-06-30T00:00:00"/>
    <x v="1"/>
    <n v="47240"/>
    <n v="1258"/>
    <n v="2145.69"/>
    <n v="237"/>
    <s v="No"/>
    <s v="Email"/>
    <n v="29"/>
    <n v="2.6629974597798475E-2"/>
    <n v="0.18839427662957076"/>
    <n v="1.7056359300476949"/>
    <n v="9.0535443037974694"/>
    <n v="6"/>
    <x v="1"/>
    <s v="June"/>
  </r>
  <r>
    <s v="CMP-00986"/>
    <s v="Q4_BlackFriday_CMP-00986"/>
    <x v="2"/>
    <s v="BlackFriday"/>
    <d v="2023-06-01T00:00:00"/>
    <d v="2023-06-06T00:00:00"/>
    <x v="0"/>
    <n v="82264"/>
    <n v="970"/>
    <n v="1922.18"/>
    <n v="94"/>
    <s v="Yes"/>
    <s v="TikTok"/>
    <n v="5"/>
    <n v="1.179130603909365E-2"/>
    <n v="9.6907216494845363E-2"/>
    <n v="1.9816288659793815"/>
    <n v="20.448723404255318"/>
    <n v="6"/>
    <x v="1"/>
    <s v="June"/>
  </r>
  <r>
    <s v="CMP-00927"/>
    <s v="Q1_Launch_CMP-00927"/>
    <x v="3"/>
    <s v="Launch"/>
    <d v="2023-06-02T00:00:00"/>
    <d v="2023-06-30T00:00:00"/>
    <x v="1"/>
    <n v="44221"/>
    <n v="2132"/>
    <n v="1261.4100000000001"/>
    <n v="230"/>
    <s v="No"/>
    <s v="Email"/>
    <n v="28"/>
    <n v="4.8212387779561744E-2"/>
    <n v="0.10787992495309569"/>
    <n v="0.59165572232645403"/>
    <n v="5.4843913043478265"/>
    <n v="6"/>
    <x v="1"/>
    <s v="June"/>
  </r>
  <r>
    <s v="CMP-00255"/>
    <s v="Q2_Winstagramter_CMP-00255"/>
    <x v="0"/>
    <s v="Winstagramter"/>
    <d v="2023-06-02T00:00:00"/>
    <d v="2023-06-20T00:00:00"/>
    <x v="0"/>
    <n v="3911"/>
    <n v="48"/>
    <n v="32.42"/>
    <n v="2"/>
    <s v="Yes"/>
    <s v="TikTok"/>
    <n v="18"/>
    <n v="1.2273075939657376E-2"/>
    <n v="4.1666666666666664E-2"/>
    <n v="0.67541666666666667"/>
    <n v="16.21"/>
    <n v="6"/>
    <x v="1"/>
    <s v="June"/>
  </r>
  <r>
    <s v="CMP-01244"/>
    <s v="Q2_Launch_CMP-01244"/>
    <x v="0"/>
    <s v="Launch"/>
    <d v="2023-06-02T00:00:00"/>
    <d v="2023-06-22T00:00:00"/>
    <x v="5"/>
    <n v="71507"/>
    <n v="778"/>
    <n v="805.12"/>
    <n v="91"/>
    <s v="Yes"/>
    <s v="Not specified"/>
    <n v="20"/>
    <n v="1.0880053701036263E-2"/>
    <n v="0.11696658097686376"/>
    <n v="1.0348586118251928"/>
    <n v="8.8474725274725277"/>
    <n v="6"/>
    <x v="1"/>
    <s v="June"/>
  </r>
  <r>
    <s v="CMP-00305"/>
    <s v="Q3_Launch_CMP-00305"/>
    <x v="1"/>
    <s v="Launch"/>
    <d v="2023-06-02T00:00:00"/>
    <d v="2023-06-20T00:00:00"/>
    <x v="3"/>
    <n v="83018"/>
    <n v="4088"/>
    <n v="5443.2"/>
    <n v="737"/>
    <s v="No"/>
    <s v="FB"/>
    <n v="18"/>
    <n v="4.9242332988026695E-2"/>
    <n v="0.18028375733855187"/>
    <n v="1.3315068493150684"/>
    <n v="7.3856173677069199"/>
    <n v="6"/>
    <x v="1"/>
    <s v="June"/>
  </r>
  <r>
    <s v="CMP-00758"/>
    <s v="Q3_BlackFriday_CMP-00758"/>
    <x v="1"/>
    <s v="BlackFriday"/>
    <d v="2023-06-02T00:00:00"/>
    <d v="2023-06-10T00:00:00"/>
    <x v="2"/>
    <n v="56284"/>
    <n v="2360"/>
    <n v="3482.51"/>
    <n v="215"/>
    <s v="No"/>
    <s v="IG"/>
    <n v="8"/>
    <n v="4.1930211072418448E-2"/>
    <n v="9.110169491525423E-2"/>
    <n v="1.4756398305084746"/>
    <n v="16.19772093023256"/>
    <n v="6"/>
    <x v="1"/>
    <s v="June"/>
  </r>
  <r>
    <s v="CMP-00046"/>
    <s v="Q4_Launch_CMP-00046"/>
    <x v="2"/>
    <s v="Launch"/>
    <d v="2023-06-02T00:00:00"/>
    <d v="2023-06-28T00:00:00"/>
    <x v="2"/>
    <n v="11627"/>
    <n v="319"/>
    <n v="531.19000000000005"/>
    <n v="17"/>
    <s v="Yes"/>
    <s v="IG"/>
    <n v="26"/>
    <n v="2.7436140018921477E-2"/>
    <n v="5.329153605015674E-2"/>
    <n v="1.6651724137931037"/>
    <n v="31.246470588235297"/>
    <n v="6"/>
    <x v="1"/>
    <s v="June"/>
  </r>
  <r>
    <s v="CMP-00684"/>
    <s v="Q4_Summer_CMP-00684"/>
    <x v="2"/>
    <s v="Summer"/>
    <d v="2023-06-02T00:00:00"/>
    <d v="2023-06-20T00:00:00"/>
    <x v="0"/>
    <n v="35578"/>
    <n v="1237"/>
    <n v="1244.79"/>
    <n v="177"/>
    <s v="Yes"/>
    <s v="TikTok"/>
    <n v="18"/>
    <n v="3.4768677272471751E-2"/>
    <n v="0.14308811641067098"/>
    <n v="1.0062974939369442"/>
    <n v="7.0327118644067799"/>
    <n v="6"/>
    <x v="1"/>
    <s v="June"/>
  </r>
  <r>
    <s v="CMP-00147"/>
    <s v="Q1_BlackFriday_CMP-00147"/>
    <x v="3"/>
    <s v="BlackFriday"/>
    <d v="2023-06-03T00:00:00"/>
    <d v="2023-06-28T00:00:00"/>
    <x v="3"/>
    <n v="55268"/>
    <n v="2599"/>
    <n v="3072.82"/>
    <n v="433"/>
    <s v="Yes"/>
    <s v="FB"/>
    <n v="25"/>
    <n v="4.7025403488456248E-2"/>
    <n v="0.16660253943824549"/>
    <n v="1.1823085802231628"/>
    <n v="7.0965819861431871"/>
    <n v="6"/>
    <x v="1"/>
    <s v="June"/>
  </r>
  <r>
    <s v="CMP-00661"/>
    <s v="Q1_BlackFriday_CMP-00661"/>
    <x v="3"/>
    <s v="BlackFriday"/>
    <d v="2023-06-03T00:00:00"/>
    <d v="2023-06-08T00:00:00"/>
    <x v="3"/>
    <n v="40081"/>
    <n v="1651"/>
    <n v="2376.92"/>
    <n v="230"/>
    <s v="No"/>
    <s v="FB"/>
    <n v="5"/>
    <n v="4.1191587036251594E-2"/>
    <n v="0.13930950938824954"/>
    <n v="1.4396850393700789"/>
    <n v="10.334434782608696"/>
    <n v="6"/>
    <x v="1"/>
    <s v="June"/>
  </r>
  <r>
    <s v="CMP-00995"/>
    <s v="Q1_Summer_CMP-00995"/>
    <x v="3"/>
    <s v="Summer"/>
    <d v="2023-06-03T00:00:00"/>
    <d v="2023-06-05T00:00:00"/>
    <x v="0"/>
    <n v="35529"/>
    <n v="1314"/>
    <n v="2421.17"/>
    <n v="80"/>
    <s v="Yes"/>
    <s v="TikTok"/>
    <n v="2"/>
    <n v="3.6983872329646207E-2"/>
    <n v="6.0882800608828003E-2"/>
    <n v="1.8425951293759513"/>
    <n v="30.264625000000002"/>
    <n v="6"/>
    <x v="1"/>
    <s v="June"/>
  </r>
  <r>
    <s v="CMP-01084"/>
    <s v="Q2_Winstagramter_CMP-01084"/>
    <x v="0"/>
    <s v="Winstagramter"/>
    <d v="2023-06-03T00:00:00"/>
    <d v="2023-06-24T00:00:00"/>
    <x v="1"/>
    <n v="6415"/>
    <n v="313"/>
    <n v="236.26"/>
    <n v="25"/>
    <s v="No"/>
    <s v="Email"/>
    <n v="21"/>
    <n v="4.8791893998441152E-2"/>
    <n v="7.9872204472843447E-2"/>
    <n v="0.75482428115015976"/>
    <n v="9.4504000000000001"/>
    <n v="6"/>
    <x v="1"/>
    <s v="June"/>
  </r>
  <r>
    <s v="CMP-01908"/>
    <s v="Q2_Summer_CMP-01908"/>
    <x v="0"/>
    <s v="Summer"/>
    <d v="2023-06-03T00:00:00"/>
    <d v="2023-07-01T00:00:00"/>
    <x v="5"/>
    <n v="22804"/>
    <n v="534"/>
    <n v="1015.12"/>
    <n v="38"/>
    <s v="Yes"/>
    <s v="Not specified"/>
    <n v="28"/>
    <n v="2.3416944395720049E-2"/>
    <n v="7.116104868913857E-2"/>
    <n v="1.9009737827715356"/>
    <n v="26.713684210526317"/>
    <n v="6"/>
    <x v="1"/>
    <s v="June"/>
  </r>
  <r>
    <s v="CMP-00843"/>
    <s v="Q3_BlackFriday_CMP-00843"/>
    <x v="1"/>
    <s v="BlackFriday"/>
    <d v="2023-06-03T00:00:00"/>
    <d v="2023-06-21T00:00:00"/>
    <x v="1"/>
    <n v="89464"/>
    <n v="908"/>
    <n v="1584.08"/>
    <n v="108"/>
    <s v="Yes"/>
    <s v="Email"/>
    <n v="18"/>
    <n v="1.0149333810247697E-2"/>
    <n v="0.11894273127753303"/>
    <n v="1.7445814977973568"/>
    <n v="14.667407407407406"/>
    <n v="6"/>
    <x v="1"/>
    <s v="June"/>
  </r>
  <r>
    <s v="CMP-01948"/>
    <s v="Q1_Summer_CMP-01948"/>
    <x v="3"/>
    <s v="Summer"/>
    <d v="2023-06-04T00:00:00"/>
    <d v="2023-06-26T00:00:00"/>
    <x v="2"/>
    <n v="82905"/>
    <n v="3727"/>
    <n v="1916.85"/>
    <n v="555"/>
    <s v="Yes"/>
    <s v="IG"/>
    <n v="22"/>
    <n v="4.4955069054942405E-2"/>
    <n v="0.1489133351220821"/>
    <n v="0.51431446203380737"/>
    <n v="3.4537837837837837"/>
    <n v="6"/>
    <x v="1"/>
    <s v="June"/>
  </r>
  <r>
    <s v="CMP-01300"/>
    <s v="Q2_BlackFriday_CMP-01300"/>
    <x v="0"/>
    <s v="BlackFriday"/>
    <d v="2023-06-04T00:00:00"/>
    <d v="2023-06-15T00:00:00"/>
    <x v="3"/>
    <n v="26522"/>
    <n v="310"/>
    <n v="466.25"/>
    <n v="31"/>
    <s v="No"/>
    <s v="FB"/>
    <n v="11"/>
    <n v="1.1688409622200437E-2"/>
    <n v="0.1"/>
    <n v="1.5040322580645162"/>
    <n v="15.040322580645162"/>
    <n v="6"/>
    <x v="1"/>
    <s v="June"/>
  </r>
  <r>
    <s v="CMP-00627"/>
    <s v="Q3_Summer_CMP-00627"/>
    <x v="1"/>
    <s v="Summer"/>
    <d v="2023-06-04T00:00:00"/>
    <d v="2023-07-02T00:00:00"/>
    <x v="0"/>
    <n v="6486"/>
    <n v="255"/>
    <n v="234.56"/>
    <n v="17"/>
    <s v="Yes"/>
    <s v="TikTok"/>
    <n v="28"/>
    <n v="3.9315448658649402E-2"/>
    <n v="6.6666666666666666E-2"/>
    <n v="0.91984313725490197"/>
    <n v="13.797647058823529"/>
    <n v="6"/>
    <x v="1"/>
    <s v="June"/>
  </r>
  <r>
    <s v="CMP-01008"/>
    <s v="Q3_Winstagramter_CMP-01008"/>
    <x v="1"/>
    <s v="Winstagramter"/>
    <d v="2023-06-04T00:00:00"/>
    <d v="2023-06-20T00:00:00"/>
    <x v="3"/>
    <n v="78149"/>
    <n v="3283"/>
    <n v="2267.39"/>
    <n v="226"/>
    <s v="Yes"/>
    <s v="FB"/>
    <n v="16"/>
    <n v="4.2009494683233312E-2"/>
    <n v="6.8839476088943044E-2"/>
    <n v="0.69064575083764845"/>
    <n v="10.032699115044247"/>
    <n v="6"/>
    <x v="1"/>
    <s v="June"/>
  </r>
  <r>
    <s v="CMP-01240"/>
    <s v="Q3_Winstagramter_CMP-01240"/>
    <x v="1"/>
    <s v="Winstagramter"/>
    <d v="2023-06-04T00:00:00"/>
    <d v="2023-06-26T00:00:00"/>
    <x v="2"/>
    <n v="58761"/>
    <n v="1530"/>
    <n v="2837.9"/>
    <n v="227"/>
    <s v="No"/>
    <s v="IG"/>
    <n v="22"/>
    <n v="2.6037678051769032E-2"/>
    <n v="0.14836601307189543"/>
    <n v="1.8548366013071895"/>
    <n v="12.501762114537446"/>
    <n v="6"/>
    <x v="1"/>
    <s v="June"/>
  </r>
  <r>
    <s v="CMP-01991"/>
    <s v="Q3_Launch_CMP-01991"/>
    <x v="1"/>
    <s v="Launch"/>
    <d v="2023-06-04T00:00:00"/>
    <d v="2023-06-09T00:00:00"/>
    <x v="0"/>
    <n v="84186"/>
    <n v="1163"/>
    <n v="1405.34"/>
    <n v="114"/>
    <s v="No"/>
    <s v="TikTok"/>
    <n v="5"/>
    <n v="1.3814648516380396E-2"/>
    <n v="9.8022355975924333E-2"/>
    <n v="1.2083748925193465"/>
    <n v="12.327543859649122"/>
    <n v="6"/>
    <x v="1"/>
    <s v="June"/>
  </r>
  <r>
    <s v="CMP-00241"/>
    <s v="Q4_Summer_CMP-00241"/>
    <x v="2"/>
    <s v="Summer"/>
    <d v="2023-06-04T00:00:00"/>
    <d v="2023-06-15T00:00:00"/>
    <x v="3"/>
    <n v="26184"/>
    <n v="418"/>
    <n v="625.45000000000005"/>
    <n v="46"/>
    <s v="Yes"/>
    <s v="FB"/>
    <n v="11"/>
    <n v="1.596394744882371E-2"/>
    <n v="0.11004784688995216"/>
    <n v="1.4962918660287083"/>
    <n v="13.596739130434784"/>
    <n v="6"/>
    <x v="1"/>
    <s v="June"/>
  </r>
  <r>
    <s v="CMP-00341"/>
    <s v="Q4_BlackFriday_CMP-00341"/>
    <x v="2"/>
    <s v="BlackFriday"/>
    <d v="2023-06-04T00:00:00"/>
    <d v="2023-06-12T00:00:00"/>
    <x v="1"/>
    <n v="50377"/>
    <n v="1591"/>
    <n v="2594.29"/>
    <n v="240"/>
    <s v="Yes"/>
    <s v="Email"/>
    <n v="8"/>
    <n v="3.1581872679992851E-2"/>
    <n v="0.15084852294154619"/>
    <n v="1.6306033940917661"/>
    <n v="10.809541666666666"/>
    <n v="6"/>
    <x v="1"/>
    <s v="June"/>
  </r>
  <r>
    <s v="CMP-01056"/>
    <s v="Q1_BlackFriday_CMP-01056"/>
    <x v="3"/>
    <s v="BlackFriday"/>
    <d v="2023-06-05T00:00:00"/>
    <d v="2023-06-22T00:00:00"/>
    <x v="2"/>
    <n v="88958"/>
    <n v="1241"/>
    <n v="2471.91"/>
    <n v="228"/>
    <s v="No"/>
    <s v="IG"/>
    <n v="17"/>
    <n v="1.3950403561231143E-2"/>
    <n v="0.18372280419016923"/>
    <n v="1.9918694601128122"/>
    <n v="10.841710526315788"/>
    <n v="6"/>
    <x v="1"/>
    <s v="June"/>
  </r>
  <r>
    <s v="CMP-00613"/>
    <s v="Q2_Launch_CMP-00613"/>
    <x v="0"/>
    <s v="Launch"/>
    <d v="2023-06-05T00:00:00"/>
    <d v="2023-06-06T00:00:00"/>
    <x v="3"/>
    <n v="17779"/>
    <n v="672"/>
    <n v="1139.5899999999999"/>
    <n v="54"/>
    <s v="No"/>
    <s v="FB"/>
    <n v="1"/>
    <n v="3.7797401428651782E-2"/>
    <n v="8.0357142857142863E-2"/>
    <n v="1.6958184523809523"/>
    <n v="21.103518518518516"/>
    <n v="6"/>
    <x v="1"/>
    <s v="June"/>
  </r>
  <r>
    <s v="CMP-00888"/>
    <s v="Q2_Launch_CMP-00888"/>
    <x v="0"/>
    <s v="Launch"/>
    <d v="2023-06-05T00:00:00"/>
    <d v="2023-06-12T00:00:00"/>
    <x v="2"/>
    <n v="37586"/>
    <n v="1320"/>
    <n v="2506.44"/>
    <n v="119"/>
    <s v="Yes"/>
    <s v="IG"/>
    <n v="7"/>
    <n v="3.5119459373170861E-2"/>
    <n v="9.0151515151515149E-2"/>
    <n v="1.898818181818182"/>
    <n v="21.062521008403362"/>
    <n v="6"/>
    <x v="1"/>
    <s v="June"/>
  </r>
  <r>
    <s v="CMP-01211"/>
    <s v="Q2_Summer_CMP-01211"/>
    <x v="0"/>
    <s v="Summer"/>
    <d v="2023-06-05T00:00:00"/>
    <d v="2023-06-23T00:00:00"/>
    <x v="0"/>
    <n v="14718"/>
    <n v="698"/>
    <n v="534.66"/>
    <n v="109"/>
    <s v="No"/>
    <s v="TikTok"/>
    <n v="18"/>
    <n v="4.7424921864383747E-2"/>
    <n v="0.15616045845272206"/>
    <n v="0.76598853868194838"/>
    <n v="4.9051376146788987"/>
    <n v="6"/>
    <x v="1"/>
    <s v="June"/>
  </r>
  <r>
    <s v="CMP-00251"/>
    <s v="Q4_Summer_CMP-00251"/>
    <x v="2"/>
    <s v="Summer"/>
    <d v="2023-06-05T00:00:00"/>
    <d v="2023-06-16T00:00:00"/>
    <x v="0"/>
    <n v="73082"/>
    <n v="1333"/>
    <n v="1978.28"/>
    <n v="0"/>
    <s v="Yes"/>
    <s v="TikTok"/>
    <n v="11"/>
    <n v="1.8239785446484771E-2"/>
    <n v="0"/>
    <n v="1.4840810202550638"/>
    <s v="0"/>
    <n v="6"/>
    <x v="1"/>
    <s v="June"/>
  </r>
  <r>
    <s v="CMP-01478"/>
    <s v="Q2_Winstagramter_CMP-01478"/>
    <x v="0"/>
    <s v="Winstagramter"/>
    <d v="2023-06-06T00:00:00"/>
    <d v="2023-06-26T00:00:00"/>
    <x v="0"/>
    <n v="29145"/>
    <n v="1418"/>
    <n v="961.39"/>
    <n v="0"/>
    <s v="Yes"/>
    <s v="TikTok"/>
    <n v="20"/>
    <n v="4.865328529764968E-2"/>
    <n v="0"/>
    <n v="0.67799012693935123"/>
    <s v="0"/>
    <n v="6"/>
    <x v="1"/>
    <s v="June"/>
  </r>
  <r>
    <s v="CMP-00256"/>
    <s v="Q3_Summer_CMP-00256"/>
    <x v="1"/>
    <s v="Summer"/>
    <d v="2023-06-06T00:00:00"/>
    <d v="2023-06-07T00:00:00"/>
    <x v="1"/>
    <n v="68270"/>
    <n v="1069"/>
    <n v="1816.85"/>
    <n v="0"/>
    <s v="Yes"/>
    <s v="Email"/>
    <n v="1"/>
    <n v="1.5658415116449394E-2"/>
    <n v="0"/>
    <n v="1.6995790458372311"/>
    <s v="0"/>
    <n v="6"/>
    <x v="1"/>
    <s v="June"/>
  </r>
  <r>
    <s v="CMP-00929"/>
    <s v="Q3_BlackFriday_CMP-00929"/>
    <x v="1"/>
    <s v="BlackFriday"/>
    <d v="2023-06-06T00:00:00"/>
    <d v="2023-06-08T00:00:00"/>
    <x v="0"/>
    <n v="56645"/>
    <n v="2139"/>
    <n v="1410.68"/>
    <n v="401"/>
    <s v="No"/>
    <s v="TikTok"/>
    <n v="2"/>
    <n v="3.7761497042987022E-2"/>
    <n v="0.18747078073866294"/>
    <n v="0.65950444132772323"/>
    <n v="3.517905236907731"/>
    <n v="6"/>
    <x v="1"/>
    <s v="June"/>
  </r>
  <r>
    <s v="CMP-01237"/>
    <s v="Q4_BlackFriday_CMP-01237"/>
    <x v="2"/>
    <s v="BlackFriday"/>
    <d v="2023-06-06T00:00:00"/>
    <d v="2023-07-03T00:00:00"/>
    <x v="3"/>
    <n v="9577"/>
    <n v="351"/>
    <n v="205.57"/>
    <n v="27"/>
    <s v="No"/>
    <s v="FB"/>
    <n v="27"/>
    <n v="3.6650308029654383E-2"/>
    <n v="7.6923076923076927E-2"/>
    <n v="0.58566951566951564"/>
    <n v="7.6137037037037034"/>
    <n v="6"/>
    <x v="1"/>
    <s v="June"/>
  </r>
  <r>
    <s v="CMP-01079"/>
    <s v="Q1_BlackFriday_CMP-01079"/>
    <x v="3"/>
    <s v="BlackFriday"/>
    <d v="2023-06-07T00:00:00"/>
    <d v="2023-06-11T00:00:00"/>
    <x v="2"/>
    <n v="9567"/>
    <n v="417"/>
    <n v="237.88"/>
    <n v="22"/>
    <s v="No"/>
    <s v="IG"/>
    <n v="4"/>
    <n v="4.3587331451865788E-2"/>
    <n v="5.2757793764988008E-2"/>
    <n v="0.57045563549160672"/>
    <n v="10.812727272727273"/>
    <n v="6"/>
    <x v="1"/>
    <s v="June"/>
  </r>
  <r>
    <s v="CMP-00859"/>
    <s v="Q2_BlackFriday_CMP-00859"/>
    <x v="0"/>
    <s v="BlackFriday"/>
    <d v="2023-06-07T00:00:00"/>
    <d v="2023-07-06T00:00:00"/>
    <x v="0"/>
    <n v="7949"/>
    <n v="153"/>
    <n v="229.49"/>
    <n v="15"/>
    <s v="No"/>
    <s v="TikTok"/>
    <n v="29"/>
    <n v="1.9247704113724996E-2"/>
    <n v="9.8039215686274508E-2"/>
    <n v="1.499934640522876"/>
    <n v="15.299333333333333"/>
    <n v="6"/>
    <x v="1"/>
    <s v="June"/>
  </r>
  <r>
    <s v="CMP-01063"/>
    <s v="Q2_Launch_CMP-01063"/>
    <x v="0"/>
    <s v="Launch"/>
    <d v="2023-06-07T00:00:00"/>
    <d v="2023-07-06T00:00:00"/>
    <x v="4"/>
    <n v="2342"/>
    <n v="71"/>
    <n v="131.63999999999999"/>
    <n v="10"/>
    <s v="Yes"/>
    <s v="Google Ads"/>
    <n v="29"/>
    <n v="3.0315969257045262E-2"/>
    <n v="0.14084507042253522"/>
    <n v="1.8540845070422534"/>
    <n v="13.163999999999998"/>
    <n v="6"/>
    <x v="1"/>
    <s v="June"/>
  </r>
  <r>
    <s v="CMP-01262"/>
    <s v="Q2_BlackFriday_CMP-01262"/>
    <x v="0"/>
    <s v="BlackFriday"/>
    <d v="2023-06-07T00:00:00"/>
    <d v="2023-06-30T00:00:00"/>
    <x v="1"/>
    <n v="50840"/>
    <n v="985"/>
    <n v="1125.1400000000001"/>
    <n v="101"/>
    <s v="Yes"/>
    <s v="Email"/>
    <n v="23"/>
    <n v="1.9374508261211645E-2"/>
    <n v="0.10253807106598985"/>
    <n v="1.1422741116751269"/>
    <n v="11.14"/>
    <n v="6"/>
    <x v="1"/>
    <s v="June"/>
  </r>
  <r>
    <s v="CMP-01888"/>
    <s v="Q3_BlackFriday_CMP-01888"/>
    <x v="1"/>
    <s v="BlackFriday"/>
    <d v="2023-06-07T00:00:00"/>
    <d v="2023-06-08T00:00:00"/>
    <x v="3"/>
    <n v="80083"/>
    <n v="2177"/>
    <n v="1523.94"/>
    <n v="142"/>
    <s v="No"/>
    <s v="FB"/>
    <n v="1"/>
    <n v="2.718429629259643E-2"/>
    <n v="6.5227377124483232E-2"/>
    <n v="0.7000183739090492"/>
    <n v="10.731971830985916"/>
    <n v="6"/>
    <x v="1"/>
    <s v="June"/>
  </r>
  <r>
    <s v="CMP-00051"/>
    <s v="Q4_Winstagramter_CMP-00051"/>
    <x v="2"/>
    <s v="Winstagramter"/>
    <d v="2023-06-07T00:00:00"/>
    <d v="2023-06-17T00:00:00"/>
    <x v="4"/>
    <n v="24897"/>
    <n v="908"/>
    <n v="1507.73"/>
    <n v="141"/>
    <s v="Yes"/>
    <s v="Google Ads"/>
    <n v="10"/>
    <n v="3.6470257460738238E-2"/>
    <n v="0.15528634361233482"/>
    <n v="1.6604955947136564"/>
    <n v="10.693120567375887"/>
    <n v="6"/>
    <x v="1"/>
    <s v="June"/>
  </r>
  <r>
    <s v="CMP-00744"/>
    <s v="Q4_Winstagramter_CMP-00744"/>
    <x v="2"/>
    <s v="Winstagramter"/>
    <d v="2023-06-07T00:00:00"/>
    <d v="2023-07-07T00:00:00"/>
    <x v="2"/>
    <n v="67203"/>
    <n v="720"/>
    <n v="1320.74"/>
    <n v="120"/>
    <s v="No"/>
    <s v="IG"/>
    <n v="30"/>
    <n v="1.0713807419311638E-2"/>
    <n v="0.16666666666666666"/>
    <n v="1.8343611111111111"/>
    <n v="11.006166666666667"/>
    <n v="6"/>
    <x v="1"/>
    <s v="June"/>
  </r>
  <r>
    <s v="CMP-01666"/>
    <s v="Q4_BlackFriday_CMP-01666"/>
    <x v="2"/>
    <s v="BlackFriday"/>
    <d v="2023-06-07T00:00:00"/>
    <d v="2023-06-22T00:00:00"/>
    <x v="1"/>
    <n v="25578"/>
    <n v="487"/>
    <n v="620.20000000000005"/>
    <n v="36"/>
    <s v="Yes"/>
    <s v="Email"/>
    <n v="15"/>
    <n v="1.9039799827977169E-2"/>
    <n v="7.3921971252566734E-2"/>
    <n v="1.273511293634497"/>
    <n v="17.227777777777778"/>
    <n v="6"/>
    <x v="1"/>
    <s v="June"/>
  </r>
  <r>
    <s v="CMP-01839"/>
    <s v="Q2_Winstagramter_CMP-01839"/>
    <x v="0"/>
    <s v="Winstagramter"/>
    <d v="2023-06-08T00:00:00"/>
    <d v="2023-06-18T00:00:00"/>
    <x v="2"/>
    <n v="98883"/>
    <n v="1819"/>
    <n v="1471.59"/>
    <n v="126"/>
    <s v="Yes"/>
    <s v="IG"/>
    <n v="10"/>
    <n v="1.8395477483490588E-2"/>
    <n v="6.9268829026937873E-2"/>
    <n v="0.80901044529961508"/>
    <n v="11.679285714285713"/>
    <n v="6"/>
    <x v="1"/>
    <s v="June"/>
  </r>
  <r>
    <s v="CMP-00353"/>
    <s v="Q3_Winstagramter_CMP-00353"/>
    <x v="1"/>
    <s v="Winstagramter"/>
    <d v="2023-06-08T00:00:00"/>
    <d v="2023-08-28T00:00:00"/>
    <x v="5"/>
    <n v="74744"/>
    <n v="3609"/>
    <n v="4881.88"/>
    <n v="516"/>
    <s v="No"/>
    <s v="Not specified"/>
    <n v="81"/>
    <n v="4.828481215883549E-2"/>
    <n v="0.14297589359933499"/>
    <n v="1.3526960376835688"/>
    <n v="9.4610077519379843"/>
    <n v="6"/>
    <x v="1"/>
    <s v="June"/>
  </r>
  <r>
    <s v="CMP-00562"/>
    <s v="Q3_Launch_CMP-00562"/>
    <x v="1"/>
    <s v="Launch"/>
    <d v="2023-06-08T00:00:00"/>
    <d v="2023-06-27T00:00:00"/>
    <x v="1"/>
    <n v="76353"/>
    <n v="1612"/>
    <n v="1026.94"/>
    <n v="80"/>
    <s v="Yes"/>
    <s v="Email"/>
    <n v="19"/>
    <n v="2.1112464474218433E-2"/>
    <n v="4.9627791563275438E-2"/>
    <n v="0.63705955334987596"/>
    <n v="12.83675"/>
    <n v="6"/>
    <x v="1"/>
    <s v="June"/>
  </r>
  <r>
    <s v="CMP-01110"/>
    <s v="Q1_Winstagramter_CMP-01110"/>
    <x v="3"/>
    <s v="Winstagramter"/>
    <d v="2023-06-08T00:00:00"/>
    <d v="2023-06-13T00:00:00"/>
    <x v="3"/>
    <n v="12954"/>
    <n v="530"/>
    <n v="935.79"/>
    <n v="102"/>
    <s v="Yes"/>
    <s v="FB"/>
    <n v="5"/>
    <n v="4.0914003396634244E-2"/>
    <n v="0.19245283018867926"/>
    <n v="1.7656415094339621"/>
    <n v="9.1744117647058818"/>
    <n v="6"/>
    <x v="1"/>
    <s v="June"/>
  </r>
  <r>
    <s v="CMP-01962"/>
    <s v="Q1_Winstagramter_CMP-01962"/>
    <x v="3"/>
    <s v="Winstagramter"/>
    <d v="2023-06-09T00:00:00"/>
    <d v="2023-07-06T00:00:00"/>
    <x v="3"/>
    <n v="65881"/>
    <n v="1206"/>
    <n v="2342.1999999999998"/>
    <n v="121"/>
    <s v="No"/>
    <s v="FB"/>
    <n v="27"/>
    <n v="1.8305733064161139E-2"/>
    <n v="0.10033167495854063"/>
    <n v="1.9421227197346598"/>
    <n v="19.35702479338843"/>
    <n v="6"/>
    <x v="1"/>
    <s v="June"/>
  </r>
  <r>
    <s v="CMP-00206"/>
    <s v="Q2_BlackFriday_CMP-00206"/>
    <x v="0"/>
    <s v="BlackFriday"/>
    <d v="2023-06-09T00:00:00"/>
    <d v="2023-09-16T00:00:00"/>
    <x v="1"/>
    <n v="63003"/>
    <n v="3091"/>
    <n v="2564.17"/>
    <n v="256"/>
    <s v="Yes"/>
    <s v="Email"/>
    <n v="99"/>
    <n v="4.9061155817976924E-2"/>
    <n v="8.2821093497250087E-2"/>
    <n v="0.82956001294079584"/>
    <n v="10.0162890625"/>
    <n v="6"/>
    <x v="1"/>
    <s v="June"/>
  </r>
  <r>
    <s v="CMP-01219"/>
    <s v="Q2_Launch_CMP-01219"/>
    <x v="0"/>
    <s v="Launch"/>
    <d v="2023-06-09T00:00:00"/>
    <d v="2023-07-09T00:00:00"/>
    <x v="2"/>
    <n v="54173"/>
    <n v="1149"/>
    <n v="1242.27"/>
    <n v="173"/>
    <s v="No"/>
    <s v="IG"/>
    <n v="30"/>
    <n v="2.120982777398335E-2"/>
    <n v="0.15056570931244562"/>
    <n v="1.0811749347258486"/>
    <n v="7.1807514450867052"/>
    <n v="6"/>
    <x v="1"/>
    <s v="June"/>
  </r>
  <r>
    <s v="CMP-01961"/>
    <s v="Q2_Summer_CMP-01961"/>
    <x v="0"/>
    <s v="Summer"/>
    <d v="2023-06-09T00:00:00"/>
    <d v="2023-06-17T00:00:00"/>
    <x v="5"/>
    <n v="34320"/>
    <n v="728"/>
    <n v="500.11"/>
    <n v="96"/>
    <s v="Yes"/>
    <s v="Not specified"/>
    <n v="8"/>
    <n v="2.1212121212121213E-2"/>
    <n v="0.13186813186813187"/>
    <n v="0.68696428571428569"/>
    <n v="5.2094791666666671"/>
    <n v="6"/>
    <x v="1"/>
    <s v="June"/>
  </r>
  <r>
    <s v="CMP-00207"/>
    <s v="Q3_BlackFriday_CMP-00207"/>
    <x v="1"/>
    <s v="BlackFriday"/>
    <d v="2023-06-09T00:00:00"/>
    <d v="2023-06-10T00:00:00"/>
    <x v="2"/>
    <n v="84211"/>
    <n v="3614"/>
    <n v="1918.24"/>
    <n v="236"/>
    <s v="No"/>
    <s v="IG"/>
    <n v="1"/>
    <n v="4.2916008597451642E-2"/>
    <n v="6.5301604869950194E-2"/>
    <n v="0.53078029883785283"/>
    <n v="8.128135593220339"/>
    <n v="6"/>
    <x v="1"/>
    <s v="June"/>
  </r>
  <r>
    <s v="CMP-01970"/>
    <s v="Q3_Winstagramter_CMP-01970"/>
    <x v="1"/>
    <s v="Winstagramter"/>
    <d v="2023-06-09T00:00:00"/>
    <d v="2023-06-25T00:00:00"/>
    <x v="4"/>
    <n v="27630"/>
    <n v="774"/>
    <n v="1473.49"/>
    <n v="79"/>
    <s v="Yes"/>
    <s v="Google Ads"/>
    <n v="16"/>
    <n v="2.8013029315960912E-2"/>
    <n v="0.1020671834625323"/>
    <n v="1.9037338501291989"/>
    <n v="18.651772151898733"/>
    <n v="6"/>
    <x v="1"/>
    <s v="June"/>
  </r>
  <r>
    <s v="CMP-00440"/>
    <s v="Q4_BlackFriday_CMP-00440"/>
    <x v="2"/>
    <s v="BlackFriday"/>
    <d v="2023-06-09T00:00:00"/>
    <d v="2023-07-03T00:00:00"/>
    <x v="3"/>
    <n v="55021"/>
    <n v="2334"/>
    <n v="3380.47"/>
    <n v="423"/>
    <s v="No"/>
    <s v="FB"/>
    <n v="24"/>
    <n v="4.2420166845386305E-2"/>
    <n v="0.18123393316195371"/>
    <n v="1.4483590402742073"/>
    <n v="7.9916548463356971"/>
    <n v="6"/>
    <x v="1"/>
    <s v="June"/>
  </r>
  <r>
    <s v="CMP-01054"/>
    <s v="Q4_BlackFriday_CMP-01054"/>
    <x v="2"/>
    <s v="BlackFriday"/>
    <d v="2023-06-09T00:00:00"/>
    <d v="2023-06-10T00:00:00"/>
    <x v="4"/>
    <n v="66545"/>
    <n v="2207"/>
    <n v="2935.17"/>
    <n v="338"/>
    <s v="Yes"/>
    <s v="Google Ads"/>
    <n v="1"/>
    <n v="3.3165527086933655E-2"/>
    <n v="0.15314907113729043"/>
    <n v="1.3299365654734934"/>
    <n v="8.6839349112426039"/>
    <n v="6"/>
    <x v="1"/>
    <s v="June"/>
  </r>
  <r>
    <s v="CMP-00096"/>
    <s v="Q1_Winstagramter_CMP-00096"/>
    <x v="3"/>
    <s v="Winstagramter"/>
    <d v="2023-06-10T00:00:00"/>
    <d v="2023-06-28T00:00:00"/>
    <x v="4"/>
    <n v="52214"/>
    <n v="1352"/>
    <n v="945"/>
    <n v="225"/>
    <s v="No"/>
    <s v="Google Ads"/>
    <n v="18"/>
    <n v="2.5893438541387367E-2"/>
    <n v="0.16642011834319526"/>
    <n v="0.69896449704142016"/>
    <n v="4.2"/>
    <n v="6"/>
    <x v="1"/>
    <s v="June"/>
  </r>
  <r>
    <s v="CMP-00639"/>
    <s v="Q1_Summer_CMP-00639"/>
    <x v="3"/>
    <s v="Summer"/>
    <d v="2023-06-10T00:00:00"/>
    <d v="2023-06-16T00:00:00"/>
    <x v="3"/>
    <n v="90780"/>
    <n v="2961"/>
    <n v="2581.4299999999998"/>
    <n v="454"/>
    <s v="Yes"/>
    <s v="FB"/>
    <n v="6"/>
    <n v="3.2617316589557174E-2"/>
    <n v="0.15332657885849374"/>
    <n v="0.87181019925700776"/>
    <n v="5.685969162995594"/>
    <n v="6"/>
    <x v="1"/>
    <s v="June"/>
  </r>
  <r>
    <s v="CMP-01474"/>
    <s v="Q1_Summer_CMP-01474"/>
    <x v="3"/>
    <s v="Summer"/>
    <d v="2023-06-10T00:00:00"/>
    <d v="2023-06-30T00:00:00"/>
    <x v="2"/>
    <n v="56337"/>
    <n v="1363"/>
    <n v="723.94"/>
    <n v="196"/>
    <s v="No"/>
    <s v="IG"/>
    <n v="20"/>
    <n v="2.4193691534870512E-2"/>
    <n v="0.1438004402054292"/>
    <n v="0.53113719735876741"/>
    <n v="3.6935714285714289"/>
    <n v="6"/>
    <x v="1"/>
    <s v="June"/>
  </r>
  <r>
    <s v="CMP-00087"/>
    <s v="Q2_Winstagramter_CMP-00087"/>
    <x v="0"/>
    <s v="Winstagramter"/>
    <d v="2023-06-10T00:00:00"/>
    <d v="2023-07-08T00:00:00"/>
    <x v="2"/>
    <n v="83798"/>
    <n v="1612"/>
    <n v="1787.74"/>
    <n v="279"/>
    <s v="Yes"/>
    <s v="IG"/>
    <n v="28"/>
    <n v="1.923673596028545E-2"/>
    <n v="0.17307692307692307"/>
    <n v="1.1090198511166254"/>
    <n v="6.4076702508960572"/>
    <n v="6"/>
    <x v="1"/>
    <s v="June"/>
  </r>
  <r>
    <s v="CMP-00588"/>
    <s v="Q2_BlackFriday_CMP-00588"/>
    <x v="0"/>
    <s v="BlackFriday"/>
    <d v="2023-06-10T00:00:00"/>
    <d v="2023-06-11T00:00:00"/>
    <x v="4"/>
    <n v="71640"/>
    <n v="2952"/>
    <n v="2511.6999999999998"/>
    <n v="0"/>
    <s v="No"/>
    <s v="Google Ads"/>
    <n v="1"/>
    <n v="4.1206030150753768E-2"/>
    <n v="0"/>
    <n v="0.85084688346883464"/>
    <s v="0"/>
    <n v="6"/>
    <x v="1"/>
    <s v="June"/>
  </r>
  <r>
    <s v="CMP-00139"/>
    <s v="Q3_Launch_CMP-00139"/>
    <x v="1"/>
    <s v="Launch"/>
    <d v="2023-06-10T00:00:00"/>
    <d v="2023-07-04T00:00:00"/>
    <x v="2"/>
    <n v="7910"/>
    <n v="353"/>
    <n v="483.47"/>
    <n v="22"/>
    <s v="No"/>
    <s v="IG"/>
    <n v="24"/>
    <n v="4.4627054361567636E-2"/>
    <n v="6.2322946175637391E-2"/>
    <n v="1.3696033994334278"/>
    <n v="21.975909090909092"/>
    <n v="6"/>
    <x v="1"/>
    <s v="June"/>
  </r>
  <r>
    <s v="CMP-00416"/>
    <s v="Q3_BlackFriday_CMP-00416"/>
    <x v="1"/>
    <s v="BlackFriday"/>
    <d v="2023-06-10T00:00:00"/>
    <d v="2023-06-25T00:00:00"/>
    <x v="4"/>
    <n v="33097"/>
    <n v="660"/>
    <n v="1106.3599999999999"/>
    <n v="66"/>
    <s v="Yes"/>
    <s v="Google Ads"/>
    <n v="15"/>
    <n v="1.9941384415505938E-2"/>
    <n v="0.1"/>
    <n v="1.6763030303030302"/>
    <n v="16.763030303030302"/>
    <n v="6"/>
    <x v="1"/>
    <s v="June"/>
  </r>
  <r>
    <s v="CMP-00673"/>
    <s v="Q3_Summer_CMP-00673"/>
    <x v="1"/>
    <s v="Summer"/>
    <d v="2023-06-10T00:00:00"/>
    <d v="2023-06-30T00:00:00"/>
    <x v="2"/>
    <n v="27432"/>
    <n v="576"/>
    <n v="468.22"/>
    <n v="75"/>
    <s v="Yes"/>
    <s v="IG"/>
    <n v="20"/>
    <n v="2.0997375328083989E-2"/>
    <n v="0.13020833333333334"/>
    <n v="0.8128819444444445"/>
    <n v="6.2429333333333341"/>
    <n v="6"/>
    <x v="1"/>
    <s v="June"/>
  </r>
  <r>
    <s v="CMP-01381"/>
    <s v="Q4_Winstagramter_CMP-01381"/>
    <x v="2"/>
    <s v="Winstagramter"/>
    <d v="2023-06-10T00:00:00"/>
    <d v="2023-06-30T00:00:00"/>
    <x v="0"/>
    <n v="36954"/>
    <n v="860"/>
    <n v="1530.68"/>
    <n v="72"/>
    <s v="No"/>
    <s v="TikTok"/>
    <n v="20"/>
    <n v="2.3272176219083184E-2"/>
    <n v="8.3720930232558138E-2"/>
    <n v="1.779860465116279"/>
    <n v="21.259444444444444"/>
    <n v="6"/>
    <x v="1"/>
    <s v="June"/>
  </r>
  <r>
    <s v="CMP-00840"/>
    <s v="Q1_BlackFriday_CMP-00840"/>
    <x v="3"/>
    <s v="BlackFriday"/>
    <d v="2023-06-11T00:00:00"/>
    <d v="2023-07-07T00:00:00"/>
    <x v="3"/>
    <n v="25285"/>
    <n v="1000"/>
    <n v="1220.07"/>
    <n v="0"/>
    <s v="Yes"/>
    <s v="FB"/>
    <n v="26"/>
    <n v="3.9549139806209214E-2"/>
    <n v="0"/>
    <n v="1.22007"/>
    <s v="0"/>
    <n v="6"/>
    <x v="1"/>
    <s v="June"/>
  </r>
  <r>
    <s v="CMP-01821"/>
    <s v="Q1_Summer_CMP-01821"/>
    <x v="3"/>
    <s v="Summer"/>
    <d v="2023-06-11T00:00:00"/>
    <d v="2023-06-20T00:00:00"/>
    <x v="0"/>
    <n v="7540"/>
    <n v="312"/>
    <n v="283.08999999999997"/>
    <n v="0"/>
    <s v="Yes"/>
    <s v="TikTok"/>
    <n v="9"/>
    <n v="4.1379310344827586E-2"/>
    <n v="0"/>
    <n v="0.90733974358974356"/>
    <s v="0"/>
    <n v="6"/>
    <x v="1"/>
    <s v="June"/>
  </r>
  <r>
    <s v="CMP-00935"/>
    <s v="Q2_Winstagramter_CMP-00935"/>
    <x v="0"/>
    <s v="Winstagramter"/>
    <d v="2023-06-11T00:00:00"/>
    <d v="2023-07-03T00:00:00"/>
    <x v="1"/>
    <n v="80104"/>
    <n v="1329"/>
    <n v="664.87"/>
    <n v="104"/>
    <s v="Yes"/>
    <s v="Email"/>
    <n v="22"/>
    <n v="1.6590931788674722E-2"/>
    <n v="7.8254326561324306E-2"/>
    <n v="0.50027840481565089"/>
    <n v="6.3929807692307694"/>
    <n v="6"/>
    <x v="1"/>
    <s v="June"/>
  </r>
  <r>
    <s v="CMP-01473"/>
    <s v="Q2_Launch_CMP-01473"/>
    <x v="0"/>
    <s v="Launch"/>
    <d v="2023-06-11T00:00:00"/>
    <d v="2023-06-28T00:00:00"/>
    <x v="0"/>
    <n v="84559"/>
    <n v="3321"/>
    <n v="3285.87"/>
    <n v="454"/>
    <s v="No"/>
    <s v="TikTok"/>
    <n v="17"/>
    <n v="3.9274352818741941E-2"/>
    <n v="0.13670581150255948"/>
    <n v="0.98942186088527551"/>
    <n v="7.2375991189427307"/>
    <n v="6"/>
    <x v="1"/>
    <s v="June"/>
  </r>
  <r>
    <s v="CMP-01547"/>
    <s v="Q2_Winstagramter_CMP-01547"/>
    <x v="0"/>
    <s v="Winstagramter"/>
    <d v="2023-06-11T00:00:00"/>
    <d v="2023-06-28T00:00:00"/>
    <x v="5"/>
    <n v="75910"/>
    <n v="3258"/>
    <n v="4387.2"/>
    <n v="302"/>
    <s v="Yes"/>
    <s v="Not specified"/>
    <n v="17"/>
    <n v="4.2919246476090106E-2"/>
    <n v="9.2694904849600981E-2"/>
    <n v="1.3465930018416206"/>
    <n v="14.527152317880795"/>
    <n v="6"/>
    <x v="1"/>
    <s v="June"/>
  </r>
  <r>
    <s v="CMP-00095"/>
    <s v="Q4_Summer_CMP-00095"/>
    <x v="2"/>
    <s v="Summer"/>
    <d v="2023-06-11T00:00:00"/>
    <d v="2023-06-20T00:00:00"/>
    <x v="0"/>
    <n v="39044"/>
    <n v="1465"/>
    <n v="1411.43"/>
    <n v="186"/>
    <s v="Yes"/>
    <s v="TikTok"/>
    <n v="9"/>
    <n v="3.7521770310419013E-2"/>
    <n v="0.12696245733788397"/>
    <n v="0.96343344709897616"/>
    <n v="7.5883333333333338"/>
    <n v="6"/>
    <x v="1"/>
    <s v="June"/>
  </r>
  <r>
    <s v="CMP-01765"/>
    <s v="Q4_Winstagramter_CMP-01765"/>
    <x v="2"/>
    <s v="Winstagramter"/>
    <d v="2023-06-11T00:00:00"/>
    <d v="2023-06-27T00:00:00"/>
    <x v="2"/>
    <n v="13987"/>
    <n v="545"/>
    <n v="585.51"/>
    <n v="64"/>
    <s v="No"/>
    <s v="IG"/>
    <n v="16"/>
    <n v="3.8964752984914565E-2"/>
    <n v="0.11743119266055047"/>
    <n v="1.0743302752293578"/>
    <n v="9.1485937499999999"/>
    <n v="6"/>
    <x v="1"/>
    <s v="June"/>
  </r>
  <r>
    <s v="CMP-00608"/>
    <s v="Q1_Summer_CMP-00608"/>
    <x v="3"/>
    <s v="Summer"/>
    <d v="2023-06-12T00:00:00"/>
    <d v="2023-06-19T00:00:00"/>
    <x v="1"/>
    <n v="51517"/>
    <n v="1755"/>
    <n v="3291.35"/>
    <n v="349"/>
    <s v="Yes"/>
    <s v="Email"/>
    <n v="7"/>
    <n v="3.4066424675349885E-2"/>
    <n v="0.19886039886039886"/>
    <n v="1.8754131054131054"/>
    <n v="9.4308022922636106"/>
    <n v="6"/>
    <x v="1"/>
    <s v="June"/>
  </r>
  <r>
    <s v="CMP-01917"/>
    <s v="Q2_Summer_CMP-01917"/>
    <x v="0"/>
    <s v="Summer"/>
    <d v="2023-06-12T00:00:00"/>
    <d v="2023-07-12T00:00:00"/>
    <x v="4"/>
    <n v="70298"/>
    <n v="2822"/>
    <n v="2933.69"/>
    <n v="490"/>
    <s v="No"/>
    <s v="Google Ads"/>
    <n v="30"/>
    <n v="4.0143389570115789E-2"/>
    <n v="0.17363571934798017"/>
    <n v="1.0395783132530121"/>
    <n v="5.9871224489795916"/>
    <n v="6"/>
    <x v="1"/>
    <s v="June"/>
  </r>
  <r>
    <s v="CMP-01074"/>
    <s v="Q4_Summer_CMP-01074"/>
    <x v="2"/>
    <s v="Summer"/>
    <d v="2023-06-12T00:00:00"/>
    <d v="2023-07-04T00:00:00"/>
    <x v="5"/>
    <n v="97573"/>
    <n v="4065"/>
    <n v="6182.2"/>
    <n v="688"/>
    <s v="Yes"/>
    <s v="Not specified"/>
    <n v="22"/>
    <n v="4.1661115267543278E-2"/>
    <n v="0.16924969249692498"/>
    <n v="1.5208364083640835"/>
    <n v="8.9857558139534888"/>
    <n v="6"/>
    <x v="1"/>
    <s v="June"/>
  </r>
  <r>
    <s v="CMP-00597"/>
    <s v="Q1_Winstagramter_CMP-00597"/>
    <x v="3"/>
    <s v="Winstagramter"/>
    <d v="2023-06-13T00:00:00"/>
    <d v="2023-07-06T00:00:00"/>
    <x v="4"/>
    <n v="37208"/>
    <n v="949"/>
    <n v="1585.1"/>
    <n v="88"/>
    <s v="No"/>
    <s v="Google Ads"/>
    <n v="23"/>
    <n v="2.5505267684368952E-2"/>
    <n v="9.2729188619599584E-2"/>
    <n v="1.6702845100105372"/>
    <n v="18.012499999999999"/>
    <n v="6"/>
    <x v="1"/>
    <s v="June"/>
  </r>
  <r>
    <s v="CMP-00632"/>
    <s v="Q1_Summer_CMP-00632"/>
    <x v="3"/>
    <s v="Summer"/>
    <d v="2023-06-13T00:00:00"/>
    <d v="2023-06-16T00:00:00"/>
    <x v="2"/>
    <n v="12130"/>
    <n v="207"/>
    <n v="233.91"/>
    <n v="13"/>
    <s v="Yes"/>
    <s v="IG"/>
    <n v="3"/>
    <n v="1.7065127782357789E-2"/>
    <n v="6.280193236714976E-2"/>
    <n v="1.1299999999999999"/>
    <n v="17.993076923076924"/>
    <n v="6"/>
    <x v="1"/>
    <s v="June"/>
  </r>
  <r>
    <s v="CMP-00660"/>
    <s v="Q1_BlackFriday_CMP-00660"/>
    <x v="3"/>
    <s v="BlackFriday"/>
    <d v="2023-06-13T00:00:00"/>
    <d v="2023-06-23T00:00:00"/>
    <x v="4"/>
    <n v="51343"/>
    <n v="2381"/>
    <n v="1371.07"/>
    <n v="136"/>
    <s v="Yes"/>
    <s v="Google Ads"/>
    <n v="10"/>
    <n v="4.6374384044563038E-2"/>
    <n v="5.7118857622847546E-2"/>
    <n v="0.57583788324233509"/>
    <n v="10.081397058823528"/>
    <n v="6"/>
    <x v="1"/>
    <s v="June"/>
  </r>
  <r>
    <s v="CMP-00879"/>
    <s v="Q1_Launch_CMP-00879"/>
    <x v="3"/>
    <s v="Launch"/>
    <d v="2023-06-13T00:00:00"/>
    <d v="2023-06-29T00:00:00"/>
    <x v="4"/>
    <n v="86392"/>
    <n v="1304"/>
    <n v="1195.47"/>
    <n v="159"/>
    <s v="No"/>
    <s v="Google Ads"/>
    <n v="16"/>
    <n v="1.5093990184276321E-2"/>
    <n v="0.12193251533742332"/>
    <n v="0.91677147239263801"/>
    <n v="7.5186792452830193"/>
    <n v="6"/>
    <x v="1"/>
    <s v="June"/>
  </r>
  <r>
    <s v="CMP-00909"/>
    <s v="Q1_BlackFriday_CMP-00909"/>
    <x v="3"/>
    <s v="BlackFriday"/>
    <d v="2023-06-13T00:00:00"/>
    <d v="2023-07-02T00:00:00"/>
    <x v="3"/>
    <n v="58108"/>
    <n v="2879"/>
    <n v="5650.81"/>
    <n v="296"/>
    <s v="Yes"/>
    <s v="FB"/>
    <n v="19"/>
    <n v="4.9545673573346181E-2"/>
    <n v="0.10281347690170198"/>
    <n v="1.9627683223341439"/>
    <n v="19.090574324324326"/>
    <n v="6"/>
    <x v="1"/>
    <s v="June"/>
  </r>
  <r>
    <s v="CMP-01964"/>
    <s v="Q2_Winstagramter_CMP-01964"/>
    <x v="0"/>
    <s v="Winstagramter"/>
    <d v="2023-06-13T00:00:00"/>
    <d v="2023-06-27T00:00:00"/>
    <x v="3"/>
    <n v="27289"/>
    <n v="796"/>
    <n v="1312.45"/>
    <n v="105"/>
    <s v="Yes"/>
    <s v="FB"/>
    <n v="14"/>
    <n v="2.9169262340137052E-2"/>
    <n v="0.13190954773869346"/>
    <n v="1.6488065326633166"/>
    <n v="12.49952380952381"/>
    <n v="6"/>
    <x v="1"/>
    <s v="June"/>
  </r>
  <r>
    <s v="CMP-01968"/>
    <s v="Q2_Launch_CMP-01968"/>
    <x v="0"/>
    <s v="Launch"/>
    <d v="2023-06-13T00:00:00"/>
    <d v="2023-06-30T00:00:00"/>
    <x v="0"/>
    <n v="62550"/>
    <n v="1990"/>
    <n v="1558.55"/>
    <n v="366"/>
    <s v="Yes"/>
    <s v="TikTok"/>
    <n v="17"/>
    <n v="3.1814548361310951E-2"/>
    <n v="0.18391959798994975"/>
    <n v="0.78319095477386935"/>
    <n v="4.2583333333333329"/>
    <n v="6"/>
    <x v="1"/>
    <s v="June"/>
  </r>
  <r>
    <s v="CMP-00771"/>
    <s v="Q3_Launch_CMP-00771"/>
    <x v="1"/>
    <s v="Launch"/>
    <d v="2023-06-13T00:00:00"/>
    <d v="2023-07-09T00:00:00"/>
    <x v="1"/>
    <n v="76672"/>
    <n v="2737"/>
    <n v="4825.3999999999996"/>
    <n v="417"/>
    <s v="Yes"/>
    <s v="Email"/>
    <n v="26"/>
    <n v="3.5697516694490818E-2"/>
    <n v="0.15235659481183778"/>
    <n v="1.7630252100840336"/>
    <n v="11.571702637889688"/>
    <n v="6"/>
    <x v="1"/>
    <s v="June"/>
  </r>
  <r>
    <s v="CMP-01195"/>
    <s v="Q4_BlackFriday_CMP-01195"/>
    <x v="2"/>
    <s v="BlackFriday"/>
    <d v="2023-06-13T00:00:00"/>
    <d v="2023-07-06T00:00:00"/>
    <x v="3"/>
    <n v="40915"/>
    <n v="1463"/>
    <n v="1425.13"/>
    <n v="283"/>
    <s v="Yes"/>
    <s v="FB"/>
    <n v="23"/>
    <n v="3.575705731394354E-2"/>
    <n v="0.19343814080656185"/>
    <n v="0.97411483253588527"/>
    <n v="5.0357950530035342"/>
    <n v="6"/>
    <x v="1"/>
    <s v="June"/>
  </r>
  <r>
    <s v="CMP-00772"/>
    <s v="Q3_Summer_CMP-00772"/>
    <x v="1"/>
    <s v="Summer"/>
    <d v="2023-06-14T00:00:00"/>
    <d v="2023-07-01T00:00:00"/>
    <x v="3"/>
    <n v="66545"/>
    <n v="1186"/>
    <n v="1451.75"/>
    <n v="91"/>
    <s v="No"/>
    <s v="FB"/>
    <n v="17"/>
    <n v="1.7822526110151025E-2"/>
    <n v="7.672849915682968E-2"/>
    <n v="1.2240725126475549"/>
    <n v="15.953296703296703"/>
    <n v="6"/>
    <x v="1"/>
    <s v="June"/>
  </r>
  <r>
    <s v="CMP-00877"/>
    <s v="Q4_Summer_CMP-00877"/>
    <x v="2"/>
    <s v="Summer"/>
    <d v="2023-06-14T00:00:00"/>
    <d v="2023-06-22T00:00:00"/>
    <x v="4"/>
    <n v="40811"/>
    <n v="452"/>
    <n v="417.37"/>
    <n v="74"/>
    <s v="Yes"/>
    <s v="Google Ads"/>
    <n v="8"/>
    <n v="1.1075445345617604E-2"/>
    <n v="0.16371681415929204"/>
    <n v="0.92338495575221236"/>
    <n v="5.640135135135135"/>
    <n v="6"/>
    <x v="1"/>
    <s v="June"/>
  </r>
  <r>
    <s v="CMP-01109"/>
    <s v="Q4_Winstagramter_CMP-01109"/>
    <x v="2"/>
    <s v="Winstagramter"/>
    <d v="2023-06-14T00:00:00"/>
    <d v="2023-06-26T00:00:00"/>
    <x v="1"/>
    <n v="40711"/>
    <n v="1987"/>
    <n v="2923.25"/>
    <n v="212"/>
    <s v="Yes"/>
    <s v="Email"/>
    <n v="12"/>
    <n v="4.8807447618579747E-2"/>
    <n v="0.10669350780070458"/>
    <n v="1.4711877201811776"/>
    <n v="13.788915094339623"/>
    <n v="6"/>
    <x v="1"/>
    <s v="June"/>
  </r>
  <r>
    <s v="CMP-01128"/>
    <s v="Q1_BlackFriday_CMP-01128"/>
    <x v="3"/>
    <s v="BlackFriday"/>
    <d v="2023-06-15T00:00:00"/>
    <d v="2023-06-28T00:00:00"/>
    <x v="0"/>
    <n v="42157"/>
    <n v="2107"/>
    <n v="4078.72"/>
    <n v="125"/>
    <s v="No"/>
    <s v="TikTok"/>
    <n v="13"/>
    <n v="4.997983727494841E-2"/>
    <n v="5.9326056003796868E-2"/>
    <n v="1.9357949691504508"/>
    <n v="32.629759999999997"/>
    <n v="6"/>
    <x v="1"/>
    <s v="June"/>
  </r>
  <r>
    <s v="CMP-01133"/>
    <s v="Q1_Winstagramter_CMP-01133"/>
    <x v="3"/>
    <s v="Winstagramter"/>
    <d v="2023-06-15T00:00:00"/>
    <d v="2023-06-23T00:00:00"/>
    <x v="3"/>
    <n v="25519"/>
    <n v="1005"/>
    <n v="1435.06"/>
    <n v="154"/>
    <s v="Yes"/>
    <s v="FB"/>
    <n v="8"/>
    <n v="3.9382420941259454E-2"/>
    <n v="0.15323383084577114"/>
    <n v="1.4279203980099502"/>
    <n v="9.3185714285714276"/>
    <n v="6"/>
    <x v="1"/>
    <s v="June"/>
  </r>
  <r>
    <s v="CMP-01413"/>
    <s v="Q1_Summer_CMP-01413"/>
    <x v="3"/>
    <s v="Summer"/>
    <d v="2023-06-15T00:00:00"/>
    <d v="2023-06-19T00:00:00"/>
    <x v="3"/>
    <n v="82182"/>
    <n v="1495"/>
    <n v="1273.3699999999999"/>
    <n v="246"/>
    <s v="No"/>
    <s v="FB"/>
    <n v="4"/>
    <n v="1.8191331435107445E-2"/>
    <n v="0.16454849498327759"/>
    <n v="0.85175250836120397"/>
    <n v="5.1763008130081296"/>
    <n v="6"/>
    <x v="1"/>
    <s v="June"/>
  </r>
  <r>
    <s v="CMP-00273"/>
    <s v="Q3_BlackFriday_CMP-00273"/>
    <x v="1"/>
    <s v="BlackFriday"/>
    <d v="2023-06-15T00:00:00"/>
    <d v="2023-07-04T00:00:00"/>
    <x v="0"/>
    <n v="31306"/>
    <n v="815"/>
    <n v="568.45000000000005"/>
    <n v="47"/>
    <s v="No"/>
    <s v="TikTok"/>
    <n v="19"/>
    <n v="2.6033348239954002E-2"/>
    <n v="5.7668711656441718E-2"/>
    <n v="0.69748466257668718"/>
    <n v="12.094680851063831"/>
    <n v="6"/>
    <x v="1"/>
    <s v="June"/>
  </r>
  <r>
    <s v="CMP-01386"/>
    <s v="Q4_BlackFriday_CMP-01386"/>
    <x v="2"/>
    <s v="BlackFriday"/>
    <d v="2023-06-15T00:00:00"/>
    <d v="2023-07-03T00:00:00"/>
    <x v="2"/>
    <n v="61774"/>
    <n v="2027"/>
    <n v="3843.67"/>
    <n v="141"/>
    <s v="Yes"/>
    <s v="IG"/>
    <n v="18"/>
    <n v="3.2813157639136205E-2"/>
    <n v="6.9560927479033058E-2"/>
    <n v="1.896235816477553"/>
    <n v="27.260070921985815"/>
    <n v="6"/>
    <x v="1"/>
    <s v="June"/>
  </r>
  <r>
    <s v="CMP-01701"/>
    <s v="Q4_BlackFriday_CMP-01701"/>
    <x v="2"/>
    <s v="BlackFriday"/>
    <d v="2023-06-15T00:00:00"/>
    <d v="2023-07-11T00:00:00"/>
    <x v="4"/>
    <n v="71831"/>
    <n v="2825"/>
    <n v="1842.1"/>
    <n v="142"/>
    <s v="Yes"/>
    <s v="Google Ads"/>
    <n v="26"/>
    <n v="3.9328423661093397E-2"/>
    <n v="5.0265486725663715E-2"/>
    <n v="0.65207079646017696"/>
    <n v="12.972535211267605"/>
    <n v="6"/>
    <x v="1"/>
    <s v="June"/>
  </r>
  <r>
    <s v="CMP-00026"/>
    <s v="Q1_Winstagramter_CMP-00026"/>
    <x v="3"/>
    <s v="Winstagramter"/>
    <d v="2023-06-16T00:00:00"/>
    <d v="2023-07-02T00:00:00"/>
    <x v="4"/>
    <n v="94016"/>
    <n v="2427"/>
    <n v="3928.42"/>
    <n v="207"/>
    <s v="No"/>
    <s v="Google Ads"/>
    <n v="16"/>
    <n v="2.5814754935330156E-2"/>
    <n v="8.5290482076637822E-2"/>
    <n v="1.6186320560362588"/>
    <n v="18.977874396135267"/>
    <n v="6"/>
    <x v="1"/>
    <s v="June"/>
  </r>
  <r>
    <s v="CMP-00460"/>
    <s v="Q1_BlackFriday_CMP-00460"/>
    <x v="3"/>
    <s v="BlackFriday"/>
    <d v="2023-06-16T00:00:00"/>
    <d v="2023-06-25T00:00:00"/>
    <x v="0"/>
    <n v="91852"/>
    <n v="4186"/>
    <n v="4363.12"/>
    <n v="0"/>
    <s v="No"/>
    <s v="TikTok"/>
    <n v="9"/>
    <n v="4.5573313591429694E-2"/>
    <n v="0"/>
    <n v="1.0423124701385571"/>
    <s v="0"/>
    <n v="6"/>
    <x v="1"/>
    <s v="June"/>
  </r>
  <r>
    <s v="CMP-01756"/>
    <s v="Q1_BlackFriday_CMP-01756"/>
    <x v="3"/>
    <s v="BlackFriday"/>
    <d v="2023-06-16T00:00:00"/>
    <d v="2023-06-29T00:00:00"/>
    <x v="0"/>
    <n v="76713"/>
    <n v="2685"/>
    <n v="1802.59"/>
    <n v="254"/>
    <s v="No"/>
    <s v="TikTok"/>
    <n v="13"/>
    <n v="3.5000586602010088E-2"/>
    <n v="9.4599627560521413E-2"/>
    <n v="0.67135567970204835"/>
    <n v="7.0968110236220472"/>
    <n v="6"/>
    <x v="1"/>
    <s v="June"/>
  </r>
  <r>
    <s v="CMP-00330"/>
    <s v="Q3_Summer_CMP-00330"/>
    <x v="1"/>
    <s v="Summer"/>
    <d v="2023-06-16T00:00:00"/>
    <d v="2023-07-08T00:00:00"/>
    <x v="3"/>
    <n v="20830"/>
    <n v="895"/>
    <n v="751.9"/>
    <n v="127"/>
    <s v="No"/>
    <s v="FB"/>
    <n v="22"/>
    <n v="4.2966874699951994E-2"/>
    <n v="0.14189944134078211"/>
    <n v="0.84011173184357535"/>
    <n v="5.9204724409448817"/>
    <n v="6"/>
    <x v="1"/>
    <s v="June"/>
  </r>
  <r>
    <s v="CMP-00881"/>
    <s v="Q3_Launch_CMP-00881"/>
    <x v="1"/>
    <s v="Launch"/>
    <d v="2023-06-16T00:00:00"/>
    <d v="2023-06-27T00:00:00"/>
    <x v="2"/>
    <n v="20963"/>
    <n v="1025"/>
    <n v="1514.8"/>
    <n v="172"/>
    <s v="No"/>
    <s v="IG"/>
    <n v="11"/>
    <n v="4.8895673329199064E-2"/>
    <n v="0.1678048780487805"/>
    <n v="1.4778536585365853"/>
    <n v="8.8069767441860467"/>
    <n v="6"/>
    <x v="1"/>
    <s v="June"/>
  </r>
  <r>
    <s v="CMP-01860"/>
    <s v="Q3_Winstagramter_CMP-01860"/>
    <x v="1"/>
    <s v="Winstagramter"/>
    <d v="2023-06-16T00:00:00"/>
    <d v="2023-07-03T00:00:00"/>
    <x v="1"/>
    <n v="39158"/>
    <n v="511"/>
    <n v="331.56"/>
    <n v="36"/>
    <s v="No"/>
    <s v="Email"/>
    <n v="17"/>
    <n v="1.3049696102967466E-2"/>
    <n v="7.0450097847358117E-2"/>
    <n v="0.64884540117416833"/>
    <n v="9.2100000000000009"/>
    <n v="6"/>
    <x v="1"/>
    <s v="June"/>
  </r>
  <r>
    <s v="CMP-00224"/>
    <s v="Q4_Summer_CMP-00224"/>
    <x v="2"/>
    <s v="Summer"/>
    <d v="2023-06-16T00:00:00"/>
    <d v="2023-07-06T00:00:00"/>
    <x v="4"/>
    <n v="51859"/>
    <n v="1842"/>
    <n v="2243.08"/>
    <n v="0"/>
    <s v="Yes"/>
    <s v="Google Ads"/>
    <n v="20"/>
    <n v="3.5519389112786591E-2"/>
    <n v="0"/>
    <n v="1.2177415852334419"/>
    <s v="0"/>
    <n v="6"/>
    <x v="1"/>
    <s v="June"/>
  </r>
  <r>
    <s v="CMP-00864"/>
    <s v="Q4_Winstagramter_CMP-00864"/>
    <x v="2"/>
    <s v="Winstagramter"/>
    <d v="2023-06-16T00:00:00"/>
    <d v="2023-06-19T00:00:00"/>
    <x v="3"/>
    <n v="24386"/>
    <n v="1096"/>
    <n v="1248.24"/>
    <n v="87"/>
    <s v="No"/>
    <s v="FB"/>
    <n v="3"/>
    <n v="4.49438202247191E-2"/>
    <n v="7.9379562043795621E-2"/>
    <n v="1.138905109489051"/>
    <n v="14.347586206896551"/>
    <n v="6"/>
    <x v="1"/>
    <s v="June"/>
  </r>
  <r>
    <s v="CMP-01985"/>
    <s v="Q4_BlackFriday_CMP-01985"/>
    <x v="2"/>
    <s v="BlackFriday"/>
    <d v="2023-06-16T00:00:00"/>
    <d v="2023-07-12T00:00:00"/>
    <x v="5"/>
    <n v="16313"/>
    <n v="769"/>
    <n v="450.52"/>
    <n v="68"/>
    <s v="No"/>
    <s v="Not specified"/>
    <n v="26"/>
    <n v="4.7140317538159747E-2"/>
    <n v="8.8426527958387513E-2"/>
    <n v="0.58585175552665802"/>
    <n v="6.6252941176470586"/>
    <n v="6"/>
    <x v="1"/>
    <s v="June"/>
  </r>
  <r>
    <s v="CMP-01082"/>
    <s v="Q2_Launch_CMP-01082"/>
    <x v="0"/>
    <s v="Launch"/>
    <d v="2023-06-17T00:00:00"/>
    <d v="2023-07-05T00:00:00"/>
    <x v="1"/>
    <n v="85555"/>
    <n v="1215"/>
    <n v="1128.55"/>
    <n v="0"/>
    <s v="Yes"/>
    <s v="Email"/>
    <n v="18"/>
    <n v="1.4201390918122845E-2"/>
    <n v="0"/>
    <n v="0.92884773662551434"/>
    <s v="0"/>
    <n v="6"/>
    <x v="1"/>
    <s v="June"/>
  </r>
  <r>
    <s v="CMP-00148"/>
    <s v="Q4_Launch_CMP-00148"/>
    <x v="2"/>
    <s v="Launch"/>
    <d v="2023-06-17T00:00:00"/>
    <d v="2023-06-26T00:00:00"/>
    <x v="2"/>
    <n v="88939"/>
    <n v="2448"/>
    <n v="3741.89"/>
    <n v="205"/>
    <s v="Yes"/>
    <s v="IG"/>
    <n v="9"/>
    <n v="2.7524483072667784E-2"/>
    <n v="8.3741830065359471E-2"/>
    <n v="1.5285498366013071"/>
    <n v="18.253121951219512"/>
    <n v="6"/>
    <x v="1"/>
    <s v="June"/>
  </r>
  <r>
    <s v="CMP-00369"/>
    <s v="Q4_BlackFriday_CMP-00369"/>
    <x v="2"/>
    <s v="BlackFriday"/>
    <d v="2023-06-17T00:00:00"/>
    <d v="2023-07-06T00:00:00"/>
    <x v="1"/>
    <n v="67235"/>
    <n v="2033"/>
    <n v="1912.37"/>
    <n v="384"/>
    <s v="No"/>
    <s v="Email"/>
    <n v="19"/>
    <n v="3.0237227634416598E-2"/>
    <n v="0.18888342351205115"/>
    <n v="0.94066404328578446"/>
    <n v="4.9801302083333328"/>
    <n v="6"/>
    <x v="1"/>
    <s v="June"/>
  </r>
  <r>
    <s v="CMP-00322"/>
    <s v="Q1_Summer_CMP-00322"/>
    <x v="3"/>
    <s v="Summer"/>
    <d v="2023-06-18T00:00:00"/>
    <d v="2023-07-13T00:00:00"/>
    <x v="1"/>
    <n v="23399"/>
    <n v="293"/>
    <n v="557.51"/>
    <n v="46"/>
    <s v="Yes"/>
    <s v="Email"/>
    <n v="25"/>
    <n v="1.2521902645412197E-2"/>
    <n v="0.15699658703071673"/>
    <n v="1.9027645051194539"/>
    <n v="12.119782608695653"/>
    <n v="6"/>
    <x v="1"/>
    <s v="June"/>
  </r>
  <r>
    <s v="CMP-00875"/>
    <s v="Q3_Summer_CMP-00875"/>
    <x v="1"/>
    <s v="Summer"/>
    <d v="2023-06-18T00:00:00"/>
    <d v="2023-07-12T00:00:00"/>
    <x v="0"/>
    <n v="53329"/>
    <n v="571"/>
    <n v="757.48"/>
    <n v="73"/>
    <s v="Yes"/>
    <s v="TikTok"/>
    <n v="24"/>
    <n v="1.0707119953496222E-2"/>
    <n v="0.12784588441330999"/>
    <n v="1.326584938704028"/>
    <n v="10.376438356164384"/>
    <n v="6"/>
    <x v="1"/>
    <s v="June"/>
  </r>
  <r>
    <s v="CMP-00664"/>
    <s v="Q1_BlackFriday_CMP-00664"/>
    <x v="3"/>
    <s v="BlackFriday"/>
    <d v="2023-06-19T00:00:00"/>
    <d v="2023-07-14T00:00:00"/>
    <x v="5"/>
    <n v="89858"/>
    <n v="1708"/>
    <n v="1704.58"/>
    <n v="316"/>
    <s v="Yes"/>
    <s v="Not specified"/>
    <n v="25"/>
    <n v="1.900776781143582E-2"/>
    <n v="0.18501170960187355"/>
    <n v="0.99799765807962526"/>
    <n v="5.3942405063291137"/>
    <n v="6"/>
    <x v="1"/>
    <s v="June"/>
  </r>
  <r>
    <s v="CMP-00698"/>
    <s v="Q1_Winstagramter_CMP-00698"/>
    <x v="3"/>
    <s v="Winstagramter"/>
    <d v="2023-06-19T00:00:00"/>
    <d v="2023-07-07T00:00:00"/>
    <x v="0"/>
    <n v="31355"/>
    <n v="1096"/>
    <n v="721.59"/>
    <n v="67"/>
    <s v="No"/>
    <s v="TikTok"/>
    <n v="18"/>
    <n v="3.4954552702918196E-2"/>
    <n v="6.113138686131387E-2"/>
    <n v="0.65838503649635038"/>
    <n v="10.770000000000001"/>
    <n v="6"/>
    <x v="1"/>
    <s v="June"/>
  </r>
  <r>
    <s v="CMP-00898"/>
    <s v="Q1_BlackFriday_CMP-00898"/>
    <x v="3"/>
    <s v="BlackFriday"/>
    <d v="2023-06-19T00:00:00"/>
    <d v="2023-07-14T00:00:00"/>
    <x v="2"/>
    <n v="23415"/>
    <n v="499"/>
    <n v="918.39"/>
    <n v="0"/>
    <s v="Yes"/>
    <s v="IG"/>
    <n v="25"/>
    <n v="2.1311125346999787E-2"/>
    <n v="0"/>
    <n v="1.8404609218436874"/>
    <s v="0"/>
    <n v="6"/>
    <x v="1"/>
    <s v="June"/>
  </r>
  <r>
    <s v="CMP-01164"/>
    <s v="Q1_BlackFriday_CMP-01164"/>
    <x v="3"/>
    <s v="BlackFriday"/>
    <d v="2023-06-19T00:00:00"/>
    <d v="2023-07-14T00:00:00"/>
    <x v="3"/>
    <n v="72895"/>
    <n v="2369"/>
    <n v="3830.92"/>
    <n v="369"/>
    <s v="No"/>
    <s v="FB"/>
    <n v="25"/>
    <n v="3.2498799643322585E-2"/>
    <n v="0.15576192486281132"/>
    <n v="1.6171042634022794"/>
    <n v="10.381897018970189"/>
    <n v="6"/>
    <x v="1"/>
    <s v="June"/>
  </r>
  <r>
    <s v="CMP-01468"/>
    <s v="Q1_BlackFriday_CMP-01468"/>
    <x v="3"/>
    <s v="BlackFriday"/>
    <d v="2023-06-19T00:00:00"/>
    <d v="2023-07-06T00:00:00"/>
    <x v="3"/>
    <n v="38904"/>
    <n v="663"/>
    <n v="1001.81"/>
    <n v="58"/>
    <s v="Yes"/>
    <s v="FB"/>
    <n v="17"/>
    <n v="1.704194941394201E-2"/>
    <n v="8.7481146304675711E-2"/>
    <n v="1.5110256410256409"/>
    <n v="17.272586206896552"/>
    <n v="6"/>
    <x v="1"/>
    <s v="June"/>
  </r>
  <r>
    <s v="CMP-00315"/>
    <s v="Q3_BlackFriday_CMP-00315"/>
    <x v="1"/>
    <s v="BlackFriday"/>
    <d v="2023-06-19T00:00:00"/>
    <d v="2023-07-16T00:00:00"/>
    <x v="1"/>
    <n v="91272"/>
    <n v="1251"/>
    <n v="637.58000000000004"/>
    <n v="164"/>
    <s v="No"/>
    <s v="Email"/>
    <n v="27"/>
    <n v="1.3706284512227189E-2"/>
    <n v="0.1310951239008793"/>
    <n v="0.50965627498001598"/>
    <n v="3.8876829268292687"/>
    <n v="6"/>
    <x v="1"/>
    <s v="June"/>
  </r>
  <r>
    <s v="CMP-01345"/>
    <s v="Q3_Winstagramter_CMP-01345"/>
    <x v="1"/>
    <s v="Winstagramter"/>
    <d v="2023-06-19T00:00:00"/>
    <d v="2023-07-14T00:00:00"/>
    <x v="2"/>
    <n v="17032"/>
    <n v="489"/>
    <n v="346.64"/>
    <n v="27"/>
    <s v="Yes"/>
    <s v="IG"/>
    <n v="25"/>
    <n v="2.871066228276186E-2"/>
    <n v="5.5214723926380369E-2"/>
    <n v="0.70887525562372189"/>
    <n v="12.838518518518518"/>
    <n v="6"/>
    <x v="1"/>
    <s v="June"/>
  </r>
  <r>
    <s v="CMP-01439"/>
    <s v="Q3_Winstagramter_CMP-01439"/>
    <x v="1"/>
    <s v="Winstagramter"/>
    <d v="2023-06-19T00:00:00"/>
    <d v="2023-07-04T00:00:00"/>
    <x v="1"/>
    <n v="90599"/>
    <n v="3664"/>
    <n v="6574.62"/>
    <n v="469"/>
    <s v="No"/>
    <s v="Email"/>
    <n v="15"/>
    <n v="4.0441947482864046E-2"/>
    <n v="0.12800218340611352"/>
    <n v="1.7943831877729257"/>
    <n v="14.018379530916844"/>
    <n v="6"/>
    <x v="1"/>
    <s v="June"/>
  </r>
  <r>
    <s v="CMP-01095"/>
    <s v="Q4_Launch_CMP-01095"/>
    <x v="2"/>
    <s v="Launch"/>
    <d v="2023-06-19T00:00:00"/>
    <d v="2023-07-17T00:00:00"/>
    <x v="1"/>
    <n v="16524"/>
    <n v="262"/>
    <n v="347.1"/>
    <n v="26"/>
    <s v="No"/>
    <s v="Email"/>
    <n v="28"/>
    <n v="1.5855725006051802E-2"/>
    <n v="9.9236641221374045E-2"/>
    <n v="1.3248091603053436"/>
    <n v="13.350000000000001"/>
    <n v="6"/>
    <x v="1"/>
    <s v="June"/>
  </r>
  <r>
    <s v="CMP-01421"/>
    <s v="Q4_Launch_CMP-01421"/>
    <x v="2"/>
    <s v="Launch"/>
    <d v="2023-06-19T00:00:00"/>
    <d v="2023-07-09T00:00:00"/>
    <x v="3"/>
    <n v="94065"/>
    <n v="2924"/>
    <n v="1817.99"/>
    <n v="584"/>
    <s v="Yes"/>
    <s v="FB"/>
    <n v="20"/>
    <n v="3.108488810928613E-2"/>
    <n v="0.19972640218878249"/>
    <n v="0.6217476060191518"/>
    <n v="3.112996575342466"/>
    <n v="6"/>
    <x v="1"/>
    <s v="June"/>
  </r>
  <r>
    <s v="CMP-01514"/>
    <s v="Q4_BlackFriday_CMP-01514"/>
    <x v="2"/>
    <s v="BlackFriday"/>
    <d v="2023-06-19T00:00:00"/>
    <d v="2023-06-22T00:00:00"/>
    <x v="2"/>
    <n v="91600"/>
    <n v="1035"/>
    <n v="2022.83"/>
    <n v="163"/>
    <s v="No"/>
    <s v="IG"/>
    <n v="3"/>
    <n v="1.1299126637554585E-2"/>
    <n v="0.157487922705314"/>
    <n v="1.9544251207729468"/>
    <n v="12.41"/>
    <n v="6"/>
    <x v="1"/>
    <s v="June"/>
  </r>
  <r>
    <s v="CMP-00126"/>
    <s v="Q1_Winstagramter_CMP-00126"/>
    <x v="3"/>
    <s v="Winstagramter"/>
    <d v="2023-06-20T00:00:00"/>
    <d v="2023-06-24T00:00:00"/>
    <x v="1"/>
    <n v="97354"/>
    <n v="3966"/>
    <n v="2637.77"/>
    <n v="628"/>
    <s v="Yes"/>
    <s v="Email"/>
    <n v="4"/>
    <n v="4.0737925508967272E-2"/>
    <n v="0.1583459404942007"/>
    <n v="0.66509581442259202"/>
    <n v="4.2002707006369429"/>
    <n v="6"/>
    <x v="1"/>
    <s v="June"/>
  </r>
  <r>
    <s v="CMP-00388"/>
    <s v="Q1_Summer_CMP-00388"/>
    <x v="3"/>
    <s v="Summer"/>
    <d v="2023-06-20T00:00:00"/>
    <d v="2023-06-25T00:00:00"/>
    <x v="0"/>
    <n v="57958"/>
    <n v="2328"/>
    <n v="2135.23"/>
    <n v="280"/>
    <s v="Yes"/>
    <s v="TikTok"/>
    <n v="5"/>
    <n v="4.0167017495427726E-2"/>
    <n v="0.12027491408934708"/>
    <n v="0.91719501718213059"/>
    <n v="7.6258214285714283"/>
    <n v="6"/>
    <x v="1"/>
    <s v="June"/>
  </r>
  <r>
    <s v="CMP-01825"/>
    <s v="Q1_Winstagramter_CMP-01825"/>
    <x v="3"/>
    <s v="Winstagramter"/>
    <d v="2023-06-20T00:00:00"/>
    <d v="2023-06-27T00:00:00"/>
    <x v="2"/>
    <n v="42846"/>
    <n v="1857"/>
    <n v="2794.1"/>
    <n v="170"/>
    <s v="No"/>
    <s v="IG"/>
    <n v="7"/>
    <n v="4.3341268729869764E-2"/>
    <n v="9.1545503500269257E-2"/>
    <n v="1.5046311254711899"/>
    <n v="16.435882352941174"/>
    <n v="6"/>
    <x v="1"/>
    <s v="June"/>
  </r>
  <r>
    <s v="CMP-00791"/>
    <s v="Q4_Summer_CMP-00791"/>
    <x v="2"/>
    <s v="Summer"/>
    <d v="2023-06-20T00:00:00"/>
    <d v="2023-06-27T00:00:00"/>
    <x v="1"/>
    <n v="47540"/>
    <n v="2104"/>
    <n v="3739.63"/>
    <n v="335"/>
    <s v="No"/>
    <s v="Email"/>
    <n v="7"/>
    <n v="4.4257467395877159E-2"/>
    <n v="0.15922053231939162"/>
    <n v="1.7773906844106464"/>
    <n v="11.163074626865672"/>
    <n v="6"/>
    <x v="1"/>
    <s v="June"/>
  </r>
  <r>
    <s v="CMP-00354"/>
    <s v="Q3_BlackFriday_CMP-00354"/>
    <x v="1"/>
    <s v="BlackFriday"/>
    <d v="2023-06-20T00:00:00"/>
    <d v="2023-07-06T00:00:00"/>
    <x v="4"/>
    <n v="57491"/>
    <n v="1892"/>
    <n v="2795"/>
    <n v="108"/>
    <s v="Yes"/>
    <s v="Google Ads"/>
    <n v="16"/>
    <n v="3.2909498878085267E-2"/>
    <n v="5.7082452431289642E-2"/>
    <n v="1.4772727272727273"/>
    <n v="25.87962962962963"/>
    <n v="6"/>
    <x v="1"/>
    <s v="June"/>
  </r>
  <r>
    <s v="CMP-00710"/>
    <s v="Q1_BlackFriday_CMP-00710"/>
    <x v="3"/>
    <s v="BlackFriday"/>
    <d v="2023-06-21T00:00:00"/>
    <d v="2023-07-18T00:00:00"/>
    <x v="1"/>
    <n v="29016"/>
    <n v="1125"/>
    <n v="1156.17"/>
    <n v="191"/>
    <s v="Yes"/>
    <s v="Email"/>
    <n v="27"/>
    <n v="3.8771712158808931E-2"/>
    <n v="0.16977777777777778"/>
    <n v="1.0277066666666668"/>
    <n v="6.0532460732984301"/>
    <n v="6"/>
    <x v="1"/>
    <s v="June"/>
  </r>
  <r>
    <s v="CMP-01778"/>
    <s v="Q1_Launch_CMP-01778"/>
    <x v="3"/>
    <s v="Launch"/>
    <d v="2023-06-21T00:00:00"/>
    <d v="2023-06-26T00:00:00"/>
    <x v="3"/>
    <n v="2435"/>
    <n v="74"/>
    <n v="135.21"/>
    <n v="9"/>
    <s v="No"/>
    <s v="FB"/>
    <n v="5"/>
    <n v="3.0390143737166326E-2"/>
    <n v="0.12162162162162163"/>
    <n v="1.8271621621621623"/>
    <n v="15.023333333333333"/>
    <n v="6"/>
    <x v="1"/>
    <s v="June"/>
  </r>
  <r>
    <s v="CMP-01936"/>
    <s v="Q1_Launch_CMP-01936"/>
    <x v="3"/>
    <s v="Launch"/>
    <d v="2023-06-21T00:00:00"/>
    <d v="2023-07-09T00:00:00"/>
    <x v="3"/>
    <n v="28424"/>
    <n v="979"/>
    <n v="1697.64"/>
    <n v="96"/>
    <s v="Yes"/>
    <s v="FB"/>
    <n v="18"/>
    <n v="3.4442724458204337E-2"/>
    <n v="9.8059244126659853E-2"/>
    <n v="1.7340551583248214"/>
    <n v="17.68375"/>
    <n v="6"/>
    <x v="1"/>
    <s v="June"/>
  </r>
  <r>
    <s v="CMP-01148"/>
    <s v="Q3_Launch_CMP-01148"/>
    <x v="1"/>
    <s v="Launch"/>
    <d v="2023-06-21T00:00:00"/>
    <d v="2023-06-29T00:00:00"/>
    <x v="0"/>
    <n v="67656"/>
    <n v="779"/>
    <n v="1208.3"/>
    <n v="127"/>
    <s v="No"/>
    <s v="TikTok"/>
    <n v="8"/>
    <n v="1.1514130306255173E-2"/>
    <n v="0.16302952503209242"/>
    <n v="1.5510911424903722"/>
    <n v="9.514173228346456"/>
    <n v="6"/>
    <x v="1"/>
    <s v="June"/>
  </r>
  <r>
    <s v="CMP-01885"/>
    <s v="Q3_BlackFriday_CMP-01885"/>
    <x v="1"/>
    <s v="BlackFriday"/>
    <d v="2023-06-21T00:00:00"/>
    <d v="2023-06-23T00:00:00"/>
    <x v="1"/>
    <n v="48837"/>
    <n v="1898"/>
    <n v="1729.05"/>
    <n v="115"/>
    <s v="No"/>
    <s v="Email"/>
    <n v="2"/>
    <n v="3.8863976083707022E-2"/>
    <n v="6.0590094836670182E-2"/>
    <n v="0.91098524762908317"/>
    <n v="15.035217391304348"/>
    <n v="6"/>
    <x v="1"/>
    <s v="June"/>
  </r>
  <r>
    <s v="CMP-00177"/>
    <s v="Q4_Launch_CMP-00177"/>
    <x v="2"/>
    <s v="Launch"/>
    <d v="2023-06-21T00:00:00"/>
    <d v="2023-07-17T00:00:00"/>
    <x v="0"/>
    <n v="22976"/>
    <n v="366"/>
    <n v="562.48"/>
    <n v="0"/>
    <s v="No"/>
    <s v="TikTok"/>
    <n v="26"/>
    <n v="1.5929665738161559E-2"/>
    <n v="0"/>
    <n v="1.5368306010928963"/>
    <s v="0"/>
    <n v="6"/>
    <x v="1"/>
    <s v="June"/>
  </r>
  <r>
    <s v="CMP-00188"/>
    <s v="Q1_Summer_CMP-00188"/>
    <x v="3"/>
    <s v="Summer"/>
    <d v="2023-06-22T00:00:00"/>
    <d v="2023-07-21T00:00:00"/>
    <x v="1"/>
    <n v="22959"/>
    <n v="1053"/>
    <n v="1009.91"/>
    <n v="100"/>
    <s v="Yes"/>
    <s v="Email"/>
    <n v="29"/>
    <n v="4.5864366914935319E-2"/>
    <n v="9.4966761633428307E-2"/>
    <n v="0.9590788224121557"/>
    <n v="10.0991"/>
    <n v="6"/>
    <x v="1"/>
    <s v="June"/>
  </r>
  <r>
    <s v="CMP-00195"/>
    <s v="Q1_Winstagramter_CMP-00195"/>
    <x v="3"/>
    <s v="Winstagramter"/>
    <d v="2023-06-22T00:00:00"/>
    <d v="2023-07-18T00:00:00"/>
    <x v="1"/>
    <n v="67199"/>
    <n v="1194"/>
    <n v="2284.81"/>
    <n v="107"/>
    <s v="Yes"/>
    <s v="Email"/>
    <n v="26"/>
    <n v="1.7768121549427821E-2"/>
    <n v="8.9614740368509208E-2"/>
    <n v="1.9135762144053601"/>
    <n v="21.353364485981309"/>
    <n v="6"/>
    <x v="1"/>
    <s v="June"/>
  </r>
  <r>
    <s v="CMP-00223"/>
    <s v="Q1_Summer_CMP-00223"/>
    <x v="3"/>
    <s v="Summer"/>
    <d v="2023-06-22T00:00:00"/>
    <d v="2023-06-28T00:00:00"/>
    <x v="3"/>
    <n v="88092"/>
    <n v="890"/>
    <n v="653.23"/>
    <n v="62"/>
    <s v="No"/>
    <s v="FB"/>
    <n v="6"/>
    <n v="1.0103074058938382E-2"/>
    <n v="6.9662921348314602E-2"/>
    <n v="0.73396629213483144"/>
    <n v="10.535967741935485"/>
    <n v="6"/>
    <x v="1"/>
    <s v="June"/>
  </r>
  <r>
    <s v="CMP-01245"/>
    <s v="Q2_Winstagramter_CMP-01245"/>
    <x v="0"/>
    <s v="Winstagramter"/>
    <d v="2023-06-22T00:00:00"/>
    <d v="2023-07-06T00:00:00"/>
    <x v="3"/>
    <n v="80026"/>
    <n v="2667"/>
    <n v="4980.8599999999997"/>
    <n v="201"/>
    <s v="No"/>
    <s v="FB"/>
    <n v="14"/>
    <n v="3.3326668832629393E-2"/>
    <n v="7.536557930258718E-2"/>
    <n v="1.8675890513685789"/>
    <n v="24.780398009950247"/>
    <n v="6"/>
    <x v="1"/>
    <s v="June"/>
  </r>
  <r>
    <s v="CMP-01788"/>
    <s v="Q2_BlackFriday_CMP-01788"/>
    <x v="0"/>
    <s v="BlackFriday"/>
    <d v="2023-06-22T00:00:00"/>
    <d v="2023-07-22T00:00:00"/>
    <x v="1"/>
    <n v="8491"/>
    <n v="101"/>
    <n v="154.30000000000001"/>
    <n v="9"/>
    <s v="Yes"/>
    <s v="Email"/>
    <n v="30"/>
    <n v="1.1894947591567543E-2"/>
    <n v="8.9108910891089105E-2"/>
    <n v="1.5277227722772277"/>
    <n v="17.144444444444446"/>
    <n v="6"/>
    <x v="1"/>
    <s v="June"/>
  </r>
  <r>
    <s v="CMP-01366"/>
    <s v="Q1_Launch_CMP-01366"/>
    <x v="3"/>
    <s v="Launch"/>
    <d v="2023-06-23T00:00:00"/>
    <d v="2023-07-15T00:00:00"/>
    <x v="3"/>
    <n v="2279"/>
    <n v="102"/>
    <n v="76.62"/>
    <n v="9"/>
    <s v="Yes"/>
    <s v="FB"/>
    <n v="22"/>
    <n v="4.4756472136902148E-2"/>
    <n v="8.8235294117647065E-2"/>
    <n v="0.75117647058823533"/>
    <n v="8.5133333333333336"/>
    <n v="6"/>
    <x v="1"/>
    <s v="June"/>
  </r>
  <r>
    <s v="CMP-01558"/>
    <s v="Q1_BlackFriday_CMP-01558"/>
    <x v="3"/>
    <s v="BlackFriday"/>
    <d v="2023-06-23T00:00:00"/>
    <d v="2023-07-01T00:00:00"/>
    <x v="1"/>
    <n v="24510"/>
    <n v="1107"/>
    <n v="1239.46"/>
    <n v="0"/>
    <s v="No"/>
    <s v="Email"/>
    <n v="8"/>
    <n v="4.5165238678090573E-2"/>
    <n v="0"/>
    <n v="1.1196567299006324"/>
    <s v="0"/>
    <n v="6"/>
    <x v="1"/>
    <s v="June"/>
  </r>
  <r>
    <s v="CMP-01586"/>
    <s v="Q1_BlackFriday_CMP-01586"/>
    <x v="3"/>
    <s v="BlackFriday"/>
    <d v="2023-06-23T00:00:00"/>
    <d v="2023-06-29T00:00:00"/>
    <x v="0"/>
    <n v="46084"/>
    <n v="1032"/>
    <n v="1644.29"/>
    <n v="151"/>
    <s v="Yes"/>
    <s v="TikTok"/>
    <n v="6"/>
    <n v="2.2393889419321241E-2"/>
    <n v="0.14631782945736435"/>
    <n v="1.5933042635658914"/>
    <n v="10.889337748344371"/>
    <n v="6"/>
    <x v="1"/>
    <s v="June"/>
  </r>
  <r>
    <s v="CMP-00360"/>
    <s v="Q2_Summer_CMP-00360"/>
    <x v="0"/>
    <s v="Summer"/>
    <d v="2023-06-23T00:00:00"/>
    <d v="2023-06-24T00:00:00"/>
    <x v="2"/>
    <n v="48202"/>
    <n v="750"/>
    <n v="786.62"/>
    <n v="60"/>
    <s v="Yes"/>
    <s v="IG"/>
    <n v="1"/>
    <n v="1.555952035185262E-2"/>
    <n v="0.08"/>
    <n v="1.0488266666666666"/>
    <n v="13.110333333333333"/>
    <n v="6"/>
    <x v="1"/>
    <s v="June"/>
  </r>
  <r>
    <s v="CMP-00435"/>
    <s v="Q3_Launch_CMP-00435"/>
    <x v="1"/>
    <s v="Launch"/>
    <d v="2023-06-23T00:00:00"/>
    <d v="2023-06-30T00:00:00"/>
    <x v="2"/>
    <n v="20508"/>
    <n v="327"/>
    <n v="220.85"/>
    <n v="62"/>
    <s v="Yes"/>
    <s v="IG"/>
    <n v="7"/>
    <n v="1.5944997074312465E-2"/>
    <n v="0.18960244648318042"/>
    <n v="0.67538226299694193"/>
    <n v="3.5620967741935483"/>
    <n v="6"/>
    <x v="1"/>
    <s v="June"/>
  </r>
  <r>
    <s v="CMP-01337"/>
    <s v="Q3_Launch_CMP-01337"/>
    <x v="1"/>
    <s v="Launch"/>
    <d v="2023-06-23T00:00:00"/>
    <d v="2023-07-07T00:00:00"/>
    <x v="2"/>
    <n v="13175"/>
    <n v="150"/>
    <n v="284.81"/>
    <n v="0"/>
    <s v="No"/>
    <s v="IG"/>
    <n v="14"/>
    <n v="1.1385199240986717E-2"/>
    <n v="0"/>
    <n v="1.8987333333333334"/>
    <s v="0"/>
    <n v="6"/>
    <x v="1"/>
    <s v="June"/>
  </r>
  <r>
    <s v="CMP-00654"/>
    <s v="Q4_Launch_CMP-00654"/>
    <x v="2"/>
    <s v="Launch"/>
    <d v="2023-06-23T00:00:00"/>
    <d v="2023-07-12T00:00:00"/>
    <x v="3"/>
    <n v="73592"/>
    <n v="2016"/>
    <n v="1678.67"/>
    <n v="398"/>
    <s v="Yes"/>
    <s v="FB"/>
    <n v="19"/>
    <n v="2.739428198717252E-2"/>
    <n v="0.19742063492063491"/>
    <n v="0.83267361111111116"/>
    <n v="4.2177638190954774"/>
    <n v="6"/>
    <x v="1"/>
    <s v="June"/>
  </r>
  <r>
    <s v="CMP-00505"/>
    <s v="Q2_Winstagramter_CMP-00505"/>
    <x v="0"/>
    <s v="Winstagramter"/>
    <d v="2023-06-24T00:00:00"/>
    <d v="2023-06-25T00:00:00"/>
    <x v="4"/>
    <n v="95758"/>
    <n v="4482"/>
    <n v="7363.14"/>
    <n v="801"/>
    <s v="Yes"/>
    <s v="Google Ads"/>
    <n v="1"/>
    <n v="4.6805488836441866E-2"/>
    <n v="0.17871485943775101"/>
    <n v="1.6428246318607764"/>
    <n v="9.1924344569288401"/>
    <n v="6"/>
    <x v="1"/>
    <s v="June"/>
  </r>
  <r>
    <s v="CMP-01355"/>
    <s v="Q2_BlackFriday_CMP-01355"/>
    <x v="0"/>
    <s v="BlackFriday"/>
    <d v="2023-06-24T00:00:00"/>
    <d v="2023-07-03T00:00:00"/>
    <x v="1"/>
    <n v="9705"/>
    <n v="190"/>
    <n v="341.09"/>
    <n v="10"/>
    <s v="Yes"/>
    <s v="Email"/>
    <n v="9"/>
    <n v="1.9577537351880475E-2"/>
    <n v="5.2631578947368418E-2"/>
    <n v="1.7952105263157894"/>
    <n v="34.108999999999995"/>
    <n v="6"/>
    <x v="1"/>
    <s v="June"/>
  </r>
  <r>
    <s v="CMP-01994"/>
    <s v="Q2_Launch_CMP-01994"/>
    <x v="0"/>
    <s v="Launch"/>
    <d v="2023-06-24T00:00:00"/>
    <d v="2023-07-17T00:00:00"/>
    <x v="3"/>
    <n v="21022"/>
    <n v="698"/>
    <n v="1211.3599999999999"/>
    <n v="98"/>
    <s v="Yes"/>
    <s v="FB"/>
    <n v="23"/>
    <n v="3.3203310817239082E-2"/>
    <n v="0.14040114613180515"/>
    <n v="1.7354727793696274"/>
    <n v="12.36081632653061"/>
    <n v="6"/>
    <x v="1"/>
    <s v="June"/>
  </r>
  <r>
    <s v="CMP-00042"/>
    <s v="Q3_Summer_CMP-00042"/>
    <x v="1"/>
    <s v="Summer"/>
    <d v="2023-06-24T00:00:00"/>
    <d v="2023-06-29T00:00:00"/>
    <x v="0"/>
    <n v="42606"/>
    <n v="1061"/>
    <n v="973.67"/>
    <n v="55"/>
    <s v="Yes"/>
    <s v="TikTok"/>
    <n v="5"/>
    <n v="2.4902595878514764E-2"/>
    <n v="5.1837888784165884E-2"/>
    <n v="0.91769085768143255"/>
    <n v="17.703090909090907"/>
    <n v="6"/>
    <x v="1"/>
    <s v="June"/>
  </r>
  <r>
    <s v="CMP-00631"/>
    <s v="Q4_Summer_CMP-00631"/>
    <x v="2"/>
    <s v="Summer"/>
    <d v="2023-06-24T00:00:00"/>
    <d v="2023-07-06T00:00:00"/>
    <x v="4"/>
    <n v="98203"/>
    <n v="2931"/>
    <n v="2405.02"/>
    <n v="205"/>
    <s v="Yes"/>
    <s v="Google Ads"/>
    <n v="12"/>
    <n v="2.9846338706556827E-2"/>
    <n v="6.9941999317639031E-2"/>
    <n v="0.8205458887751621"/>
    <n v="11.731804878048781"/>
    <n v="6"/>
    <x v="1"/>
    <s v="June"/>
  </r>
  <r>
    <s v="CMP-01378"/>
    <s v="Q2_BlackFriday_CMP-01378"/>
    <x v="0"/>
    <s v="BlackFriday"/>
    <d v="2023-06-25T00:00:00"/>
    <d v="2023-07-03T00:00:00"/>
    <x v="3"/>
    <n v="38599"/>
    <n v="953"/>
    <n v="1063.6099999999999"/>
    <n v="0"/>
    <s v="No"/>
    <s v="FB"/>
    <n v="8"/>
    <n v="2.4689758802041505E-2"/>
    <n v="0"/>
    <n v="1.1160650577124869"/>
    <s v="0"/>
    <n v="6"/>
    <x v="1"/>
    <s v="June"/>
  </r>
  <r>
    <s v="CMP-01642"/>
    <s v="Q2_Launch_CMP-01642"/>
    <x v="0"/>
    <s v="Launch"/>
    <d v="2023-06-25T00:00:00"/>
    <d v="2023-07-04T00:00:00"/>
    <x v="5"/>
    <n v="35157"/>
    <n v="790"/>
    <n v="1349.64"/>
    <n v="0"/>
    <s v="Yes"/>
    <s v="Not specified"/>
    <n v="9"/>
    <n v="2.2470631737634042E-2"/>
    <n v="0"/>
    <n v="1.7084050632911394"/>
    <s v="0"/>
    <n v="6"/>
    <x v="1"/>
    <s v="June"/>
  </r>
  <r>
    <s v="CMP-01996"/>
    <s v="Q2_BlackFriday_CMP-01996"/>
    <x v="0"/>
    <s v="BlackFriday"/>
    <d v="2023-06-25T00:00:00"/>
    <d v="2023-07-12T00:00:00"/>
    <x v="4"/>
    <n v="71316"/>
    <n v="2276"/>
    <n v="3144.16"/>
    <n v="184"/>
    <s v="Yes"/>
    <s v="Google Ads"/>
    <n v="17"/>
    <n v="3.1914296931964778E-2"/>
    <n v="8.0843585237258347E-2"/>
    <n v="1.3814411247803162"/>
    <n v="17.087826086956522"/>
    <n v="6"/>
    <x v="1"/>
    <s v="June"/>
  </r>
  <r>
    <s v="CMP-00911"/>
    <s v="Q3_Winstagramter_CMP-00911"/>
    <x v="1"/>
    <s v="Winstagramter"/>
    <d v="2023-06-25T00:00:00"/>
    <d v="2023-07-21T00:00:00"/>
    <x v="3"/>
    <n v="88505"/>
    <n v="2766"/>
    <n v="2640.22"/>
    <n v="300"/>
    <s v="No"/>
    <s v="FB"/>
    <n v="26"/>
    <n v="3.1252471611773344E-2"/>
    <n v="0.10845986984815618"/>
    <n v="0.954526391901663"/>
    <n v="8.8007333333333335"/>
    <n v="6"/>
    <x v="1"/>
    <s v="June"/>
  </r>
  <r>
    <s v="CMP-00991"/>
    <s v="Q3_Summer_CMP-00991"/>
    <x v="1"/>
    <s v="Summer"/>
    <d v="2023-06-25T00:00:00"/>
    <d v="2023-07-13T00:00:00"/>
    <x v="1"/>
    <n v="63981"/>
    <n v="2507"/>
    <n v="3019.12"/>
    <n v="157"/>
    <s v="Yes"/>
    <s v="Email"/>
    <n v="18"/>
    <n v="3.9183507603819882E-2"/>
    <n v="6.2624650977263663E-2"/>
    <n v="1.2042760271240527"/>
    <n v="19.230063694267514"/>
    <n v="6"/>
    <x v="1"/>
    <s v="June"/>
  </r>
  <r>
    <s v="CMP-01323"/>
    <s v="Q4_Summer_CMP-01323"/>
    <x v="2"/>
    <s v="Summer"/>
    <d v="2023-06-25T00:00:00"/>
    <d v="2023-07-22T00:00:00"/>
    <x v="4"/>
    <n v="69836"/>
    <n v="2470"/>
    <n v="4420.1099999999997"/>
    <n v="196"/>
    <s v="Yes"/>
    <s v="Google Ads"/>
    <n v="27"/>
    <n v="3.5368577810871181E-2"/>
    <n v="7.9352226720647775E-2"/>
    <n v="1.7895182186234817"/>
    <n v="22.551581632653061"/>
    <n v="6"/>
    <x v="1"/>
    <s v="June"/>
  </r>
  <r>
    <s v="CMP-00689"/>
    <s v="Q1_Launch_CMP-00689"/>
    <x v="3"/>
    <s v="Launch"/>
    <d v="2023-06-26T00:00:00"/>
    <d v="2023-06-28T00:00:00"/>
    <x v="4"/>
    <n v="94714"/>
    <n v="1274"/>
    <n v="1281.5999999999999"/>
    <n v="163"/>
    <s v="No"/>
    <s v="Google Ads"/>
    <n v="2"/>
    <n v="1.3451020968389045E-2"/>
    <n v="0.12794348508634223"/>
    <n v="1.0059654631083201"/>
    <n v="7.8625766871165634"/>
    <n v="6"/>
    <x v="1"/>
    <s v="June"/>
  </r>
  <r>
    <s v="CMP-01460"/>
    <s v="Q1_Summer_CMP-01460"/>
    <x v="3"/>
    <s v="Summer"/>
    <d v="2023-06-26T00:00:00"/>
    <d v="2023-07-05T00:00:00"/>
    <x v="2"/>
    <n v="46420"/>
    <n v="1646"/>
    <n v="2817.62"/>
    <n v="0"/>
    <s v="No"/>
    <s v="IG"/>
    <n v="9"/>
    <n v="3.5458853942266264E-2"/>
    <n v="0"/>
    <n v="1.7117982989064398"/>
    <s v="0"/>
    <n v="6"/>
    <x v="1"/>
    <s v="June"/>
  </r>
  <r>
    <s v="CMP-01204"/>
    <s v="Q3_Launch_CMP-01204"/>
    <x v="1"/>
    <s v="Launch"/>
    <d v="2023-06-26T00:00:00"/>
    <d v="2023-07-01T00:00:00"/>
    <x v="1"/>
    <n v="66310"/>
    <n v="901"/>
    <n v="1519.12"/>
    <n v="60"/>
    <s v="No"/>
    <s v="Email"/>
    <n v="5"/>
    <n v="1.3587694163776204E-2"/>
    <n v="6.6592674805771371E-2"/>
    <n v="1.6860377358490566"/>
    <n v="25.318666666666665"/>
    <n v="6"/>
    <x v="1"/>
    <s v="June"/>
  </r>
  <r>
    <s v="CMP-01508"/>
    <s v="Q3_Summer_CMP-01508"/>
    <x v="1"/>
    <s v="Summer"/>
    <d v="2023-06-26T00:00:00"/>
    <d v="2023-07-18T00:00:00"/>
    <x v="4"/>
    <n v="59053"/>
    <n v="2845"/>
    <n v="4807.18"/>
    <n v="308"/>
    <s v="No"/>
    <s v="Google Ads"/>
    <n v="22"/>
    <n v="4.8177061283931386E-2"/>
    <n v="0.10826010544815466"/>
    <n v="1.6896942003514939"/>
    <n v="15.607727272727274"/>
    <n v="6"/>
    <x v="1"/>
    <s v="June"/>
  </r>
  <r>
    <s v="CMP-00339"/>
    <s v="Q4_Summer_CMP-00339"/>
    <x v="2"/>
    <s v="Summer"/>
    <d v="2023-06-26T00:00:00"/>
    <d v="2023-06-28T00:00:00"/>
    <x v="3"/>
    <n v="20738"/>
    <n v="623"/>
    <n v="1242.6300000000001"/>
    <n v="92"/>
    <s v="Yes"/>
    <s v="FB"/>
    <n v="2"/>
    <n v="3.0041469765647602E-2"/>
    <n v="0.1476725521669342"/>
    <n v="1.9945906902086679"/>
    <n v="13.506847826086958"/>
    <n v="6"/>
    <x v="1"/>
    <s v="June"/>
  </r>
  <r>
    <s v="CMP-01182"/>
    <s v="Q4_BlackFriday_CMP-01182"/>
    <x v="2"/>
    <s v="BlackFriday"/>
    <d v="2023-06-26T00:00:00"/>
    <d v="2023-07-07T00:00:00"/>
    <x v="0"/>
    <n v="1814"/>
    <n v="35"/>
    <n v="24.25"/>
    <n v="6"/>
    <s v="No"/>
    <s v="TikTok"/>
    <n v="11"/>
    <n v="1.9294377067254686E-2"/>
    <n v="0.17142857142857143"/>
    <n v="0.69285714285714284"/>
    <n v="4.041666666666667"/>
    <n v="6"/>
    <x v="1"/>
    <s v="June"/>
  </r>
  <r>
    <s v="CMP-01283"/>
    <s v="Q4_BlackFriday_CMP-01283"/>
    <x v="2"/>
    <s v="BlackFriday"/>
    <d v="2023-06-26T00:00:00"/>
    <d v="2023-07-23T00:00:00"/>
    <x v="0"/>
    <n v="87444"/>
    <n v="2507"/>
    <n v="4216.66"/>
    <n v="157"/>
    <s v="Yes"/>
    <s v="TikTok"/>
    <n v="27"/>
    <n v="2.866977722885504E-2"/>
    <n v="6.2624650977263663E-2"/>
    <n v="1.6819545273234942"/>
    <n v="26.857707006369427"/>
    <n v="6"/>
    <x v="1"/>
    <s v="June"/>
  </r>
  <r>
    <s v="CMP-01554"/>
    <s v="Q4_Launch_CMP-01554"/>
    <x v="2"/>
    <s v="Launch"/>
    <d v="2023-06-26T00:00:00"/>
    <d v="2023-07-09T00:00:00"/>
    <x v="1"/>
    <n v="96402"/>
    <n v="1090"/>
    <n v="1315.59"/>
    <n v="66"/>
    <s v="Yes"/>
    <s v="Email"/>
    <n v="13"/>
    <n v="1.1306819360594179E-2"/>
    <n v="6.0550458715596334E-2"/>
    <n v="1.2069633027522935"/>
    <n v="19.933181818181819"/>
    <n v="6"/>
    <x v="1"/>
    <s v="June"/>
  </r>
  <r>
    <s v="CMP-01669"/>
    <s v="Q4_BlackFriday_CMP-01669"/>
    <x v="2"/>
    <s v="BlackFriday"/>
    <d v="2023-06-26T00:00:00"/>
    <d v="2023-07-02T00:00:00"/>
    <x v="0"/>
    <n v="62413"/>
    <n v="2314"/>
    <n v="1532.41"/>
    <n v="273"/>
    <s v="Yes"/>
    <s v="TikTok"/>
    <n v="6"/>
    <n v="3.7075609248073321E-2"/>
    <n v="0.11797752808988764"/>
    <n v="0.66223422644770968"/>
    <n v="5.6132234432234434"/>
    <n v="6"/>
    <x v="1"/>
    <s v="June"/>
  </r>
  <r>
    <s v="CMP-00847"/>
    <s v="Q3_Summer_CMP-00847"/>
    <x v="1"/>
    <s v="Summer"/>
    <d v="2023-06-27T00:00:00"/>
    <d v="2023-07-20T00:00:00"/>
    <x v="3"/>
    <n v="16254"/>
    <n v="807"/>
    <n v="483.17"/>
    <n v="147"/>
    <s v="Yes"/>
    <s v="FB"/>
    <n v="23"/>
    <n v="4.9649317091177557E-2"/>
    <n v="0.18215613382899629"/>
    <n v="0.5987236679058241"/>
    <n v="3.2868707482993198"/>
    <n v="6"/>
    <x v="1"/>
    <s v="June"/>
  </r>
  <r>
    <s v="CMP-01900"/>
    <s v="Q1_BlackFriday_CMP-01900"/>
    <x v="3"/>
    <s v="BlackFriday"/>
    <d v="2023-06-28T00:00:00"/>
    <d v="2023-07-16T00:00:00"/>
    <x v="1"/>
    <n v="61112"/>
    <n v="2162"/>
    <n v="3266.9"/>
    <n v="292"/>
    <s v="Yes"/>
    <s v="Email"/>
    <n v="18"/>
    <n v="3.537766723393114E-2"/>
    <n v="0.13506012950971322"/>
    <n v="1.511054579093432"/>
    <n v="11.188013698630137"/>
    <n v="6"/>
    <x v="1"/>
    <s v="June"/>
  </r>
  <r>
    <s v="CMP-00686"/>
    <s v="Q2_Launch_CMP-00686"/>
    <x v="0"/>
    <s v="Launch"/>
    <d v="2023-06-28T00:00:00"/>
    <d v="2023-07-20T00:00:00"/>
    <x v="2"/>
    <n v="27790"/>
    <n v="662"/>
    <n v="575.79"/>
    <n v="53"/>
    <s v="Yes"/>
    <s v="IG"/>
    <n v="22"/>
    <n v="2.3821518531845987E-2"/>
    <n v="8.0060422960725075E-2"/>
    <n v="0.86977341389728091"/>
    <n v="10.863962264150942"/>
    <n v="6"/>
    <x v="1"/>
    <s v="June"/>
  </r>
  <r>
    <s v="CMP-00755"/>
    <s v="Q3_Winstagramter_CMP-00755"/>
    <x v="1"/>
    <s v="Winstagramter"/>
    <d v="2023-06-28T00:00:00"/>
    <d v="2023-07-21T00:00:00"/>
    <x v="0"/>
    <n v="48605"/>
    <n v="1154"/>
    <n v="1721.43"/>
    <n v="105"/>
    <s v="No"/>
    <s v="TikTok"/>
    <n v="23"/>
    <n v="2.3742413331961733E-2"/>
    <n v="9.0987868284228765E-2"/>
    <n v="1.4917071057192375"/>
    <n v="16.394571428571428"/>
    <n v="6"/>
    <x v="1"/>
    <s v="June"/>
  </r>
  <r>
    <s v="CMP-01239"/>
    <s v="Q4_Winstagramter_CMP-01239"/>
    <x v="2"/>
    <s v="Winstagramter"/>
    <d v="2023-06-28T00:00:00"/>
    <d v="2023-07-15T00:00:00"/>
    <x v="3"/>
    <n v="9666"/>
    <n v="430"/>
    <n v="215.6"/>
    <n v="29"/>
    <s v="No"/>
    <s v="FB"/>
    <n v="17"/>
    <n v="4.4485826608731634E-2"/>
    <n v="6.7441860465116285E-2"/>
    <n v="0.50139534883720926"/>
    <n v="7.4344827586206899"/>
    <n v="6"/>
    <x v="1"/>
    <s v="June"/>
  </r>
  <r>
    <s v="CMP-00131"/>
    <s v="Q3_Launch_CMP-00131"/>
    <x v="1"/>
    <s v="Launch"/>
    <d v="2023-06-29T00:00:00"/>
    <d v="2023-07-10T00:00:00"/>
    <x v="5"/>
    <n v="71592"/>
    <n v="3410"/>
    <n v="6688.28"/>
    <n v="616"/>
    <s v="No"/>
    <s v="Not specified"/>
    <n v="11"/>
    <n v="4.7631020225723547E-2"/>
    <n v="0.18064516129032257"/>
    <n v="1.9613724340175953"/>
    <n v="10.857597402597403"/>
    <n v="6"/>
    <x v="1"/>
    <s v="June"/>
  </r>
  <r>
    <s v="CMP-01633"/>
    <s v="Q3_Summer_CMP-01633"/>
    <x v="1"/>
    <s v="Summer"/>
    <d v="2023-06-29T00:00:00"/>
    <d v="2023-07-29T00:00:00"/>
    <x v="2"/>
    <n v="25262"/>
    <n v="396"/>
    <n v="265.02999999999997"/>
    <n v="38"/>
    <s v="Yes"/>
    <s v="IG"/>
    <n v="30"/>
    <n v="1.5675718470429895E-2"/>
    <n v="9.5959595959595953E-2"/>
    <n v="0.66926767676767673"/>
    <n v="6.9744736842105253"/>
    <n v="6"/>
    <x v="1"/>
    <s v="June"/>
  </r>
  <r>
    <s v="CMP-00198"/>
    <s v="Q4_Launch_CMP-00198"/>
    <x v="2"/>
    <s v="Launch"/>
    <d v="2023-06-29T00:00:00"/>
    <d v="2023-07-22T00:00:00"/>
    <x v="0"/>
    <n v="94557"/>
    <n v="2924"/>
    <n v="3786.06"/>
    <n v="507"/>
    <s v="Yes"/>
    <s v="TikTok"/>
    <n v="23"/>
    <n v="3.0923146884947704E-2"/>
    <n v="0.17339261285909713"/>
    <n v="1.2948221614227087"/>
    <n v="7.4675739644970411"/>
    <n v="6"/>
    <x v="1"/>
    <s v="June"/>
  </r>
  <r>
    <s v="CMP-01926"/>
    <s v="Q4_Winstagramter_CMP-01926"/>
    <x v="2"/>
    <s v="Winstagramter"/>
    <d v="2023-06-29T00:00:00"/>
    <d v="2023-07-25T00:00:00"/>
    <x v="3"/>
    <n v="97347"/>
    <n v="4606"/>
    <n v="8269.9"/>
    <n v="664"/>
    <s v="No"/>
    <s v="FB"/>
    <n v="26"/>
    <n v="4.7315274225194409E-2"/>
    <n v="0.14415979157620495"/>
    <n v="1.795462440295267"/>
    <n v="12.454668674698794"/>
    <n v="6"/>
    <x v="1"/>
    <s v="June"/>
  </r>
  <r>
    <s v="CMP-00809"/>
    <s v="Q1_Summer_CMP-00809"/>
    <x v="3"/>
    <s v="Summer"/>
    <d v="2023-06-30T00:00:00"/>
    <d v="2023-07-22T00:00:00"/>
    <x v="1"/>
    <n v="24524"/>
    <n v="617"/>
    <n v="942.12"/>
    <n v="95"/>
    <s v="Yes"/>
    <s v="Email"/>
    <n v="22"/>
    <n v="2.5159027891045505E-2"/>
    <n v="0.1539708265802269"/>
    <n v="1.5269367909238249"/>
    <n v="9.9170526315789473"/>
    <n v="6"/>
    <x v="1"/>
    <s v="June"/>
  </r>
  <r>
    <s v="CMP-01574"/>
    <s v="Q1_BlackFriday_CMP-01574"/>
    <x v="3"/>
    <s v="BlackFriday"/>
    <d v="2023-06-30T00:00:00"/>
    <d v="2023-07-05T00:00:00"/>
    <x v="4"/>
    <n v="53393"/>
    <n v="1670"/>
    <n v="1450.1"/>
    <n v="0"/>
    <s v="Yes"/>
    <s v="Google Ads"/>
    <n v="5"/>
    <n v="3.1277508287603242E-2"/>
    <n v="0"/>
    <n v="0.86832335329341315"/>
    <s v="0"/>
    <n v="6"/>
    <x v="1"/>
    <s v="June"/>
  </r>
  <r>
    <s v="CMP-01755"/>
    <s v="Q1_Summer_CMP-01755"/>
    <x v="3"/>
    <s v="Summer"/>
    <d v="2023-06-30T00:00:00"/>
    <d v="2023-07-10T00:00:00"/>
    <x v="5"/>
    <n v="34062"/>
    <n v="1392"/>
    <n v="500000"/>
    <n v="165"/>
    <s v="No"/>
    <s v="Not specified"/>
    <n v="10"/>
    <n v="4.0866654923375025E-2"/>
    <n v="0.11853448275862069"/>
    <n v="359.19540229885058"/>
    <n v="3030.3030303030305"/>
    <n v="6"/>
    <x v="1"/>
    <s v="June"/>
  </r>
  <r>
    <s v="CMP-00349"/>
    <s v="Q2_Summer_CMP-00349"/>
    <x v="0"/>
    <s v="Summer"/>
    <d v="2023-06-30T00:00:00"/>
    <d v="2023-07-11T00:00:00"/>
    <x v="4"/>
    <n v="41764"/>
    <n v="956"/>
    <n v="1475.53"/>
    <n v="77"/>
    <s v="Yes"/>
    <s v="Google Ads"/>
    <n v="11"/>
    <n v="2.2890527727229194E-2"/>
    <n v="8.0543933054393307E-2"/>
    <n v="1.5434414225941422"/>
    <n v="19.162727272727274"/>
    <n v="6"/>
    <x v="1"/>
    <s v="June"/>
  </r>
  <r>
    <s v="CMP-01591"/>
    <s v="Q3_BlackFriday_CMP-01591"/>
    <x v="1"/>
    <s v="BlackFriday"/>
    <d v="2023-06-30T00:00:00"/>
    <d v="2023-07-03T00:00:00"/>
    <x v="0"/>
    <n v="63187"/>
    <n v="2172"/>
    <n v="1460.36"/>
    <n v="140"/>
    <s v="Yes"/>
    <s v="TikTok"/>
    <n v="3"/>
    <n v="3.4374159241616152E-2"/>
    <n v="6.4456721915285453E-2"/>
    <n v="0.6723572744014733"/>
    <n v="10.431142857142856"/>
    <n v="6"/>
    <x v="1"/>
    <s v="June"/>
  </r>
  <r>
    <s v="CMP-00184"/>
    <s v="Q4_Launch_CMP-00184"/>
    <x v="2"/>
    <s v="Launch"/>
    <d v="2023-06-30T00:00:00"/>
    <d v="2023-07-10T00:00:00"/>
    <x v="1"/>
    <n v="93787"/>
    <n v="3622"/>
    <n v="4176.49"/>
    <n v="428"/>
    <s v="No"/>
    <s v="Email"/>
    <n v="10"/>
    <n v="3.861942486698583E-2"/>
    <n v="0.11816675869685257"/>
    <n v="1.1530894533406957"/>
    <n v="9.7581542056074753"/>
    <n v="6"/>
    <x v="1"/>
    <s v="June"/>
  </r>
  <r>
    <s v="CMP-00577"/>
    <s v="Q4_Launch_CMP-00577"/>
    <x v="2"/>
    <s v="Launch"/>
    <d v="2023-06-30T00:00:00"/>
    <d v="2023-07-13T00:00:00"/>
    <x v="3"/>
    <n v="90084"/>
    <n v="940"/>
    <n v="821.8"/>
    <n v="178"/>
    <s v="No"/>
    <s v="FB"/>
    <n v="13"/>
    <n v="1.0434705386084099E-2"/>
    <n v="0.18936170212765957"/>
    <n v="0.87425531914893617"/>
    <n v="4.6168539325842692"/>
    <n v="6"/>
    <x v="1"/>
    <s v="June"/>
  </r>
  <r>
    <s v="CMP-01117"/>
    <s v="Q1_BlackFriday_CMP-01117"/>
    <x v="3"/>
    <s v="BlackFriday"/>
    <d v="2023-07-01T00:00:00"/>
    <d v="2023-07-03T00:00:00"/>
    <x v="0"/>
    <n v="20096"/>
    <n v="487"/>
    <n v="783.84"/>
    <n v="34"/>
    <s v="No"/>
    <s v="TikTok"/>
    <n v="2"/>
    <n v="2.4233678343949044E-2"/>
    <n v="6.9815195071868577E-2"/>
    <n v="1.6095277207392198"/>
    <n v="23.054117647058824"/>
    <n v="7"/>
    <x v="1"/>
    <s v="July"/>
  </r>
  <r>
    <s v="CMP-01636"/>
    <s v="Q2_Launch_CMP-01636"/>
    <x v="0"/>
    <s v="Launch"/>
    <d v="2023-07-01T00:00:00"/>
    <d v="2023-07-27T00:00:00"/>
    <x v="5"/>
    <n v="55842"/>
    <n v="909"/>
    <n v="491.13"/>
    <n v="164"/>
    <s v="No"/>
    <s v="Not specified"/>
    <n v="26"/>
    <n v="1.6278070269689481E-2"/>
    <n v="0.18041804180418042"/>
    <n v="0.54029702970297033"/>
    <n v="2.9946951219512195"/>
    <n v="7"/>
    <x v="1"/>
    <s v="July"/>
  </r>
  <r>
    <s v="CMP-01940"/>
    <s v="Q2_Summer_CMP-01940"/>
    <x v="0"/>
    <s v="Summer"/>
    <d v="2023-07-01T00:00:00"/>
    <d v="2023-07-28T00:00:00"/>
    <x v="1"/>
    <n v="57985"/>
    <n v="2633"/>
    <n v="4631.92"/>
    <n v="308"/>
    <s v="No"/>
    <s v="Email"/>
    <n v="27"/>
    <n v="4.5408295248771234E-2"/>
    <n v="0.11697683251044436"/>
    <n v="1.759179642992784"/>
    <n v="15.0387012987013"/>
    <n v="7"/>
    <x v="1"/>
    <s v="July"/>
  </r>
  <r>
    <s v="CMP-00680"/>
    <s v="Q3_BlackFriday_CMP-00680"/>
    <x v="1"/>
    <s v="BlackFriday"/>
    <d v="2023-07-01T00:00:00"/>
    <d v="2023-07-22T00:00:00"/>
    <x v="3"/>
    <n v="92267"/>
    <n v="1912"/>
    <n v="1316.12"/>
    <n v="263"/>
    <s v="Yes"/>
    <s v="FB"/>
    <n v="21"/>
    <n v="2.0722468488191877E-2"/>
    <n v="0.13755230125523013"/>
    <n v="0.68834728033472803"/>
    <n v="5.0042585551330792"/>
    <n v="7"/>
    <x v="1"/>
    <s v="July"/>
  </r>
  <r>
    <s v="CMP-00863"/>
    <s v="Q3_BlackFriday_CMP-00863"/>
    <x v="1"/>
    <s v="BlackFriday"/>
    <d v="2023-07-01T00:00:00"/>
    <d v="2023-07-19T00:00:00"/>
    <x v="0"/>
    <n v="26934"/>
    <n v="970"/>
    <n v="1654.96"/>
    <n v="63"/>
    <s v="No"/>
    <s v="TikTok"/>
    <n v="18"/>
    <n v="3.6013960050493801E-2"/>
    <n v="6.4948453608247428E-2"/>
    <n v="1.7061443298969072"/>
    <n v="26.26920634920635"/>
    <n v="7"/>
    <x v="1"/>
    <s v="July"/>
  </r>
  <r>
    <s v="CMP-01595"/>
    <s v="Q4_Winstagramter_CMP-01595"/>
    <x v="2"/>
    <s v="Winstagramter"/>
    <d v="2023-07-01T00:00:00"/>
    <d v="2023-07-22T00:00:00"/>
    <x v="3"/>
    <n v="84691"/>
    <n v="1766"/>
    <n v="2416.6799999999998"/>
    <n v="313"/>
    <s v="Yes"/>
    <s v="FB"/>
    <n v="21"/>
    <n v="2.0852274739936946E-2"/>
    <n v="0.17723669309173273"/>
    <n v="1.3684484711211777"/>
    <n v="7.7210223642172515"/>
    <n v="7"/>
    <x v="1"/>
    <s v="July"/>
  </r>
  <r>
    <s v="CMP-01600"/>
    <s v="Q1_Summer_CMP-01600"/>
    <x v="3"/>
    <s v="Summer"/>
    <d v="2023-07-02T00:00:00"/>
    <d v="2023-07-26T00:00:00"/>
    <x v="1"/>
    <n v="4430"/>
    <n v="83"/>
    <n v="150.13999999999999"/>
    <n v="7"/>
    <s v="No"/>
    <s v="Email"/>
    <n v="24"/>
    <n v="1.8735891647855531E-2"/>
    <n v="8.4337349397590355E-2"/>
    <n v="1.8089156626506022"/>
    <n v="21.448571428571427"/>
    <n v="7"/>
    <x v="1"/>
    <s v="July"/>
  </r>
  <r>
    <s v="CMP-01137"/>
    <s v="Q3_Winstagramter_CMP-01137"/>
    <x v="1"/>
    <s v="Winstagramter"/>
    <d v="2023-07-02T00:00:00"/>
    <d v="2023-07-18T00:00:00"/>
    <x v="3"/>
    <n v="81910"/>
    <n v="2330"/>
    <n v="3852.38"/>
    <n v="361"/>
    <s v="No"/>
    <s v="FB"/>
    <n v="16"/>
    <n v="2.8445855206934441E-2"/>
    <n v="0.15493562231759656"/>
    <n v="1.6533819742489271"/>
    <n v="10.671412742382271"/>
    <n v="7"/>
    <x v="1"/>
    <s v="July"/>
  </r>
  <r>
    <s v="CMP-01713"/>
    <s v="Q3_Launch_CMP-01713"/>
    <x v="1"/>
    <s v="Launch"/>
    <d v="2023-07-02T00:00:00"/>
    <d v="2023-07-08T00:00:00"/>
    <x v="4"/>
    <n v="20129"/>
    <n v="284"/>
    <n v="449.2"/>
    <n v="39"/>
    <s v="No"/>
    <s v="Google Ads"/>
    <n v="6"/>
    <n v="1.4108996969546426E-2"/>
    <n v="0.13732394366197184"/>
    <n v="1.5816901408450703"/>
    <n v="11.517948717948718"/>
    <n v="7"/>
    <x v="1"/>
    <s v="July"/>
  </r>
  <r>
    <s v="CMP-01321"/>
    <s v="Q1_Winstagramter_CMP-01321"/>
    <x v="3"/>
    <s v="Winstagramter"/>
    <d v="2023-07-03T00:00:00"/>
    <d v="2023-07-21T00:00:00"/>
    <x v="3"/>
    <n v="32480"/>
    <n v="943"/>
    <n v="1374.45"/>
    <n v="173"/>
    <s v="Yes"/>
    <s v="FB"/>
    <n v="18"/>
    <n v="2.9033251231527092E-2"/>
    <n v="0.18345705196182396"/>
    <n v="1.4575291622481443"/>
    <n v="7.9447976878612723"/>
    <n v="7"/>
    <x v="1"/>
    <s v="July"/>
  </r>
  <r>
    <s v="CMP-01396"/>
    <s v="Q1_BlackFriday_CMP-01396"/>
    <x v="3"/>
    <s v="BlackFriday"/>
    <d v="2023-07-03T00:00:00"/>
    <d v="2023-07-11T00:00:00"/>
    <x v="3"/>
    <n v="98425"/>
    <n v="1799"/>
    <n v="3225.81"/>
    <n v="0"/>
    <s v="No"/>
    <s v="FB"/>
    <n v="8"/>
    <n v="1.8277876555753112E-2"/>
    <n v="0"/>
    <n v="1.7931128404669261"/>
    <s v="0"/>
    <n v="7"/>
    <x v="1"/>
    <s v="July"/>
  </r>
  <r>
    <s v="CMP-00343"/>
    <s v="Q2_Summer_CMP-00343"/>
    <x v="0"/>
    <s v="Summer"/>
    <d v="2023-07-03T00:00:00"/>
    <d v="2023-07-11T00:00:00"/>
    <x v="4"/>
    <n v="55045"/>
    <n v="2035"/>
    <n v="2043.16"/>
    <n v="391"/>
    <s v="No"/>
    <s v="Google Ads"/>
    <n v="8"/>
    <n v="3.6969752021073665E-2"/>
    <n v="0.19213759213759213"/>
    <n v="1.004009828009828"/>
    <n v="5.2254731457800512"/>
    <n v="7"/>
    <x v="1"/>
    <s v="July"/>
  </r>
  <r>
    <s v="CMP-01078"/>
    <s v="Q3_Summer_CMP-01078"/>
    <x v="1"/>
    <s v="Summer"/>
    <d v="2023-07-03T00:00:00"/>
    <d v="2023-07-10T00:00:00"/>
    <x v="1"/>
    <n v="68444"/>
    <n v="2138"/>
    <n v="3406.22"/>
    <n v="274"/>
    <s v="Yes"/>
    <s v="Email"/>
    <n v="7"/>
    <n v="3.1237215826076793E-2"/>
    <n v="0.12815715622076707"/>
    <n v="1.5931805425631431"/>
    <n v="12.431459854014598"/>
    <n v="7"/>
    <x v="1"/>
    <s v="July"/>
  </r>
  <r>
    <s v="CMP-00797"/>
    <s v="Q4_Launch_CMP-00797"/>
    <x v="2"/>
    <s v="Launch"/>
    <d v="2023-07-03T00:00:00"/>
    <d v="2023-07-10T00:00:00"/>
    <x v="2"/>
    <n v="1404"/>
    <n v="20"/>
    <n v="19.239999999999998"/>
    <n v="3"/>
    <s v="Yes"/>
    <s v="IG"/>
    <n v="7"/>
    <n v="1.4245014245014245E-2"/>
    <n v="0.15"/>
    <n v="0.96199999999999997"/>
    <n v="6.4133333333333331"/>
    <n v="7"/>
    <x v="1"/>
    <s v="July"/>
  </r>
  <r>
    <s v="CMP-00936"/>
    <s v="Q4_Summer_CMP-00936"/>
    <x v="2"/>
    <s v="Summer"/>
    <d v="2023-07-03T00:00:00"/>
    <d v="2023-07-08T00:00:00"/>
    <x v="4"/>
    <n v="60399"/>
    <n v="1016"/>
    <n v="1443.7"/>
    <n v="121"/>
    <s v="Yes"/>
    <s v="Google Ads"/>
    <n v="5"/>
    <n v="1.6821470554148246E-2"/>
    <n v="0.11909448818897637"/>
    <n v="1.420964566929134"/>
    <n v="11.931404958677687"/>
    <n v="7"/>
    <x v="1"/>
    <s v="July"/>
  </r>
  <r>
    <s v="CMP-00563"/>
    <s v="Q4_BlackFriday_CMP-00563"/>
    <x v="2"/>
    <s v="BlackFriday"/>
    <d v="2023-07-03T00:00:00"/>
    <d v="2023-10-06T00:00:00"/>
    <x v="5"/>
    <n v="77797"/>
    <n v="1381"/>
    <n v="1342.66"/>
    <n v="192"/>
    <s v="Yes"/>
    <s v="Not specified"/>
    <n v="95"/>
    <n v="1.7751327171998919E-2"/>
    <n v="0.13902968863142651"/>
    <n v="0.97223750905141204"/>
    <n v="6.9930208333333335"/>
    <n v="7"/>
    <x v="1"/>
    <s v="July"/>
  </r>
  <r>
    <s v="CMP-00603"/>
    <s v="Q1_Summer_CMP-00603"/>
    <x v="3"/>
    <s v="Summer"/>
    <d v="2023-07-04T00:00:00"/>
    <d v="2023-07-13T00:00:00"/>
    <x v="5"/>
    <n v="56069"/>
    <n v="1066"/>
    <n v="849.75"/>
    <n v="134"/>
    <s v="Yes"/>
    <s v="Not specified"/>
    <n v="9"/>
    <n v="1.9012288430326919E-2"/>
    <n v="0.12570356472795496"/>
    <n v="0.79713883677298314"/>
    <n v="6.3414179104477615"/>
    <n v="7"/>
    <x v="1"/>
    <s v="July"/>
  </r>
  <r>
    <s v="CMP-00547"/>
    <s v="Q2_Winstagramter_CMP-00547"/>
    <x v="0"/>
    <s v="Winstagramter"/>
    <d v="2023-07-04T00:00:00"/>
    <d v="2023-07-30T00:00:00"/>
    <x v="3"/>
    <n v="83986"/>
    <n v="2228"/>
    <n v="1636.3"/>
    <n v="311"/>
    <s v="Yes"/>
    <s v="FB"/>
    <n v="26"/>
    <n v="2.6528230895625463E-2"/>
    <n v="0.13958707360861761"/>
    <n v="0.73442549371633747"/>
    <n v="5.2614147909967848"/>
    <n v="7"/>
    <x v="1"/>
    <s v="July"/>
  </r>
  <r>
    <s v="CMP-01317"/>
    <s v="Q2_Winstagramter_CMP-01317"/>
    <x v="0"/>
    <s v="Winstagramter"/>
    <d v="2023-07-04T00:00:00"/>
    <d v="2023-08-03T00:00:00"/>
    <x v="5"/>
    <n v="77218"/>
    <n v="1095"/>
    <n v="1529.45"/>
    <n v="136"/>
    <s v="No"/>
    <s v="Not specified"/>
    <n v="30"/>
    <n v="1.4180631458986247E-2"/>
    <n v="0.12420091324200913"/>
    <n v="1.39675799086758"/>
    <n v="11.245955882352941"/>
    <n v="7"/>
    <x v="1"/>
    <s v="July"/>
  </r>
  <r>
    <s v="CMP-00893"/>
    <s v="Q3_Summer_CMP-00893"/>
    <x v="1"/>
    <s v="Summer"/>
    <d v="2023-07-04T00:00:00"/>
    <d v="2023-07-26T00:00:00"/>
    <x v="3"/>
    <n v="25214"/>
    <n v="373"/>
    <n v="551.83000000000004"/>
    <n v="38"/>
    <s v="No"/>
    <s v="FB"/>
    <n v="22"/>
    <n v="1.479336876338542E-2"/>
    <n v="0.10187667560321716"/>
    <n v="1.4794369973190349"/>
    <n v="14.521842105263159"/>
    <n v="7"/>
    <x v="1"/>
    <s v="July"/>
  </r>
  <r>
    <s v="CMP-00984"/>
    <s v="Q3_Winstagramter_CMP-00984"/>
    <x v="1"/>
    <s v="Winstagramter"/>
    <d v="2023-07-04T00:00:00"/>
    <d v="2023-07-05T00:00:00"/>
    <x v="4"/>
    <n v="74479"/>
    <n v="833"/>
    <n v="1264.27"/>
    <n v="102"/>
    <s v="Yes"/>
    <s v="Google Ads"/>
    <n v="1"/>
    <n v="1.1184360692275675E-2"/>
    <n v="0.12244897959183673"/>
    <n v="1.5177310924369747"/>
    <n v="12.394803921568627"/>
    <n v="7"/>
    <x v="1"/>
    <s v="July"/>
  </r>
  <r>
    <s v="CMP-01741"/>
    <s v="Q3_BlackFriday_CMP-01741"/>
    <x v="1"/>
    <s v="BlackFriday"/>
    <d v="2023-07-04T00:00:00"/>
    <d v="2023-07-18T00:00:00"/>
    <x v="5"/>
    <n v="55302"/>
    <n v="1799"/>
    <n v="1009.96"/>
    <n v="339"/>
    <s v="Yes"/>
    <s v="Not specified"/>
    <n v="14"/>
    <n v="3.253046906079346E-2"/>
    <n v="0.18843802112284602"/>
    <n v="0.5614007782101168"/>
    <n v="2.9792330383480827"/>
    <n v="7"/>
    <x v="1"/>
    <s v="July"/>
  </r>
  <r>
    <s v="CMP-01223"/>
    <s v="Q4_BlackFriday_CMP-01223"/>
    <x v="2"/>
    <s v="BlackFriday"/>
    <d v="2023-07-04T00:00:00"/>
    <d v="2023-07-24T00:00:00"/>
    <x v="2"/>
    <n v="69244"/>
    <n v="2213"/>
    <n v="1989.48"/>
    <n v="215"/>
    <s v="Yes"/>
    <s v="IG"/>
    <n v="20"/>
    <n v="3.1959447749985562E-2"/>
    <n v="9.7153185720741081E-2"/>
    <n v="0.89899683687302301"/>
    <n v="9.2533953488372092"/>
    <n v="7"/>
    <x v="1"/>
    <s v="July"/>
  </r>
  <r>
    <s v="CMP-01631"/>
    <s v="Q4_BlackFriday_CMP-01631"/>
    <x v="2"/>
    <s v="BlackFriday"/>
    <d v="2023-07-04T00:00:00"/>
    <d v="2023-07-09T00:00:00"/>
    <x v="5"/>
    <n v="81097"/>
    <n v="911"/>
    <n v="1359.72"/>
    <n v="96"/>
    <s v="No"/>
    <s v="Not specified"/>
    <n v="5"/>
    <n v="1.1233461163791508E-2"/>
    <n v="0.10537870472008781"/>
    <n v="1.4925576289791438"/>
    <n v="14.16375"/>
    <n v="7"/>
    <x v="1"/>
    <s v="July"/>
  </r>
  <r>
    <s v="CMP-00504"/>
    <s v="Q1_Summer_CMP-00504"/>
    <x v="3"/>
    <s v="Summer"/>
    <d v="2023-07-05T00:00:00"/>
    <d v="2023-08-04T00:00:00"/>
    <x v="0"/>
    <n v="36247"/>
    <n v="1067"/>
    <n v="1456.14"/>
    <n v="154"/>
    <s v="Yes"/>
    <s v="TikTok"/>
    <n v="30"/>
    <n v="2.9436918917427651E-2"/>
    <n v="0.14432989690721648"/>
    <n v="1.3647047797563263"/>
    <n v="9.4554545454545469"/>
    <n v="7"/>
    <x v="1"/>
    <s v="July"/>
  </r>
  <r>
    <s v="CMP-00034"/>
    <s v="Q2_Summer_CMP-00034"/>
    <x v="0"/>
    <s v="Summer"/>
    <d v="2023-07-05T00:00:00"/>
    <d v="2023-07-17T00:00:00"/>
    <x v="3"/>
    <n v="36773"/>
    <n v="932"/>
    <n v="1233.98"/>
    <n v="84"/>
    <s v="No"/>
    <s v="FB"/>
    <n v="12"/>
    <n v="2.5344682239686726E-2"/>
    <n v="9.012875536480687E-2"/>
    <n v="1.3240128755364806"/>
    <n v="14.690238095238096"/>
    <n v="7"/>
    <x v="1"/>
    <s v="July"/>
  </r>
  <r>
    <s v="CMP-01645"/>
    <s v="Q2_Launch_CMP-01645"/>
    <x v="0"/>
    <s v="Launch"/>
    <d v="2023-07-05T00:00:00"/>
    <d v="2023-07-06T00:00:00"/>
    <x v="0"/>
    <n v="62665"/>
    <n v="1597"/>
    <n v="2081.61"/>
    <n v="233"/>
    <s v="Yes"/>
    <s v="TikTok"/>
    <n v="1"/>
    <n v="2.5484720338306871E-2"/>
    <n v="0.14589855979962429"/>
    <n v="1.3034502191609267"/>
    <n v="8.9339484978540771"/>
    <n v="7"/>
    <x v="1"/>
    <s v="July"/>
  </r>
  <r>
    <s v="CMP-00584"/>
    <s v="Q3_BlackFriday_CMP-00584"/>
    <x v="1"/>
    <s v="BlackFriday"/>
    <d v="2023-07-05T00:00:00"/>
    <d v="2023-08-01T00:00:00"/>
    <x v="3"/>
    <n v="84042"/>
    <n v="2528"/>
    <n v="4405.63"/>
    <n v="0"/>
    <s v="Yes"/>
    <s v="FB"/>
    <n v="27"/>
    <n v="3.0080197996239975E-2"/>
    <n v="0"/>
    <n v="1.7427333860759495"/>
    <s v="0"/>
    <n v="7"/>
    <x v="1"/>
    <s v="July"/>
  </r>
  <r>
    <s v="CMP-00514"/>
    <s v="Q2_Summer_CMP-00514"/>
    <x v="0"/>
    <s v="Summer"/>
    <d v="2023-07-06T00:00:00"/>
    <d v="2023-07-18T00:00:00"/>
    <x v="0"/>
    <n v="98379"/>
    <n v="3148"/>
    <n v="5999.03"/>
    <n v="0"/>
    <s v="Yes"/>
    <s v="TikTok"/>
    <n v="12"/>
    <n v="3.1998698909320077E-2"/>
    <n v="0"/>
    <n v="1.9056639135959339"/>
    <s v="0"/>
    <n v="7"/>
    <x v="1"/>
    <s v="July"/>
  </r>
  <r>
    <s v="CMP-00119"/>
    <s v="Q3_Launch_CMP-00119"/>
    <x v="1"/>
    <s v="Launch"/>
    <d v="2023-07-06T00:00:00"/>
    <d v="2023-07-25T00:00:00"/>
    <x v="3"/>
    <n v="31535"/>
    <n v="1149"/>
    <n v="1369.32"/>
    <n v="95"/>
    <s v="Yes"/>
    <s v="FB"/>
    <n v="19"/>
    <n v="3.6435706358014901E-2"/>
    <n v="8.2680591818973026E-2"/>
    <n v="1.1917493472584857"/>
    <n v="14.413894736842105"/>
    <n v="7"/>
    <x v="1"/>
    <s v="July"/>
  </r>
  <r>
    <s v="CMP-01358"/>
    <s v="Q3_Launch_CMP-01358"/>
    <x v="1"/>
    <s v="Launch"/>
    <d v="2023-07-06T00:00:00"/>
    <d v="2023-07-10T00:00:00"/>
    <x v="4"/>
    <n v="88955"/>
    <n v="3413"/>
    <n v="4689.2700000000004"/>
    <n v="375"/>
    <s v="Yes"/>
    <s v="Google Ads"/>
    <n v="4"/>
    <n v="3.8367714012703051E-2"/>
    <n v="0.1098740111338998"/>
    <n v="1.3739437445062996"/>
    <n v="12.504720000000001"/>
    <n v="7"/>
    <x v="1"/>
    <s v="July"/>
  </r>
  <r>
    <s v="CMP-01724"/>
    <s v="Q1_BlackFriday_CMP-01724"/>
    <x v="3"/>
    <s v="BlackFriday"/>
    <d v="2023-07-07T00:00:00"/>
    <d v="2023-08-03T00:00:00"/>
    <x v="2"/>
    <n v="66082"/>
    <n v="2617"/>
    <n v="2319.23"/>
    <n v="249"/>
    <s v="Yes"/>
    <s v="IG"/>
    <n v="27"/>
    <n v="3.9602312278684063E-2"/>
    <n v="9.5147115017195263E-2"/>
    <n v="0.88621704241497901"/>
    <n v="9.3141767068273094"/>
    <n v="7"/>
    <x v="1"/>
    <s v="July"/>
  </r>
  <r>
    <s v="CMP-01798"/>
    <s v="Q1_Summer_CMP-01798"/>
    <x v="3"/>
    <s v="Summer"/>
    <d v="2023-07-07T00:00:00"/>
    <d v="2023-08-03T00:00:00"/>
    <x v="3"/>
    <n v="38567"/>
    <n v="1306"/>
    <n v="975.45"/>
    <n v="215"/>
    <s v="Yes"/>
    <s v="FB"/>
    <n v="27"/>
    <n v="3.3863147250239839E-2"/>
    <n v="0.16462480857580397"/>
    <n v="0.74689892802450231"/>
    <n v="4.5369767441860471"/>
    <n v="7"/>
    <x v="1"/>
    <s v="July"/>
  </r>
  <r>
    <s v="CMP-00357"/>
    <s v="Q2_BlackFriday_CMP-00357"/>
    <x v="0"/>
    <s v="BlackFriday"/>
    <d v="2023-07-07T00:00:00"/>
    <d v="2023-08-01T00:00:00"/>
    <x v="3"/>
    <n v="83989"/>
    <n v="2450"/>
    <n v="4372.6099999999997"/>
    <n v="461"/>
    <s v="No"/>
    <s v="FB"/>
    <n v="25"/>
    <n v="2.9170486611341962E-2"/>
    <n v="0.18816326530612246"/>
    <n v="1.784738775510204"/>
    <n v="9.4850542299349225"/>
    <n v="7"/>
    <x v="1"/>
    <s v="July"/>
  </r>
  <r>
    <s v="CMP-00946"/>
    <s v="Q3_Winstagramter_CMP-00946"/>
    <x v="1"/>
    <s v="Winstagramter"/>
    <d v="2023-07-07T00:00:00"/>
    <d v="2023-07-31T00:00:00"/>
    <x v="1"/>
    <n v="68661"/>
    <n v="1408"/>
    <n v="1258.3399999999999"/>
    <n v="246"/>
    <s v="No"/>
    <s v="Email"/>
    <n v="24"/>
    <n v="2.0506546656762936E-2"/>
    <n v="0.17471590909090909"/>
    <n v="0.89370738636363634"/>
    <n v="5.1152032520325204"/>
    <n v="7"/>
    <x v="1"/>
    <s v="July"/>
  </r>
  <r>
    <s v="CMP-01770"/>
    <s v="Q3_Winstagramter_CMP-01770"/>
    <x v="1"/>
    <s v="Winstagramter"/>
    <d v="2023-07-07T00:00:00"/>
    <d v="2023-07-19T00:00:00"/>
    <x v="5"/>
    <n v="71981"/>
    <n v="2153"/>
    <n v="1401.27"/>
    <n v="318"/>
    <s v="Yes"/>
    <s v="Not specified"/>
    <n v="12"/>
    <n v="2.9910670871479975E-2"/>
    <n v="0.14770088248954946"/>
    <n v="0.65084533209475148"/>
    <n v="4.4065094339622641"/>
    <n v="7"/>
    <x v="1"/>
    <s v="July"/>
  </r>
  <r>
    <s v="CMP-00648"/>
    <s v="Q4_Summer_CMP-00648"/>
    <x v="2"/>
    <s v="Summer"/>
    <d v="2023-07-07T00:00:00"/>
    <d v="2023-07-18T00:00:00"/>
    <x v="1"/>
    <n v="90930"/>
    <n v="1113"/>
    <n v="776.82"/>
    <n v="86"/>
    <s v="No"/>
    <s v="Email"/>
    <n v="11"/>
    <n v="1.2240184757505773E-2"/>
    <n v="7.7268643306379156E-2"/>
    <n v="0.69795148247978445"/>
    <n v="9.0327906976744199"/>
    <n v="7"/>
    <x v="1"/>
    <s v="July"/>
  </r>
  <r>
    <s v="CMP-01292"/>
    <s v="Q4_Winstagramter_CMP-01292"/>
    <x v="2"/>
    <s v="Winstagramter"/>
    <d v="2023-07-07T00:00:00"/>
    <d v="2023-07-20T00:00:00"/>
    <x v="4"/>
    <n v="39258"/>
    <n v="1290"/>
    <n v="2331"/>
    <n v="123"/>
    <s v="No"/>
    <s v="Google Ads"/>
    <n v="13"/>
    <n v="3.2859544551429011E-2"/>
    <n v="9.5348837209302331E-2"/>
    <n v="1.8069767441860465"/>
    <n v="18.951219512195124"/>
    <n v="7"/>
    <x v="1"/>
    <s v="July"/>
  </r>
  <r>
    <s v="CMP-01616"/>
    <s v="Q4_Summer_CMP-01616"/>
    <x v="2"/>
    <s v="Summer"/>
    <d v="2023-07-07T00:00:00"/>
    <d v="2023-08-01T00:00:00"/>
    <x v="5"/>
    <n v="36400"/>
    <n v="553"/>
    <n v="1094.19"/>
    <n v="33"/>
    <s v="No"/>
    <s v="Not specified"/>
    <n v="25"/>
    <n v="1.5192307692307692E-2"/>
    <n v="5.9674502712477394E-2"/>
    <n v="1.9786437613019892"/>
    <n v="33.157272727272726"/>
    <n v="7"/>
    <x v="1"/>
    <s v="July"/>
  </r>
  <r>
    <s v="CMP-01942"/>
    <s v="Q1_Winstagramter_CMP-01942"/>
    <x v="3"/>
    <s v="Winstagramter"/>
    <d v="2023-07-07T00:00:00"/>
    <d v="2023-07-12T00:00:00"/>
    <x v="4"/>
    <n v="53326"/>
    <n v="2057"/>
    <n v="2926.28"/>
    <n v="379"/>
    <s v="Yes"/>
    <s v="Google Ads"/>
    <n v="5"/>
    <n v="3.8574053932415704E-2"/>
    <n v="0.18424890617403986"/>
    <n v="1.4225960136120566"/>
    <n v="7.7210554089709769"/>
    <n v="7"/>
    <x v="1"/>
    <s v="July"/>
  </r>
  <r>
    <s v="CMP-00365"/>
    <s v="Q1_Winstagramter_CMP-00365"/>
    <x v="3"/>
    <s v="Winstagramter"/>
    <d v="2023-07-08T00:00:00"/>
    <d v="2023-07-26T00:00:00"/>
    <x v="3"/>
    <n v="4420"/>
    <n v="190"/>
    <n v="175.6"/>
    <n v="19"/>
    <s v="Yes"/>
    <s v="FB"/>
    <n v="18"/>
    <n v="4.2986425339366516E-2"/>
    <n v="0.1"/>
    <n v="0.92421052631578948"/>
    <n v="9.2421052631578942"/>
    <n v="7"/>
    <x v="1"/>
    <s v="July"/>
  </r>
  <r>
    <s v="CMP-00969"/>
    <s v="Q1_Winstagramter_CMP-00969"/>
    <x v="3"/>
    <s v="Winstagramter"/>
    <d v="2023-07-08T00:00:00"/>
    <d v="2023-07-12T00:00:00"/>
    <x v="3"/>
    <n v="96462"/>
    <n v="4179"/>
    <n v="5589.53"/>
    <n v="630"/>
    <s v="Yes"/>
    <s v="FB"/>
    <n v="4"/>
    <n v="4.3322759221247745E-2"/>
    <n v="0.15075376884422109"/>
    <n v="1.3375281167743478"/>
    <n v="8.8722698412698406"/>
    <n v="7"/>
    <x v="1"/>
    <s v="July"/>
  </r>
  <r>
    <s v="CMP-01057"/>
    <s v="Q1_BlackFriday_CMP-01057"/>
    <x v="3"/>
    <s v="BlackFriday"/>
    <d v="2023-07-08T00:00:00"/>
    <d v="2023-07-30T00:00:00"/>
    <x v="0"/>
    <n v="10865"/>
    <n v="495"/>
    <n v="397.37"/>
    <n v="79"/>
    <s v="No"/>
    <s v="TikTok"/>
    <n v="22"/>
    <n v="4.5559134836631383E-2"/>
    <n v="0.1595959595959596"/>
    <n v="0.8027676767676768"/>
    <n v="5.03"/>
    <n v="7"/>
    <x v="1"/>
    <s v="July"/>
  </r>
  <r>
    <s v="CMP-00204"/>
    <s v="Q4_Summer_CMP-00204"/>
    <x v="2"/>
    <s v="Summer"/>
    <d v="2023-07-08T00:00:00"/>
    <d v="2023-07-15T00:00:00"/>
    <x v="2"/>
    <n v="47576"/>
    <n v="1841"/>
    <n v="1492.88"/>
    <n v="211"/>
    <s v="No"/>
    <s v="IG"/>
    <n v="7"/>
    <n v="3.8695981166974945E-2"/>
    <n v="0.11461162411732755"/>
    <n v="0.81090711569799023"/>
    <n v="7.0752606635071098"/>
    <n v="7"/>
    <x v="1"/>
    <s v="July"/>
  </r>
  <r>
    <s v="CMP-00839"/>
    <s v="Q4_Winstagramter_CMP-00839"/>
    <x v="2"/>
    <s v="Winstagramter"/>
    <d v="2023-07-08T00:00:00"/>
    <d v="2023-10-06T00:00:00"/>
    <x v="3"/>
    <n v="74963"/>
    <n v="842"/>
    <n v="913.44"/>
    <n v="67"/>
    <s v="No"/>
    <s v="FB"/>
    <n v="90"/>
    <n v="1.1232207889225351E-2"/>
    <n v="7.9572446555819479E-2"/>
    <n v="1.0848456057007128"/>
    <n v="13.633432835820896"/>
    <n v="7"/>
    <x v="1"/>
    <s v="July"/>
  </r>
  <r>
    <s v="CMP-00586"/>
    <s v="Q1_Winstagramter_CMP-00586"/>
    <x v="3"/>
    <s v="Winstagramter"/>
    <d v="2023-07-09T00:00:00"/>
    <d v="2023-07-23T00:00:00"/>
    <x v="1"/>
    <n v="18955"/>
    <n v="481"/>
    <n v="743.17"/>
    <n v="33"/>
    <s v="Yes"/>
    <s v="Email"/>
    <n v="14"/>
    <n v="2.5375890266420471E-2"/>
    <n v="6.8607068607068611E-2"/>
    <n v="1.5450519750519749"/>
    <n v="22.52030303030303"/>
    <n v="7"/>
    <x v="1"/>
    <s v="July"/>
  </r>
  <r>
    <s v="CMP-00117"/>
    <s v="Q2_Summer_CMP-00117"/>
    <x v="0"/>
    <s v="Summer"/>
    <d v="2023-07-09T00:00:00"/>
    <d v="2023-07-17T00:00:00"/>
    <x v="0"/>
    <n v="23662"/>
    <n v="1148"/>
    <n v="1424.92"/>
    <n v="0"/>
    <s v="Yes"/>
    <s v="TikTok"/>
    <n v="8"/>
    <n v="4.8516608908798921E-2"/>
    <n v="0"/>
    <n v="1.2412195121951219"/>
    <s v="0"/>
    <n v="7"/>
    <x v="1"/>
    <s v="July"/>
  </r>
  <r>
    <s v="CMP-00380"/>
    <s v="Q2_Launch_CMP-00380"/>
    <x v="0"/>
    <s v="Launch"/>
    <d v="2023-07-09T00:00:00"/>
    <d v="2023-08-07T00:00:00"/>
    <x v="5"/>
    <n v="67105"/>
    <n v="718"/>
    <n v="1342.23"/>
    <n v="137"/>
    <s v="Yes"/>
    <s v="Not specified"/>
    <n v="29"/>
    <n v="1.0699649802548245E-2"/>
    <n v="0.19080779944289694"/>
    <n v="1.8694011142061282"/>
    <n v="9.7972992700729922"/>
    <n v="7"/>
    <x v="1"/>
    <s v="July"/>
  </r>
  <r>
    <s v="CMP-00021"/>
    <s v="Q3_BlackFriday_CMP-00021"/>
    <x v="1"/>
    <s v="BlackFriday"/>
    <d v="2023-07-09T00:00:00"/>
    <d v="2023-07-17T00:00:00"/>
    <x v="3"/>
    <n v="84104"/>
    <n v="2539"/>
    <n v="1975.49"/>
    <n v="0"/>
    <s v="Yes"/>
    <s v="FB"/>
    <n v="8"/>
    <n v="3.0188813849519644E-2"/>
    <n v="0"/>
    <n v="0.77805829066561638"/>
    <s v="0"/>
    <n v="7"/>
    <x v="1"/>
    <s v="July"/>
  </r>
  <r>
    <s v="CMP-01538"/>
    <s v="Q3_Winstagramter_CMP-01538"/>
    <x v="1"/>
    <s v="Winstagramter"/>
    <d v="2023-07-09T00:00:00"/>
    <d v="2023-08-08T00:00:00"/>
    <x v="1"/>
    <n v="55237"/>
    <n v="1496"/>
    <n v="2826.64"/>
    <n v="235"/>
    <s v="No"/>
    <s v="Email"/>
    <n v="30"/>
    <n v="2.7083295617068268E-2"/>
    <n v="0.15708556149732619"/>
    <n v="1.8894652406417112"/>
    <n v="12.028255319148936"/>
    <n v="7"/>
    <x v="1"/>
    <s v="July"/>
  </r>
  <r>
    <s v="CMP-00367"/>
    <s v="Q2_BlackFriday_CMP-00367"/>
    <x v="0"/>
    <s v="BlackFriday"/>
    <d v="2023-07-10T00:00:00"/>
    <d v="2023-07-12T00:00:00"/>
    <x v="2"/>
    <n v="1301"/>
    <n v="19"/>
    <n v="17.84"/>
    <n v="2"/>
    <s v="No"/>
    <s v="IG"/>
    <n v="2"/>
    <n v="1.4604150653343582E-2"/>
    <n v="0.10526315789473684"/>
    <n v="0.93894736842105264"/>
    <n v="8.92"/>
    <n v="7"/>
    <x v="1"/>
    <s v="July"/>
  </r>
  <r>
    <s v="CMP-01090"/>
    <s v="Q3_Summer_CMP-01090"/>
    <x v="1"/>
    <s v="Summer"/>
    <d v="2023-07-10T00:00:00"/>
    <d v="2023-08-01T00:00:00"/>
    <x v="1"/>
    <n v="42832"/>
    <n v="786"/>
    <n v="1076.3699999999999"/>
    <n v="125"/>
    <s v="No"/>
    <s v="Email"/>
    <n v="22"/>
    <n v="1.8350765782592454E-2"/>
    <n v="0.15903307888040713"/>
    <n v="1.3694274809160305"/>
    <n v="8.6109599999999986"/>
    <n v="7"/>
    <x v="1"/>
    <s v="July"/>
  </r>
  <r>
    <s v="CMP-01263"/>
    <s v="Q4_BlackFriday_CMP-01263"/>
    <x v="2"/>
    <s v="BlackFriday"/>
    <d v="2023-07-10T00:00:00"/>
    <d v="2023-07-28T00:00:00"/>
    <x v="4"/>
    <n v="53853"/>
    <n v="1191"/>
    <n v="1724.6"/>
    <n v="91"/>
    <s v="No"/>
    <s v="Google Ads"/>
    <n v="18"/>
    <n v="2.2115759567712105E-2"/>
    <n v="7.6406381192275399E-2"/>
    <n v="1.4480268681780015"/>
    <n v="18.951648351648352"/>
    <n v="7"/>
    <x v="1"/>
    <s v="July"/>
  </r>
  <r>
    <s v="CMP-01604"/>
    <s v="Q4_Summer_CMP-01604"/>
    <x v="2"/>
    <s v="Summer"/>
    <d v="2023-07-10T00:00:00"/>
    <d v="2023-07-26T00:00:00"/>
    <x v="1"/>
    <n v="86680"/>
    <n v="2186"/>
    <n v="1951.28"/>
    <n v="277"/>
    <s v="No"/>
    <s v="Email"/>
    <n v="16"/>
    <n v="2.5219197046608213E-2"/>
    <n v="0.12671546203110703"/>
    <n v="0.8926258005489478"/>
    <n v="7.044332129963899"/>
    <n v="7"/>
    <x v="1"/>
    <s v="July"/>
  </r>
  <r>
    <s v="CMP-00331"/>
    <s v="Q1_Summer_CMP-00331"/>
    <x v="3"/>
    <s v="Summer"/>
    <d v="2023-07-11T00:00:00"/>
    <d v="2023-07-29T00:00:00"/>
    <x v="4"/>
    <n v="18429"/>
    <n v="390"/>
    <n v="586.97"/>
    <n v="24"/>
    <s v="No"/>
    <s v="Google Ads"/>
    <n v="18"/>
    <n v="2.1162298551196484E-2"/>
    <n v="6.1538461538461542E-2"/>
    <n v="1.505051282051282"/>
    <n v="24.457083333333333"/>
    <n v="7"/>
    <x v="1"/>
    <s v="July"/>
  </r>
  <r>
    <s v="CMP-00530"/>
    <s v="Q3_Winstagramter_CMP-00530"/>
    <x v="1"/>
    <s v="Winstagramter"/>
    <d v="2023-07-11T00:00:00"/>
    <d v="2023-08-09T00:00:00"/>
    <x v="0"/>
    <n v="50115"/>
    <n v="2462"/>
    <n v="3747.24"/>
    <n v="472"/>
    <s v="Yes"/>
    <s v="TikTok"/>
    <n v="29"/>
    <n v="4.9127007881871694E-2"/>
    <n v="0.1917140536149472"/>
    <n v="1.5220308692120226"/>
    <n v="7.9390677966101686"/>
    <n v="7"/>
    <x v="1"/>
    <s v="July"/>
  </r>
  <r>
    <s v="CMP-00417"/>
    <s v="Q4_Launch_CMP-00417"/>
    <x v="2"/>
    <s v="Launch"/>
    <d v="2023-07-11T00:00:00"/>
    <d v="2023-07-12T00:00:00"/>
    <x v="0"/>
    <n v="79657"/>
    <n v="1222"/>
    <n v="1458.56"/>
    <n v="94"/>
    <s v="Yes"/>
    <s v="TikTok"/>
    <n v="1"/>
    <n v="1.5340773566667085E-2"/>
    <n v="7.6923076923076927E-2"/>
    <n v="1.193584288052373"/>
    <n v="15.516595744680851"/>
    <n v="7"/>
    <x v="1"/>
    <s v="July"/>
  </r>
  <r>
    <s v="CMP-00531"/>
    <s v="Q4_Launch_CMP-00531"/>
    <x v="2"/>
    <s v="Launch"/>
    <d v="2023-07-11T00:00:00"/>
    <d v="2023-07-15T00:00:00"/>
    <x v="2"/>
    <n v="92007"/>
    <n v="3673"/>
    <n v="7016.44"/>
    <n v="531"/>
    <s v="No"/>
    <s v="IG"/>
    <n v="4"/>
    <n v="3.9920875585553274E-2"/>
    <n v="0.14456847263817044"/>
    <n v="1.9102749795807241"/>
    <n v="13.213634651600753"/>
    <n v="7"/>
    <x v="1"/>
    <s v="July"/>
  </r>
  <r>
    <s v="CMP-00902"/>
    <s v="Q4_Winstagramter_CMP-00902"/>
    <x v="2"/>
    <s v="Winstagramter"/>
    <d v="2023-07-11T00:00:00"/>
    <d v="2023-07-26T00:00:00"/>
    <x v="3"/>
    <n v="84807"/>
    <n v="3325"/>
    <n v="5155.8999999999996"/>
    <n v="417"/>
    <s v="No"/>
    <s v="FB"/>
    <n v="15"/>
    <n v="3.9206669260792151E-2"/>
    <n v="0.12541353383458648"/>
    <n v="1.5506466165413533"/>
    <n v="12.364268585131894"/>
    <n v="7"/>
    <x v="1"/>
    <s v="July"/>
  </r>
  <r>
    <s v="CMP-01861"/>
    <s v="Q4_Winstagramter_CMP-01861"/>
    <x v="2"/>
    <s v="Winstagramter"/>
    <d v="2023-07-11T00:00:00"/>
    <d v="2023-08-07T00:00:00"/>
    <x v="2"/>
    <n v="24019"/>
    <n v="1078"/>
    <n v="1232.1199999999999"/>
    <n v="95"/>
    <s v="Yes"/>
    <s v="IG"/>
    <n v="27"/>
    <n v="4.4881135767517386E-2"/>
    <n v="8.8126159554730979E-2"/>
    <n v="1.1429684601113173"/>
    <n v="12.969684210526315"/>
    <n v="7"/>
    <x v="1"/>
    <s v="July"/>
  </r>
  <r>
    <s v="CMP-00753"/>
    <s v="Q1_Winstagramter_CMP-00753"/>
    <x v="3"/>
    <s v="Winstagramter"/>
    <d v="2023-07-12T00:00:00"/>
    <d v="2023-08-05T00:00:00"/>
    <x v="0"/>
    <n v="5835"/>
    <n v="187"/>
    <n v="358.03"/>
    <n v="28"/>
    <s v="Yes"/>
    <s v="TikTok"/>
    <n v="24"/>
    <n v="3.2047986289631535E-2"/>
    <n v="0.1497326203208556"/>
    <n v="1.9145989304812834"/>
    <n v="12.786785714285713"/>
    <n v="7"/>
    <x v="1"/>
    <s v="July"/>
  </r>
  <r>
    <s v="CMP-00208"/>
    <s v="Q2_Launch_CMP-00208"/>
    <x v="0"/>
    <s v="Launch"/>
    <d v="2023-07-12T00:00:00"/>
    <d v="2023-07-13T00:00:00"/>
    <x v="3"/>
    <n v="53733"/>
    <n v="1660"/>
    <n v="2888.28"/>
    <n v="228"/>
    <s v="Yes"/>
    <s v="FB"/>
    <n v="1"/>
    <n v="3.0893491895111012E-2"/>
    <n v="0.13734939759036144"/>
    <n v="1.7399277108433737"/>
    <n v="12.667894736842106"/>
    <n v="7"/>
    <x v="1"/>
    <s v="July"/>
  </r>
  <r>
    <s v="CMP-00853"/>
    <s v="Q2_Summer_CMP-00853"/>
    <x v="0"/>
    <s v="Summer"/>
    <d v="2023-07-12T00:00:00"/>
    <d v="2023-07-28T00:00:00"/>
    <x v="0"/>
    <n v="93234"/>
    <n v="2276"/>
    <n v="2807.57"/>
    <n v="287"/>
    <s v="Yes"/>
    <s v="TikTok"/>
    <n v="16"/>
    <n v="2.4411695304288134E-2"/>
    <n v="0.12609841827768015"/>
    <n v="1.2335544815465731"/>
    <n v="9.7824738675958187"/>
    <n v="7"/>
    <x v="1"/>
    <s v="July"/>
  </r>
  <r>
    <s v="CMP-01504"/>
    <s v="Q2_Winstagramter_CMP-01504"/>
    <x v="0"/>
    <s v="Winstagramter"/>
    <d v="2023-07-12T00:00:00"/>
    <d v="2023-08-01T00:00:00"/>
    <x v="4"/>
    <n v="12344"/>
    <n v="123"/>
    <n v="137.37"/>
    <n v="13"/>
    <s v="Yes"/>
    <s v="Google Ads"/>
    <n v="20"/>
    <n v="9.9643551523007131E-3"/>
    <n v="0.10569105691056911"/>
    <n v="1.116829268292683"/>
    <n v="10.566923076923077"/>
    <n v="7"/>
    <x v="1"/>
    <s v="July"/>
  </r>
  <r>
    <s v="CMP-00780"/>
    <s v="Q3_Winstagramter_CMP-00780"/>
    <x v="1"/>
    <s v="Winstagramter"/>
    <d v="2023-07-12T00:00:00"/>
    <d v="2023-07-22T00:00:00"/>
    <x v="2"/>
    <n v="62813"/>
    <n v="2882"/>
    <n v="4925.25"/>
    <n v="197"/>
    <s v="Yes"/>
    <s v="IG"/>
    <n v="10"/>
    <n v="4.5882221833060038E-2"/>
    <n v="6.8355308813324078E-2"/>
    <n v="1.708969465648855"/>
    <n v="25.001269035532996"/>
    <n v="7"/>
    <x v="1"/>
    <s v="July"/>
  </r>
  <r>
    <s v="CMP-01293"/>
    <s v="Q4_Winstagramter_CMP-01293"/>
    <x v="2"/>
    <s v="Winstagramter"/>
    <d v="2023-07-12T00:00:00"/>
    <d v="2023-07-28T00:00:00"/>
    <x v="4"/>
    <n v="49302"/>
    <n v="2282"/>
    <n v="3828.34"/>
    <n v="293"/>
    <s v="Yes"/>
    <s v="Google Ads"/>
    <n v="16"/>
    <n v="4.6286154719889658E-2"/>
    <n v="0.12839614373356706"/>
    <n v="1.6776248904469764"/>
    <n v="13.066006825938567"/>
    <n v="7"/>
    <x v="1"/>
    <s v="July"/>
  </r>
  <r>
    <s v="CMP-01759"/>
    <s v="Q4_Winstagramter_CMP-01759"/>
    <x v="2"/>
    <s v="Winstagramter"/>
    <d v="2023-07-12T00:00:00"/>
    <d v="2023-07-13T00:00:00"/>
    <x v="2"/>
    <n v="61461"/>
    <n v="2157"/>
    <n v="2301.5"/>
    <n v="0"/>
    <s v="No"/>
    <s v="IG"/>
    <n v="1"/>
    <n v="3.5095426367940642E-2"/>
    <n v="0"/>
    <n v="1.0669911914696337"/>
    <s v="0"/>
    <n v="7"/>
    <x v="1"/>
    <s v="July"/>
  </r>
  <r>
    <s v="CMP-00788"/>
    <s v="Q2_Winstagramter_CMP-00788"/>
    <x v="0"/>
    <s v="Winstagramter"/>
    <d v="2023-07-13T00:00:00"/>
    <d v="2023-08-03T00:00:00"/>
    <x v="3"/>
    <n v="7970"/>
    <n v="179"/>
    <n v="304.36"/>
    <n v="22"/>
    <s v="Yes"/>
    <s v="FB"/>
    <n v="21"/>
    <n v="2.2459222082810541E-2"/>
    <n v="0.12290502793296089"/>
    <n v="1.7003351955307264"/>
    <n v="13.834545454545456"/>
    <n v="7"/>
    <x v="1"/>
    <s v="July"/>
  </r>
  <r>
    <s v="CMP-01529"/>
    <s v="Q2_BlackFriday_CMP-01529"/>
    <x v="0"/>
    <s v="BlackFriday"/>
    <d v="2023-07-13T00:00:00"/>
    <d v="2023-08-12T00:00:00"/>
    <x v="0"/>
    <n v="70768"/>
    <n v="2835"/>
    <n v="3332.33"/>
    <n v="454"/>
    <s v="No"/>
    <s v="TikTok"/>
    <n v="30"/>
    <n v="4.0060479312683701E-2"/>
    <n v="0.16014109347442682"/>
    <n v="1.1754250440917107"/>
    <n v="7.339933920704846"/>
    <n v="7"/>
    <x v="1"/>
    <s v="July"/>
  </r>
  <r>
    <s v="CMP-01585"/>
    <s v="Q2_Summer_CMP-01585"/>
    <x v="0"/>
    <s v="Summer"/>
    <d v="2023-07-13T00:00:00"/>
    <d v="2023-07-23T00:00:00"/>
    <x v="1"/>
    <n v="17371"/>
    <n v="306"/>
    <n v="555.37"/>
    <n v="57"/>
    <s v="No"/>
    <s v="Email"/>
    <n v="10"/>
    <n v="1.7615566173507569E-2"/>
    <n v="0.18627450980392157"/>
    <n v="1.8149346405228759"/>
    <n v="9.7433333333333341"/>
    <n v="7"/>
    <x v="1"/>
    <s v="July"/>
  </r>
  <r>
    <s v="CMP-01717"/>
    <s v="Q4_Winstagramter_CMP-01717"/>
    <x v="2"/>
    <s v="Winstagramter"/>
    <d v="2023-07-13T00:00:00"/>
    <d v="2023-07-18T00:00:00"/>
    <x v="2"/>
    <n v="72719"/>
    <n v="1279"/>
    <n v="687.01"/>
    <n v="78"/>
    <s v="Yes"/>
    <s v="IG"/>
    <n v="5"/>
    <n v="1.7588250663512973E-2"/>
    <n v="6.0985144644253322E-2"/>
    <n v="0.53714620797498047"/>
    <n v="8.8078205128205127"/>
    <n v="7"/>
    <x v="1"/>
    <s v="July"/>
  </r>
  <r>
    <s v="CMP-01330"/>
    <s v="Q1_BlackFriday_CMP-01330"/>
    <x v="3"/>
    <s v="BlackFriday"/>
    <d v="2023-07-14T00:00:00"/>
    <d v="2023-07-16T00:00:00"/>
    <x v="0"/>
    <n v="74506"/>
    <n v="2889"/>
    <n v="4200.8100000000004"/>
    <n v="0"/>
    <s v="Yes"/>
    <s v="TikTok"/>
    <n v="2"/>
    <n v="3.8775400638874719E-2"/>
    <n v="0"/>
    <n v="1.4540706126687437"/>
    <s v="0"/>
    <n v="7"/>
    <x v="1"/>
    <s v="July"/>
  </r>
  <r>
    <s v="CMP-00150"/>
    <s v="Q2_Summer_CMP-00150"/>
    <x v="0"/>
    <s v="Summer"/>
    <d v="2023-07-14T00:00:00"/>
    <d v="2023-07-19T00:00:00"/>
    <x v="5"/>
    <n v="81356"/>
    <n v="3670"/>
    <n v="5352.87"/>
    <n v="660"/>
    <s v="Yes"/>
    <s v="Not specified"/>
    <n v="5"/>
    <n v="4.5110379074684105E-2"/>
    <n v="0.17983651226158037"/>
    <n v="1.4585476839237057"/>
    <n v="8.1104090909090907"/>
    <n v="7"/>
    <x v="1"/>
    <s v="July"/>
  </r>
  <r>
    <s v="CMP-00323"/>
    <s v="Q2_Summer_CMP-00323"/>
    <x v="0"/>
    <s v="Summer"/>
    <d v="2023-07-14T00:00:00"/>
    <d v="2023-08-13T00:00:00"/>
    <x v="5"/>
    <n v="47214"/>
    <n v="694"/>
    <n v="738.21"/>
    <n v="106"/>
    <s v="Yes"/>
    <s v="Not specified"/>
    <n v="30"/>
    <n v="1.4699029948744016E-2"/>
    <n v="0.15273775216138327"/>
    <n v="1.0637031700288184"/>
    <n v="6.9642452830188679"/>
    <n v="7"/>
    <x v="1"/>
    <s v="July"/>
  </r>
  <r>
    <s v="CMP-00831"/>
    <s v="Q3_Launch_CMP-00831"/>
    <x v="1"/>
    <s v="Launch"/>
    <d v="2023-07-14T00:00:00"/>
    <d v="2023-07-16T00:00:00"/>
    <x v="4"/>
    <n v="59017"/>
    <n v="1041"/>
    <n v="1806.56"/>
    <n v="155"/>
    <s v="No"/>
    <s v="Google Ads"/>
    <n v="2"/>
    <n v="1.7638985377094737E-2"/>
    <n v="0.148895292987512"/>
    <n v="1.7354082612872237"/>
    <n v="11.655225806451613"/>
    <n v="7"/>
    <x v="1"/>
    <s v="July"/>
  </r>
  <r>
    <s v="CMP-00194"/>
    <s v="Q4_Launch_CMP-00194"/>
    <x v="2"/>
    <s v="Launch"/>
    <d v="2023-07-14T00:00:00"/>
    <d v="2023-07-22T00:00:00"/>
    <x v="3"/>
    <n v="14545"/>
    <n v="424"/>
    <n v="247.12"/>
    <n v="69"/>
    <s v="Yes"/>
    <s v="FB"/>
    <n v="8"/>
    <n v="2.9150910965967686E-2"/>
    <n v="0.16273584905660377"/>
    <n v="0.5828301886792453"/>
    <n v="3.5814492753623188"/>
    <n v="7"/>
    <x v="1"/>
    <s v="July"/>
  </r>
  <r>
    <s v="CMP-01862"/>
    <s v="Q4_Summer_CMP-01862"/>
    <x v="2"/>
    <s v="Summer"/>
    <d v="2023-07-14T00:00:00"/>
    <d v="2023-07-19T00:00:00"/>
    <x v="0"/>
    <n v="19639"/>
    <n v="846"/>
    <n v="1220.57"/>
    <n v="0"/>
    <s v="Yes"/>
    <s v="TikTok"/>
    <n v="5"/>
    <n v="4.3077549773410051E-2"/>
    <n v="0"/>
    <n v="1.4427541371158392"/>
    <s v="0"/>
    <n v="7"/>
    <x v="1"/>
    <s v="July"/>
  </r>
  <r>
    <s v="CMP-00312"/>
    <s v="Q1_Summer_CMP-00312"/>
    <x v="3"/>
    <s v="Summer"/>
    <d v="2023-07-15T00:00:00"/>
    <d v="2023-08-07T00:00:00"/>
    <x v="2"/>
    <n v="62135"/>
    <n v="2531"/>
    <n v="4775.45"/>
    <n v="168"/>
    <s v="Yes"/>
    <s v="IG"/>
    <n v="23"/>
    <n v="4.0733885893618732E-2"/>
    <n v="6.6376926116159626E-2"/>
    <n v="1.8867838798893717"/>
    <n v="28.425297619047619"/>
    <n v="7"/>
    <x v="1"/>
    <s v="July"/>
  </r>
  <r>
    <s v="CMP-01178"/>
    <s v="Q1_Launch_CMP-01178"/>
    <x v="3"/>
    <s v="Launch"/>
    <d v="2023-07-15T00:00:00"/>
    <d v="2023-07-25T00:00:00"/>
    <x v="0"/>
    <n v="15153"/>
    <n v="187"/>
    <n v="161.54"/>
    <n v="17"/>
    <s v="No"/>
    <s v="TikTok"/>
    <n v="10"/>
    <n v="1.2340790602520952E-2"/>
    <n v="9.0909090909090912E-2"/>
    <n v="0.86385026737967907"/>
    <n v="9.5023529411764702"/>
    <n v="7"/>
    <x v="1"/>
    <s v="July"/>
  </r>
  <r>
    <s v="CMP-01400"/>
    <s v="Q2_Launch_CMP-01400"/>
    <x v="0"/>
    <s v="Launch"/>
    <d v="2023-07-15T00:00:00"/>
    <d v="2023-07-28T00:00:00"/>
    <x v="3"/>
    <n v="58384"/>
    <n v="2772"/>
    <n v="2556.0300000000002"/>
    <n v="367"/>
    <s v="No"/>
    <s v="FB"/>
    <n v="13"/>
    <n v="4.7478761304466981E-2"/>
    <n v="0.1323953823953824"/>
    <n v="0.92208874458874468"/>
    <n v="6.96465940054496"/>
    <n v="7"/>
    <x v="1"/>
    <s v="July"/>
  </r>
  <r>
    <s v="CMP-00038"/>
    <s v="Q4_Winstagramter_CMP-00038"/>
    <x v="2"/>
    <s v="Winstagramter"/>
    <d v="2023-07-15T00:00:00"/>
    <d v="2023-08-07T00:00:00"/>
    <x v="0"/>
    <n v="32551"/>
    <n v="1335"/>
    <n v="1118.1500000000001"/>
    <n v="200"/>
    <s v="Yes"/>
    <s v="TikTok"/>
    <n v="23"/>
    <n v="4.1012564898159812E-2"/>
    <n v="0.14981273408239701"/>
    <n v="0.83756554307116116"/>
    <n v="5.5907500000000008"/>
    <n v="7"/>
    <x v="1"/>
    <s v="July"/>
  </r>
  <r>
    <s v="CMP-00129"/>
    <s v="Q4_BlackFriday_CMP-00129"/>
    <x v="2"/>
    <s v="BlackFriday"/>
    <d v="2023-07-15T00:00:00"/>
    <d v="2023-07-20T00:00:00"/>
    <x v="0"/>
    <n v="11965"/>
    <n v="559"/>
    <n v="325.11"/>
    <n v="39"/>
    <s v="No"/>
    <s v="TikTok"/>
    <n v="5"/>
    <n v="4.6719598829920599E-2"/>
    <n v="6.9767441860465115E-2"/>
    <n v="0.58159212880143119"/>
    <n v="8.3361538461538469"/>
    <n v="7"/>
    <x v="1"/>
    <s v="July"/>
  </r>
  <r>
    <s v="CMP-00334"/>
    <s v="Q4_BlackFriday_CMP-00334"/>
    <x v="2"/>
    <s v="BlackFriday"/>
    <d v="2023-07-15T00:00:00"/>
    <d v="2023-08-05T00:00:00"/>
    <x v="3"/>
    <n v="48333"/>
    <n v="796"/>
    <n v="545.34"/>
    <n v="79"/>
    <s v="Yes"/>
    <s v="FB"/>
    <n v="21"/>
    <n v="1.646907909709722E-2"/>
    <n v="9.9246231155778894E-2"/>
    <n v="0.68510050251256283"/>
    <n v="6.9030379746835449"/>
    <n v="7"/>
    <x v="1"/>
    <s v="July"/>
  </r>
  <r>
    <s v="CMP-01450"/>
    <s v="Q4_Summer_CMP-01450"/>
    <x v="2"/>
    <s v="Summer"/>
    <d v="2023-07-15T00:00:00"/>
    <d v="2023-08-08T00:00:00"/>
    <x v="4"/>
    <n v="95613"/>
    <n v="4260"/>
    <n v="8209.43"/>
    <n v="412"/>
    <s v="Yes"/>
    <s v="Google Ads"/>
    <n v="24"/>
    <n v="4.4554610774685449E-2"/>
    <n v="9.6713615023474184E-2"/>
    <n v="1.9270962441314554"/>
    <n v="19.925800970873787"/>
    <n v="7"/>
    <x v="1"/>
    <s v="July"/>
  </r>
  <r>
    <s v="CMP-01540"/>
    <s v="Q4_Launch_CMP-01540"/>
    <x v="2"/>
    <s v="Launch"/>
    <d v="2023-07-15T00:00:00"/>
    <d v="2023-07-31T00:00:00"/>
    <x v="2"/>
    <n v="26510"/>
    <n v="1155"/>
    <n v="2006.48"/>
    <n v="110"/>
    <s v="Yes"/>
    <s v="IG"/>
    <n v="16"/>
    <n v="4.3568464730290454E-2"/>
    <n v="9.5238095238095233E-2"/>
    <n v="1.7372121212121212"/>
    <n v="18.240727272727273"/>
    <n v="7"/>
    <x v="1"/>
    <s v="July"/>
  </r>
  <r>
    <s v="CMP-01003"/>
    <s v="Q1_Summer_CMP-01003"/>
    <x v="3"/>
    <s v="Summer"/>
    <d v="2023-07-16T00:00:00"/>
    <d v="2023-07-19T00:00:00"/>
    <x v="2"/>
    <n v="93436"/>
    <n v="4034"/>
    <n v="5447.27"/>
    <n v="794"/>
    <s v="Yes"/>
    <s v="IG"/>
    <n v="3"/>
    <n v="4.3173937240464061E-2"/>
    <n v="0.19682697074863659"/>
    <n v="1.3503396132870602"/>
    <n v="6.8605415617128465"/>
    <n v="7"/>
    <x v="1"/>
    <s v="July"/>
  </r>
  <r>
    <s v="CMP-01104"/>
    <s v="Q2_Winstagramter_CMP-01104"/>
    <x v="0"/>
    <s v="Winstagramter"/>
    <d v="2023-07-16T00:00:00"/>
    <d v="2023-08-06T00:00:00"/>
    <x v="2"/>
    <n v="44303"/>
    <n v="1409"/>
    <n v="941.98"/>
    <n v="0"/>
    <s v="Yes"/>
    <s v="IG"/>
    <n v="21"/>
    <n v="3.180371532401869E-2"/>
    <n v="0"/>
    <n v="0.66854506742370479"/>
    <s v="0"/>
    <n v="7"/>
    <x v="1"/>
    <s v="July"/>
  </r>
  <r>
    <s v="CMP-00637"/>
    <s v="Q3_Winstagramter_CMP-00637"/>
    <x v="1"/>
    <s v="Winstagramter"/>
    <d v="2023-07-16T00:00:00"/>
    <d v="2023-08-01T00:00:00"/>
    <x v="4"/>
    <n v="2062"/>
    <n v="99"/>
    <n v="165.57"/>
    <n v="6"/>
    <s v="Yes"/>
    <s v="Google Ads"/>
    <n v="16"/>
    <n v="4.8011639185257034E-2"/>
    <n v="6.0606060606060608E-2"/>
    <n v="1.6724242424242424"/>
    <n v="27.594999999999999"/>
    <n v="7"/>
    <x v="1"/>
    <s v="July"/>
  </r>
  <r>
    <s v="CMP-01046"/>
    <s v="Q3_BlackFriday_CMP-01046"/>
    <x v="1"/>
    <s v="BlackFriday"/>
    <d v="2023-07-16T00:00:00"/>
    <d v="2023-08-09T00:00:00"/>
    <x v="1"/>
    <n v="43533"/>
    <n v="1138"/>
    <n v="2028.15"/>
    <n v="172"/>
    <s v="Yes"/>
    <s v="Email"/>
    <n v="24"/>
    <n v="2.6141088369742493E-2"/>
    <n v="0.15114235500878734"/>
    <n v="1.7822056239015818"/>
    <n v="11.79156976744186"/>
    <n v="7"/>
    <x v="1"/>
    <s v="July"/>
  </r>
  <r>
    <s v="CMP-01278"/>
    <s v="Q3_Winstagramter_CMP-01278"/>
    <x v="1"/>
    <s v="Winstagramter"/>
    <d v="2023-07-16T00:00:00"/>
    <d v="2023-07-24T00:00:00"/>
    <x v="1"/>
    <n v="94501"/>
    <n v="3904"/>
    <n v="6432.98"/>
    <n v="346"/>
    <s v="Yes"/>
    <s v="Email"/>
    <n v="8"/>
    <n v="4.1311732150982529E-2"/>
    <n v="8.8627049180327863E-2"/>
    <n v="1.6477920081967212"/>
    <n v="18.59242774566474"/>
    <n v="7"/>
    <x v="1"/>
    <s v="July"/>
  </r>
  <r>
    <s v="CMP-01376"/>
    <s v="Q3_Summer_CMP-01376"/>
    <x v="1"/>
    <s v="Summer"/>
    <d v="2023-07-16T00:00:00"/>
    <d v="2023-07-30T00:00:00"/>
    <x v="2"/>
    <n v="91093"/>
    <n v="1189"/>
    <n v="1539.87"/>
    <n v="131"/>
    <s v="No"/>
    <s v="IG"/>
    <n v="14"/>
    <n v="1.3052594601121931E-2"/>
    <n v="0.11017661900756939"/>
    <n v="1.2950967199327166"/>
    <n v="11.75473282442748"/>
    <n v="7"/>
    <x v="1"/>
    <s v="July"/>
  </r>
  <r>
    <s v="CMP-00310"/>
    <s v="Q4_Summer_CMP-00310"/>
    <x v="2"/>
    <s v="Summer"/>
    <d v="2023-07-16T00:00:00"/>
    <d v="2023-08-11T00:00:00"/>
    <x v="1"/>
    <n v="78505"/>
    <n v="847"/>
    <n v="1623.7"/>
    <n v="58"/>
    <s v="Yes"/>
    <s v="Email"/>
    <n v="26"/>
    <n v="1.0789121711992866E-2"/>
    <n v="6.8476977567886663E-2"/>
    <n v="1.9170011806375444"/>
    <n v="27.994827586206899"/>
    <n v="7"/>
    <x v="1"/>
    <s v="July"/>
  </r>
  <r>
    <s v="CMP-00845"/>
    <s v="Q4_Launch_CMP-00845"/>
    <x v="2"/>
    <s v="Launch"/>
    <d v="2023-07-16T00:00:00"/>
    <d v="2023-07-20T00:00:00"/>
    <x v="1"/>
    <n v="20198"/>
    <n v="337"/>
    <n v="373.09"/>
    <n v="35"/>
    <s v="No"/>
    <s v="Email"/>
    <n v="4"/>
    <n v="1.6684820279235568E-2"/>
    <n v="0.10385756676557864"/>
    <n v="1.1070919881305636"/>
    <n v="10.659714285714285"/>
    <n v="7"/>
    <x v="1"/>
    <s v="July"/>
  </r>
  <r>
    <s v="CMP-01564"/>
    <s v="Q4_Winstagramter_CMP-01564"/>
    <x v="2"/>
    <s v="Winstagramter"/>
    <d v="2023-07-16T00:00:00"/>
    <d v="2023-08-05T00:00:00"/>
    <x v="4"/>
    <n v="45547"/>
    <n v="1865"/>
    <n v="2961.49"/>
    <n v="226"/>
    <s v="Yes"/>
    <s v="Google Ads"/>
    <n v="20"/>
    <n v="4.0946714382945087E-2"/>
    <n v="0.12117962466487936"/>
    <n v="1.587930294906166"/>
    <n v="13.103938053097345"/>
    <n v="7"/>
    <x v="1"/>
    <s v="July"/>
  </r>
  <r>
    <s v="CMP-00642"/>
    <s v="Q1_Winstagramter_CMP-00642"/>
    <x v="3"/>
    <s v="Winstagramter"/>
    <d v="2023-07-16T00:00:00"/>
    <d v="2023-07-21T00:00:00"/>
    <x v="3"/>
    <n v="12174"/>
    <n v="462"/>
    <n v="623.39"/>
    <n v="79"/>
    <s v="Yes"/>
    <s v="FB"/>
    <n v="5"/>
    <n v="3.7949728930507638E-2"/>
    <n v="0.17099567099567101"/>
    <n v="1.3493290043290043"/>
    <n v="7.8910126582278481"/>
    <n v="7"/>
    <x v="1"/>
    <s v="July"/>
  </r>
  <r>
    <s v="CMP-01747"/>
    <s v="Q1_Launch_CMP-01747"/>
    <x v="3"/>
    <s v="Launch"/>
    <d v="2023-07-17T00:00:00"/>
    <d v="2023-08-14T00:00:00"/>
    <x v="3"/>
    <n v="37509"/>
    <n v="378"/>
    <n v="380.23"/>
    <n v="64"/>
    <s v="Yes"/>
    <s v="FB"/>
    <n v="28"/>
    <n v="1.0077581380468688E-2"/>
    <n v="0.1693121693121693"/>
    <n v="1.0058994708994708"/>
    <n v="5.9410937500000003"/>
    <n v="7"/>
    <x v="1"/>
    <s v="July"/>
  </r>
  <r>
    <s v="CMP-00568"/>
    <s v="Q2_Summer_CMP-00568"/>
    <x v="0"/>
    <s v="Summer"/>
    <d v="2023-07-17T00:00:00"/>
    <d v="2023-08-09T00:00:00"/>
    <x v="5"/>
    <n v="83745"/>
    <n v="3567"/>
    <n v="6564.68"/>
    <n v="312"/>
    <s v="Yes"/>
    <s v="Not specified"/>
    <n v="23"/>
    <n v="4.2593587676876231E-2"/>
    <n v="8.7468460891505465E-2"/>
    <n v="1.8403924866834875"/>
    <n v="21.040641025641026"/>
    <n v="7"/>
    <x v="1"/>
    <s v="July"/>
  </r>
  <r>
    <s v="CMP-01697"/>
    <s v="Q4_Winstagramter_CMP-01697"/>
    <x v="2"/>
    <s v="Winstagramter"/>
    <d v="2023-07-17T00:00:00"/>
    <d v="2023-08-01T00:00:00"/>
    <x v="3"/>
    <n v="70669"/>
    <n v="1287"/>
    <n v="1015.84"/>
    <n v="141"/>
    <s v="No"/>
    <s v="FB"/>
    <n v="15"/>
    <n v="1.8211662822453976E-2"/>
    <n v="0.10955710955710955"/>
    <n v="0.78930846930846932"/>
    <n v="7.2045390070921984"/>
    <n v="7"/>
    <x v="1"/>
    <s v="July"/>
  </r>
  <r>
    <s v="CMP-00375"/>
    <s v="Q1_Launch_CMP-00375"/>
    <x v="3"/>
    <s v="Launch"/>
    <d v="2023-07-18T00:00:00"/>
    <d v="2023-07-19T00:00:00"/>
    <x v="5"/>
    <n v="86314"/>
    <n v="4096"/>
    <n v="3864.5"/>
    <n v="716"/>
    <s v="No"/>
    <s v="Not specified"/>
    <n v="1"/>
    <n v="4.7454642352341453E-2"/>
    <n v="0.1748046875"/>
    <n v="0.9434814453125"/>
    <n v="5.397346368715084"/>
    <n v="7"/>
    <x v="1"/>
    <s v="July"/>
  </r>
  <r>
    <s v="CMP-01252"/>
    <s v="Q1_Launch_CMP-01252"/>
    <x v="3"/>
    <s v="Launch"/>
    <d v="2023-07-18T00:00:00"/>
    <d v="2023-08-13T00:00:00"/>
    <x v="1"/>
    <n v="38148"/>
    <n v="1540"/>
    <n v="963.4"/>
    <n v="193"/>
    <s v="Yes"/>
    <s v="Email"/>
    <n v="26"/>
    <n v="4.0369088811995385E-2"/>
    <n v="0.12532467532467531"/>
    <n v="0.62558441558441558"/>
    <n v="4.9917098445595851"/>
    <n v="7"/>
    <x v="1"/>
    <s v="July"/>
  </r>
  <r>
    <s v="CMP-00551"/>
    <s v="Q2_Summer_CMP-00551"/>
    <x v="0"/>
    <s v="Summer"/>
    <d v="2023-07-18T00:00:00"/>
    <d v="2023-08-17T00:00:00"/>
    <x v="4"/>
    <n v="39494"/>
    <n v="562"/>
    <n v="361.7"/>
    <n v="32"/>
    <s v="No"/>
    <s v="Google Ads"/>
    <n v="30"/>
    <n v="1.423000962171469E-2"/>
    <n v="5.6939501779359428E-2"/>
    <n v="0.64359430604982204"/>
    <n v="11.303125"/>
    <n v="7"/>
    <x v="1"/>
    <s v="July"/>
  </r>
  <r>
    <s v="CMP-01184"/>
    <s v="Q2_Summer_CMP-01184"/>
    <x v="0"/>
    <s v="Summer"/>
    <d v="2023-07-18T00:00:00"/>
    <d v="2023-07-28T00:00:00"/>
    <x v="3"/>
    <n v="91474"/>
    <n v="1851"/>
    <n v="1094.5899999999999"/>
    <n v="0"/>
    <s v="No"/>
    <s v="FB"/>
    <n v="10"/>
    <n v="2.0235258106128518E-2"/>
    <n v="0"/>
    <n v="0.59135062128579141"/>
    <s v="0"/>
    <n v="7"/>
    <x v="1"/>
    <s v="July"/>
  </r>
  <r>
    <s v="CMP-01499"/>
    <s v="Q4_Launch_CMP-01499"/>
    <x v="2"/>
    <s v="Launch"/>
    <d v="2023-07-18T00:00:00"/>
    <d v="2023-08-10T00:00:00"/>
    <x v="3"/>
    <n v="91327"/>
    <n v="3865"/>
    <n v="5996.17"/>
    <n v="493"/>
    <s v="No"/>
    <s v="FB"/>
    <n v="23"/>
    <n v="4.2320452878119287E-2"/>
    <n v="0.12755498059508408"/>
    <n v="1.5514023285899095"/>
    <n v="12.162616632860042"/>
    <n v="7"/>
    <x v="1"/>
    <s v="July"/>
  </r>
  <r>
    <s v="CMP-00844"/>
    <s v="Q3_Launch_CMP-00844"/>
    <x v="1"/>
    <s v="Launch"/>
    <d v="2023-07-19T00:00:00"/>
    <d v="2023-08-13T00:00:00"/>
    <x v="4"/>
    <n v="54871"/>
    <n v="2044"/>
    <n v="4016.85"/>
    <n v="0"/>
    <s v="Yes"/>
    <s v="Google Ads"/>
    <n v="25"/>
    <n v="3.7251006907109405E-2"/>
    <n v="0"/>
    <n v="1.9651908023483367"/>
    <s v="0"/>
    <n v="7"/>
    <x v="1"/>
    <s v="July"/>
  </r>
  <r>
    <s v="CMP-01452"/>
    <s v="Q1_Winstagramter_CMP-01452"/>
    <x v="3"/>
    <s v="Winstagramter"/>
    <d v="2023-07-20T00:00:00"/>
    <d v="2023-08-02T00:00:00"/>
    <x v="0"/>
    <n v="22792"/>
    <n v="1046"/>
    <n v="1366.47"/>
    <n v="73"/>
    <s v="Yes"/>
    <s v="TikTok"/>
    <n v="13"/>
    <n v="4.5893295893295896E-2"/>
    <n v="6.9789674952198857E-2"/>
    <n v="1.3063766730401529"/>
    <n v="18.718767123287673"/>
    <n v="7"/>
    <x v="1"/>
    <s v="July"/>
  </r>
  <r>
    <s v="CMP-01693"/>
    <s v="Q1_BlackFriday_CMP-01693"/>
    <x v="3"/>
    <s v="BlackFriday"/>
    <d v="2023-07-20T00:00:00"/>
    <d v="2023-08-13T00:00:00"/>
    <x v="3"/>
    <n v="51106"/>
    <n v="682"/>
    <n v="1096.73"/>
    <n v="109"/>
    <s v="Yes"/>
    <s v="FB"/>
    <n v="24"/>
    <n v="1.334481274214378E-2"/>
    <n v="0.15982404692082111"/>
    <n v="1.608108504398827"/>
    <n v="10.061743119266055"/>
    <n v="7"/>
    <x v="1"/>
    <s v="July"/>
  </r>
  <r>
    <s v="CMP-01974"/>
    <s v="Q3_Winstagramter_CMP-01974"/>
    <x v="1"/>
    <s v="Winstagramter"/>
    <d v="2023-07-20T00:00:00"/>
    <d v="2023-08-08T00:00:00"/>
    <x v="5"/>
    <n v="67435"/>
    <n v="3216"/>
    <n v="2147.9699999999998"/>
    <n v="302"/>
    <s v="Yes"/>
    <s v="Not specified"/>
    <n v="19"/>
    <n v="4.7690368503002893E-2"/>
    <n v="9.3905472636815923E-2"/>
    <n v="0.66790111940298502"/>
    <n v="7.1124834437086086"/>
    <n v="7"/>
    <x v="1"/>
    <s v="July"/>
  </r>
  <r>
    <s v="CMP-00882"/>
    <s v="Q1_BlackFriday_CMP-00882"/>
    <x v="3"/>
    <s v="BlackFriday"/>
    <d v="2023-07-21T00:00:00"/>
    <d v="2023-07-31T00:00:00"/>
    <x v="1"/>
    <n v="56123"/>
    <n v="2415"/>
    <n v="4222.93"/>
    <n v="367"/>
    <s v="No"/>
    <s v="Email"/>
    <n v="10"/>
    <n v="4.3030486609767833E-2"/>
    <n v="0.15196687370600415"/>
    <n v="1.748625258799172"/>
    <n v="11.506621253405996"/>
    <n v="7"/>
    <x v="1"/>
    <s v="July"/>
  </r>
  <r>
    <s v="CMP-01168"/>
    <s v="Q1_Launch_CMP-01168"/>
    <x v="3"/>
    <s v="Launch"/>
    <d v="2023-07-21T00:00:00"/>
    <d v="2023-07-23T00:00:00"/>
    <x v="3"/>
    <n v="65772"/>
    <n v="1610"/>
    <n v="1120.17"/>
    <n v="295"/>
    <s v="Yes"/>
    <s v="FB"/>
    <n v="2"/>
    <n v="2.4478501489995742E-2"/>
    <n v="0.18322981366459629"/>
    <n v="0.69575776397515532"/>
    <n v="3.7971864406779665"/>
    <n v="7"/>
    <x v="1"/>
    <s v="July"/>
  </r>
  <r>
    <s v="CMP-01785"/>
    <s v="Q1_Summer_CMP-01785"/>
    <x v="3"/>
    <s v="Summer"/>
    <d v="2023-07-21T00:00:00"/>
    <d v="2023-07-23T00:00:00"/>
    <x v="3"/>
    <n v="73595"/>
    <n v="1336"/>
    <n v="1238.3399999999999"/>
    <n v="204"/>
    <s v="No"/>
    <s v="FB"/>
    <n v="2"/>
    <n v="1.8153407160812554E-2"/>
    <n v="0.15269461077844312"/>
    <n v="0.92690119760479039"/>
    <n v="6.0702941176470588"/>
    <n v="7"/>
    <x v="1"/>
    <s v="July"/>
  </r>
  <r>
    <s v="CMP-00756"/>
    <s v="Q4_Winstagramter_CMP-00756"/>
    <x v="2"/>
    <s v="Winstagramter"/>
    <d v="2023-07-21T00:00:00"/>
    <d v="2023-08-15T00:00:00"/>
    <x v="2"/>
    <n v="39088"/>
    <n v="832"/>
    <n v="1229.99"/>
    <n v="64"/>
    <s v="Yes"/>
    <s v="IG"/>
    <n v="25"/>
    <n v="2.1285304952926729E-2"/>
    <n v="7.6923076923076927E-2"/>
    <n v="1.4783533653846155"/>
    <n v="19.21859375"/>
    <n v="7"/>
    <x v="1"/>
    <s v="July"/>
  </r>
  <r>
    <s v="CMP-01073"/>
    <s v="Q4_BlackFriday_CMP-01073"/>
    <x v="2"/>
    <s v="BlackFriday"/>
    <d v="2023-07-21T00:00:00"/>
    <d v="2023-07-28T00:00:00"/>
    <x v="3"/>
    <n v="84524"/>
    <n v="2149"/>
    <n v="3513.91"/>
    <n v="284"/>
    <s v="Yes"/>
    <s v="FB"/>
    <n v="7"/>
    <n v="2.5424731437224929E-2"/>
    <n v="0.1321544904606794"/>
    <n v="1.6351372731503024"/>
    <n v="12.372922535211266"/>
    <n v="7"/>
    <x v="1"/>
    <s v="July"/>
  </r>
  <r>
    <s v="CMP-00449"/>
    <s v="Q1_Winstagramter_CMP-00449"/>
    <x v="3"/>
    <s v="Winstagramter"/>
    <d v="2023-07-22T00:00:00"/>
    <d v="2023-08-01T00:00:00"/>
    <x v="1"/>
    <n v="74523"/>
    <n v="3156"/>
    <n v="5710.87"/>
    <n v="374"/>
    <s v="No"/>
    <s v="Email"/>
    <n v="10"/>
    <n v="4.2349341813936639E-2"/>
    <n v="0.1185044359949303"/>
    <n v="1.8095278833967046"/>
    <n v="15.269705882352941"/>
    <n v="7"/>
    <x v="1"/>
    <s v="July"/>
  </r>
  <r>
    <s v="CMP-01644"/>
    <s v="Q1_BlackFriday_CMP-01644"/>
    <x v="3"/>
    <s v="BlackFriday"/>
    <d v="2023-07-22T00:00:00"/>
    <d v="2023-08-18T00:00:00"/>
    <x v="4"/>
    <n v="41042"/>
    <n v="1242"/>
    <n v="2413.4"/>
    <n v="169"/>
    <s v="Yes"/>
    <s v="Google Ads"/>
    <n v="27"/>
    <n v="3.0261683153842405E-2"/>
    <n v="0.1360708534621578"/>
    <n v="1.943156199677939"/>
    <n v="14.280473372781065"/>
    <n v="7"/>
    <x v="1"/>
    <s v="July"/>
  </r>
  <r>
    <s v="CMP-01793"/>
    <s v="Q1_Launch_CMP-01793"/>
    <x v="3"/>
    <s v="Launch"/>
    <d v="2023-07-22T00:00:00"/>
    <d v="2023-08-05T00:00:00"/>
    <x v="5"/>
    <n v="10077"/>
    <n v="131"/>
    <n v="84.29"/>
    <n v="21"/>
    <s v="No"/>
    <s v="Not specified"/>
    <n v="14"/>
    <n v="1.2999900764116305E-2"/>
    <n v="0.16030534351145037"/>
    <n v="0.64343511450381685"/>
    <n v="4.0138095238095239"/>
    <n v="7"/>
    <x v="1"/>
    <s v="July"/>
  </r>
  <r>
    <s v="CMP-01132"/>
    <s v="Q3_BlackFriday_CMP-01132"/>
    <x v="1"/>
    <s v="BlackFriday"/>
    <d v="2023-07-22T00:00:00"/>
    <d v="2023-08-19T00:00:00"/>
    <x v="3"/>
    <n v="84122"/>
    <n v="3473"/>
    <n v="5256.88"/>
    <n v="685"/>
    <s v="Yes"/>
    <s v="FB"/>
    <n v="28"/>
    <n v="4.128527614654906E-2"/>
    <n v="0.19723581917650446"/>
    <n v="1.5136423841059603"/>
    <n v="7.6742773722627735"/>
    <n v="7"/>
    <x v="1"/>
    <s v="July"/>
  </r>
  <r>
    <s v="CMP-00464"/>
    <s v="Q4_Launch_CMP-00464"/>
    <x v="2"/>
    <s v="Launch"/>
    <d v="2023-07-22T00:00:00"/>
    <d v="2023-08-01T00:00:00"/>
    <x v="4"/>
    <n v="52990"/>
    <n v="2624"/>
    <n v="4837.47"/>
    <n v="398"/>
    <s v="Yes"/>
    <s v="Google Ads"/>
    <n v="10"/>
    <n v="4.9518777127759955E-2"/>
    <n v="0.15167682926829268"/>
    <n v="1.8435480182926831"/>
    <n v="12.154447236180905"/>
    <n v="7"/>
    <x v="1"/>
    <s v="July"/>
  </r>
  <r>
    <s v="CMP-00874"/>
    <s v="Q4_Winstagramter_CMP-00874"/>
    <x v="2"/>
    <s v="Winstagramter"/>
    <d v="2023-07-22T00:00:00"/>
    <d v="2023-08-04T00:00:00"/>
    <x v="1"/>
    <n v="71390"/>
    <n v="2081"/>
    <n v="1746.06"/>
    <n v="383"/>
    <s v="Yes"/>
    <s v="Email"/>
    <n v="13"/>
    <n v="2.9149740860064433E-2"/>
    <n v="0.18404613166746756"/>
    <n v="0.83904853435848148"/>
    <n v="4.5589033942558741"/>
    <n v="7"/>
    <x v="1"/>
    <s v="July"/>
  </r>
  <r>
    <s v="CMP-01097"/>
    <s v="Q4_Winstagramter_CMP-01097"/>
    <x v="2"/>
    <s v="Winstagramter"/>
    <d v="2023-07-22T00:00:00"/>
    <d v="2023-07-25T00:00:00"/>
    <x v="1"/>
    <n v="24930"/>
    <n v="378"/>
    <n v="254.07"/>
    <n v="24"/>
    <s v="Yes"/>
    <s v="Email"/>
    <n v="3"/>
    <n v="1.516245487364621E-2"/>
    <n v="6.3492063492063489E-2"/>
    <n v="0.67214285714285715"/>
    <n v="10.58625"/>
    <n v="7"/>
    <x v="1"/>
    <s v="July"/>
  </r>
  <r>
    <s v="CMP-00850"/>
    <s v="Q1_BlackFriday_CMP-00850"/>
    <x v="3"/>
    <s v="BlackFriday"/>
    <d v="2023-07-23T00:00:00"/>
    <d v="2023-08-21T00:00:00"/>
    <x v="5"/>
    <n v="40764"/>
    <n v="962"/>
    <n v="942.8"/>
    <n v="130"/>
    <s v="Yes"/>
    <s v="Not specified"/>
    <n v="29"/>
    <n v="2.3599254243940732E-2"/>
    <n v="0.13513513513513514"/>
    <n v="0.98004158004158004"/>
    <n v="7.2523076923076921"/>
    <n v="7"/>
    <x v="1"/>
    <s v="July"/>
  </r>
  <r>
    <s v="CMP-01652"/>
    <s v="Q2_Summer_CMP-01652"/>
    <x v="0"/>
    <s v="Summer"/>
    <d v="2023-07-23T00:00:00"/>
    <d v="2023-07-29T00:00:00"/>
    <x v="4"/>
    <n v="74781"/>
    <n v="3270"/>
    <n v="1743.33"/>
    <n v="493"/>
    <s v="No"/>
    <s v="Google Ads"/>
    <n v="6"/>
    <n v="4.3727684839732016E-2"/>
    <n v="0.15076452599388379"/>
    <n v="0.53312844036697249"/>
    <n v="3.5361663286004057"/>
    <n v="7"/>
    <x v="1"/>
    <s v="July"/>
  </r>
  <r>
    <s v="CMP-01761"/>
    <s v="Q2_Summer_CMP-01761"/>
    <x v="0"/>
    <s v="Summer"/>
    <d v="2023-07-23T00:00:00"/>
    <d v="2023-07-31T00:00:00"/>
    <x v="3"/>
    <n v="67672"/>
    <n v="3211"/>
    <n v="3851.21"/>
    <n v="178"/>
    <s v="Yes"/>
    <s v="FB"/>
    <n v="8"/>
    <n v="4.7449462111360682E-2"/>
    <n v="5.5434444098411709E-2"/>
    <n v="1.1993802553721582"/>
    <n v="21.636011235955056"/>
    <n v="7"/>
    <x v="1"/>
    <s v="July"/>
  </r>
  <r>
    <s v="CMP-00707"/>
    <s v="Q3_Launch_CMP-00707"/>
    <x v="1"/>
    <s v="Launch"/>
    <d v="2023-07-23T00:00:00"/>
    <d v="2023-08-19T00:00:00"/>
    <x v="4"/>
    <n v="81219"/>
    <n v="3954"/>
    <n v="4969.8999999999996"/>
    <n v="360"/>
    <s v="Yes"/>
    <s v="Google Ads"/>
    <n v="27"/>
    <n v="4.8683189893990321E-2"/>
    <n v="9.1047040971168433E-2"/>
    <n v="1.2569296914516943"/>
    <n v="13.805277777777777"/>
    <n v="7"/>
    <x v="1"/>
    <s v="July"/>
  </r>
  <r>
    <s v="CMP-00826"/>
    <s v="Q3_Launch_CMP-00826"/>
    <x v="1"/>
    <s v="Launch"/>
    <d v="2023-07-23T00:00:00"/>
    <d v="2023-08-12T00:00:00"/>
    <x v="3"/>
    <n v="46543"/>
    <n v="627"/>
    <n v="834.87"/>
    <n v="78"/>
    <s v="Yes"/>
    <s v="FB"/>
    <n v="20"/>
    <n v="1.3471413531572954E-2"/>
    <n v="0.12440191387559808"/>
    <n v="1.3315311004784689"/>
    <n v="10.703461538461539"/>
    <n v="7"/>
    <x v="1"/>
    <s v="July"/>
  </r>
  <r>
    <s v="CMP-01175"/>
    <s v="Q3_Summer_CMP-01175"/>
    <x v="1"/>
    <s v="Summer"/>
    <d v="2023-07-23T00:00:00"/>
    <d v="2023-08-18T00:00:00"/>
    <x v="3"/>
    <n v="76683"/>
    <n v="3240"/>
    <n v="3170.56"/>
    <n v="570"/>
    <s v="Yes"/>
    <s v="FB"/>
    <n v="26"/>
    <n v="4.2251868080278553E-2"/>
    <n v="0.17592592592592593"/>
    <n v="0.97856790123456794"/>
    <n v="5.5623859649122807"/>
    <n v="7"/>
    <x v="1"/>
    <s v="July"/>
  </r>
  <r>
    <s v="CMP-01241"/>
    <s v="Q3_Summer_CMP-01241"/>
    <x v="1"/>
    <s v="Summer"/>
    <d v="2023-07-23T00:00:00"/>
    <d v="2023-08-06T00:00:00"/>
    <x v="2"/>
    <n v="37368"/>
    <n v="810"/>
    <n v="434.91"/>
    <n v="81"/>
    <s v="No"/>
    <s v="IG"/>
    <n v="14"/>
    <n v="2.1676300578034682E-2"/>
    <n v="0.1"/>
    <n v="0.53692592592592592"/>
    <n v="5.3692592592592598"/>
    <n v="7"/>
    <x v="1"/>
    <s v="July"/>
  </r>
  <r>
    <s v="CMP-00795"/>
    <s v="Q4_BlackFriday_CMP-00795"/>
    <x v="2"/>
    <s v="BlackFriday"/>
    <d v="2023-07-23T00:00:00"/>
    <d v="2023-08-02T00:00:00"/>
    <x v="2"/>
    <n v="9702"/>
    <n v="480"/>
    <n v="955.98"/>
    <n v="51"/>
    <s v="No"/>
    <s v="IG"/>
    <n v="10"/>
    <n v="4.9474335188620905E-2"/>
    <n v="0.10625"/>
    <n v="1.991625"/>
    <n v="18.744705882352942"/>
    <n v="7"/>
    <x v="1"/>
    <s v="July"/>
  </r>
  <r>
    <s v="CMP-00133"/>
    <s v="Q1_BlackFriday_CMP-00133"/>
    <x v="3"/>
    <s v="BlackFriday"/>
    <d v="2023-07-24T00:00:00"/>
    <d v="2023-08-10T00:00:00"/>
    <x v="3"/>
    <n v="9110"/>
    <n v="334"/>
    <n v="444.9"/>
    <n v="38"/>
    <s v="Yes"/>
    <s v="FB"/>
    <n v="17"/>
    <n v="3.6663007683863887E-2"/>
    <n v="0.11377245508982035"/>
    <n v="1.3320359281437124"/>
    <n v="11.707894736842105"/>
    <n v="7"/>
    <x v="1"/>
    <s v="July"/>
  </r>
  <r>
    <s v="CMP-00567"/>
    <s v="Q1_Summer_CMP-00567"/>
    <x v="3"/>
    <s v="Summer"/>
    <d v="2023-07-24T00:00:00"/>
    <d v="2023-07-25T00:00:00"/>
    <x v="5"/>
    <n v="4267"/>
    <n v="169"/>
    <n v="197.03"/>
    <n v="13"/>
    <s v="Yes"/>
    <s v="Not specified"/>
    <n v="1"/>
    <n v="3.960628075931568E-2"/>
    <n v="7.6923076923076927E-2"/>
    <n v="1.1658579881656805"/>
    <n v="15.156153846153845"/>
    <n v="7"/>
    <x v="1"/>
    <s v="July"/>
  </r>
  <r>
    <s v="CMP-00633"/>
    <s v="Q3_Winstagramter_CMP-00633"/>
    <x v="1"/>
    <s v="Winstagramter"/>
    <d v="2023-07-24T00:00:00"/>
    <d v="2023-08-13T00:00:00"/>
    <x v="3"/>
    <n v="88508"/>
    <n v="3313"/>
    <n v="1704.64"/>
    <n v="585"/>
    <s v="Yes"/>
    <s v="FB"/>
    <n v="20"/>
    <n v="3.7431644597098565E-2"/>
    <n v="0.17657712043465137"/>
    <n v="0.51453063688499856"/>
    <n v="2.9139145299145301"/>
    <n v="7"/>
    <x v="1"/>
    <s v="July"/>
  </r>
  <r>
    <s v="CMP-01772"/>
    <s v="Q3_Launch_CMP-01772"/>
    <x v="1"/>
    <s v="Launch"/>
    <d v="2023-07-24T00:00:00"/>
    <d v="2023-07-31T00:00:00"/>
    <x v="3"/>
    <n v="48517"/>
    <n v="1119"/>
    <n v="1594.65"/>
    <n v="0"/>
    <s v="No"/>
    <s v="FB"/>
    <n v="7"/>
    <n v="2.3064080631531217E-2"/>
    <n v="0"/>
    <n v="1.4250670241286865"/>
    <s v="0"/>
    <n v="7"/>
    <x v="1"/>
    <s v="July"/>
  </r>
  <r>
    <s v="CMP-00163"/>
    <s v="Q4_BlackFriday_CMP-00163"/>
    <x v="2"/>
    <s v="BlackFriday"/>
    <d v="2023-07-24T00:00:00"/>
    <d v="2023-08-13T00:00:00"/>
    <x v="5"/>
    <n v="43557"/>
    <n v="1386"/>
    <n v="2596.6799999999998"/>
    <n v="151"/>
    <s v="Yes"/>
    <s v="Not specified"/>
    <n v="20"/>
    <n v="3.1820373303946554E-2"/>
    <n v="0.10894660894660894"/>
    <n v="1.8735064935064933"/>
    <n v="17.196556291390728"/>
    <n v="7"/>
    <x v="1"/>
    <s v="July"/>
  </r>
  <r>
    <s v="CMP-01753"/>
    <s v="Q1_BlackFriday_CMP-01753"/>
    <x v="3"/>
    <s v="BlackFriday"/>
    <d v="2023-07-25T00:00:00"/>
    <d v="2023-08-15T00:00:00"/>
    <x v="3"/>
    <n v="93124"/>
    <n v="4429"/>
    <n v="7198.14"/>
    <n v="0"/>
    <s v="No"/>
    <s v="FB"/>
    <n v="21"/>
    <n v="4.7560242257634978E-2"/>
    <n v="0"/>
    <n v="1.6252291713705127"/>
    <s v="0"/>
    <n v="7"/>
    <x v="1"/>
    <s v="July"/>
  </r>
  <r>
    <s v="CMP-00283"/>
    <s v="Q3_Launch_CMP-00283"/>
    <x v="1"/>
    <s v="Launch"/>
    <d v="2023-07-25T00:00:00"/>
    <d v="2023-07-28T00:00:00"/>
    <x v="2"/>
    <n v="30855"/>
    <n v="1040"/>
    <n v="1099.02"/>
    <n v="0"/>
    <s v="No"/>
    <s v="IG"/>
    <n v="3"/>
    <n v="3.3706044401231566E-2"/>
    <n v="0"/>
    <n v="1.0567500000000001"/>
    <s v="0"/>
    <n v="7"/>
    <x v="1"/>
    <s v="July"/>
  </r>
  <r>
    <s v="CMP-01618"/>
    <s v="Q3_Winstagramter_CMP-01618"/>
    <x v="1"/>
    <s v="Winstagramter"/>
    <d v="2023-07-25T00:00:00"/>
    <d v="2023-08-03T00:00:00"/>
    <x v="5"/>
    <n v="81688"/>
    <n v="3367"/>
    <n v="4720.79"/>
    <n v="613"/>
    <s v="Yes"/>
    <s v="Not specified"/>
    <n v="9"/>
    <n v="4.1217804328665168E-2"/>
    <n v="0.18206118206118205"/>
    <n v="1.4020760320760322"/>
    <n v="7.701125611745514"/>
    <n v="7"/>
    <x v="1"/>
    <s v="July"/>
  </r>
  <r>
    <s v="CMP-00028"/>
    <s v="Q4_Summer_CMP-00028"/>
    <x v="2"/>
    <s v="Summer"/>
    <d v="2023-07-25T00:00:00"/>
    <d v="2023-08-08T00:00:00"/>
    <x v="1"/>
    <n v="85478"/>
    <n v="2898"/>
    <n v="3990.55"/>
    <n v="187"/>
    <s v="Yes"/>
    <s v="Email"/>
    <n v="14"/>
    <n v="3.3903460539554037E-2"/>
    <n v="6.4527260179434096E-2"/>
    <n v="1.3770013802622498"/>
    <n v="21.339839572192513"/>
    <n v="7"/>
    <x v="1"/>
    <s v="July"/>
  </r>
  <r>
    <s v="CMP-00961"/>
    <s v="Q2_Summer_CMP-00961"/>
    <x v="0"/>
    <s v="Summer"/>
    <d v="2023-07-25T00:00:00"/>
    <d v="2023-07-30T00:00:00"/>
    <x v="5"/>
    <n v="36854"/>
    <n v="1286"/>
    <n v="1133.47"/>
    <n v="80"/>
    <s v="No"/>
    <s v="Not specified"/>
    <n v="5"/>
    <n v="3.4894448363813967E-2"/>
    <n v="6.2208398133748059E-2"/>
    <n v="0.88139191290824259"/>
    <n v="14.168375000000001"/>
    <n v="7"/>
    <x v="1"/>
    <s v="July"/>
  </r>
  <r>
    <s v="CMP-00718"/>
    <s v="Q2_BlackFriday_CMP-00718"/>
    <x v="0"/>
    <s v="BlackFriday"/>
    <d v="2023-07-25T00:00:00"/>
    <d v="2023-08-07T00:00:00"/>
    <x v="4"/>
    <n v="21559"/>
    <n v="683"/>
    <n v="975.43"/>
    <n v="121"/>
    <s v="No"/>
    <s v="Google Ads"/>
    <n v="13"/>
    <n v="3.1680504661626238E-2"/>
    <n v="0.17715959004392387"/>
    <n v="1.4281551976573938"/>
    <n v="8.0614049586776861"/>
    <n v="7"/>
    <x v="1"/>
    <s v="July"/>
  </r>
  <r>
    <s v="CMP-00286"/>
    <s v="Q2_BlackFriday_CMP-00286"/>
    <x v="0"/>
    <s v="BlackFriday"/>
    <d v="2023-07-26T00:00:00"/>
    <d v="2023-07-31T00:00:00"/>
    <x v="2"/>
    <n v="44016"/>
    <n v="1244"/>
    <n v="2373.98"/>
    <n v="0"/>
    <s v="Yes"/>
    <s v="IG"/>
    <n v="5"/>
    <n v="2.8262450018175209E-2"/>
    <n v="0"/>
    <n v="1.9083440514469454"/>
    <s v="0"/>
    <n v="7"/>
    <x v="1"/>
    <s v="July"/>
  </r>
  <r>
    <s v="CMP-01289"/>
    <s v="Q2_BlackFriday_CMP-01289"/>
    <x v="0"/>
    <s v="BlackFriday"/>
    <d v="2023-07-26T00:00:00"/>
    <d v="2023-08-11T00:00:00"/>
    <x v="3"/>
    <n v="19449"/>
    <n v="295"/>
    <n v="362.4"/>
    <n v="40"/>
    <s v="Yes"/>
    <s v="FB"/>
    <n v="16"/>
    <n v="1.5167874955010541E-2"/>
    <n v="0.13559322033898305"/>
    <n v="1.2284745762711864"/>
    <n v="9.0599999999999987"/>
    <n v="7"/>
    <x v="1"/>
    <s v="July"/>
  </r>
  <r>
    <s v="CMP-01351"/>
    <s v="Q2_Winstagramter_CMP-01351"/>
    <x v="0"/>
    <s v="Winstagramter"/>
    <d v="2023-07-26T00:00:00"/>
    <d v="2023-08-04T00:00:00"/>
    <x v="3"/>
    <n v="42874"/>
    <n v="1769"/>
    <n v="3173.13"/>
    <n v="0"/>
    <s v="No"/>
    <s v="FB"/>
    <n v="9"/>
    <n v="4.1260437561225917E-2"/>
    <n v="0"/>
    <n v="1.7937422272470323"/>
    <s v="0"/>
    <n v="7"/>
    <x v="1"/>
    <s v="July"/>
  </r>
  <r>
    <s v="CMP-00968"/>
    <s v="Q3_BlackFriday_CMP-00968"/>
    <x v="1"/>
    <s v="BlackFriday"/>
    <d v="2023-07-26T00:00:00"/>
    <d v="2023-08-25T00:00:00"/>
    <x v="1"/>
    <n v="51448"/>
    <n v="616"/>
    <n v="1119.98"/>
    <n v="57"/>
    <s v="No"/>
    <s v="Email"/>
    <n v="30"/>
    <n v="1.1973254548281759E-2"/>
    <n v="9.2532467532467536E-2"/>
    <n v="1.8181493506493507"/>
    <n v="19.648771929824562"/>
    <n v="7"/>
    <x v="1"/>
    <s v="July"/>
  </r>
  <r>
    <s v="CMP-01419"/>
    <s v="Q3_Summer_CMP-01419"/>
    <x v="1"/>
    <s v="Summer"/>
    <d v="2023-07-26T00:00:00"/>
    <d v="2023-08-03T00:00:00"/>
    <x v="4"/>
    <n v="48924"/>
    <n v="1029"/>
    <n v="938.2"/>
    <n v="118"/>
    <s v="Yes"/>
    <s v="Google Ads"/>
    <n v="8"/>
    <n v="2.1032622025999509E-2"/>
    <n v="0.11467444120505345"/>
    <n v="0.91175898931000976"/>
    <n v="7.9508474576271189"/>
    <n v="7"/>
    <x v="1"/>
    <s v="July"/>
  </r>
  <r>
    <s v="CMP-00726"/>
    <s v="Q3_BlackFriday_CMP-00726"/>
    <x v="1"/>
    <s v="BlackFriday"/>
    <d v="2023-07-27T00:00:00"/>
    <d v="2023-08-26T00:00:00"/>
    <x v="0"/>
    <n v="14843"/>
    <n v="542"/>
    <n v="351.93"/>
    <n v="74"/>
    <s v="No"/>
    <s v="TikTok"/>
    <n v="30"/>
    <n v="3.6515529205686181E-2"/>
    <n v="0.13653136531365315"/>
    <n v="0.6493173431734317"/>
    <n v="4.7558108108108108"/>
    <n v="7"/>
    <x v="1"/>
    <s v="July"/>
  </r>
  <r>
    <s v="CMP-00827"/>
    <s v="Q4_Launch_CMP-00827"/>
    <x v="2"/>
    <s v="Launch"/>
    <d v="2023-07-27T00:00:00"/>
    <d v="2023-08-15T00:00:00"/>
    <x v="3"/>
    <n v="93193"/>
    <n v="3612"/>
    <n v="2609.04"/>
    <n v="549"/>
    <s v="No"/>
    <s v="FB"/>
    <n v="19"/>
    <n v="3.8758275836167949E-2"/>
    <n v="0.15199335548172757"/>
    <n v="0.72232558139534886"/>
    <n v="4.7523497267759565"/>
    <n v="7"/>
    <x v="1"/>
    <s v="July"/>
  </r>
  <r>
    <s v="CMP-00915"/>
    <s v="Q4_Summer_CMP-00915"/>
    <x v="2"/>
    <s v="Summer"/>
    <d v="2023-07-27T00:00:00"/>
    <d v="2023-08-20T00:00:00"/>
    <x v="5"/>
    <n v="40749"/>
    <n v="843"/>
    <n v="1276.43"/>
    <n v="0"/>
    <s v="No"/>
    <s v="Not specified"/>
    <n v="24"/>
    <n v="2.0687624236177576E-2"/>
    <n v="0"/>
    <n v="1.5141518386714117"/>
    <s v="0"/>
    <n v="7"/>
    <x v="1"/>
    <s v="July"/>
  </r>
  <r>
    <s v="CMP-00180"/>
    <s v="Q3_Summer_CMP-00180"/>
    <x v="1"/>
    <s v="Summer"/>
    <d v="2023-07-28T00:00:00"/>
    <d v="2023-08-27T00:00:00"/>
    <x v="3"/>
    <n v="31080"/>
    <n v="903"/>
    <n v="1725.78"/>
    <n v="52"/>
    <s v="No"/>
    <s v="FB"/>
    <n v="30"/>
    <n v="2.9054054054054056E-2"/>
    <n v="5.7585825027685493E-2"/>
    <n v="1.9111627906976745"/>
    <n v="33.18807692307692"/>
    <n v="7"/>
    <x v="1"/>
    <s v="July"/>
  </r>
  <r>
    <s v="CMP-00228"/>
    <s v="Q3_Winstagramter_CMP-00228"/>
    <x v="1"/>
    <s v="Winstagramter"/>
    <d v="2023-07-28T00:00:00"/>
    <d v="2023-08-01T00:00:00"/>
    <x v="1"/>
    <n v="71467"/>
    <n v="2563"/>
    <n v="1293.58"/>
    <n v="323"/>
    <s v="No"/>
    <s v="Email"/>
    <n v="4"/>
    <n v="3.5862705864245038E-2"/>
    <n v="0.12602419040187279"/>
    <n v="0.50471322668747554"/>
    <n v="4.0048916408668731"/>
    <n v="7"/>
    <x v="1"/>
    <s v="July"/>
  </r>
  <r>
    <s v="CMP-01307"/>
    <s v="Q1_Summer_CMP-01307"/>
    <x v="3"/>
    <s v="Summer"/>
    <d v="2023-07-29T00:00:00"/>
    <d v="2023-08-11T00:00:00"/>
    <x v="0"/>
    <n v="79623"/>
    <n v="3584"/>
    <n v="4186.5200000000004"/>
    <n v="216"/>
    <s v="No"/>
    <s v="TikTok"/>
    <n v="13"/>
    <n v="4.5012119613679465E-2"/>
    <n v="6.0267857142857144E-2"/>
    <n v="1.1681138392857144"/>
    <n v="19.382037037037041"/>
    <n v="7"/>
    <x v="1"/>
    <s v="July"/>
  </r>
  <r>
    <s v="CMP-01544"/>
    <s v="Q1_Winstagramter_CMP-01544"/>
    <x v="3"/>
    <s v="Winstagramter"/>
    <d v="2023-07-29T00:00:00"/>
    <d v="2023-08-26T00:00:00"/>
    <x v="1"/>
    <n v="67150"/>
    <n v="2943"/>
    <n v="3352.07"/>
    <n v="470"/>
    <s v="No"/>
    <s v="Email"/>
    <n v="28"/>
    <n v="4.3827252419955325E-2"/>
    <n v="0.15970098538905877"/>
    <n v="1.1389976214746858"/>
    <n v="7.1320638297872341"/>
    <n v="7"/>
    <x v="1"/>
    <s v="July"/>
  </r>
  <r>
    <s v="CMP-01895"/>
    <s v="Q2_Launch_CMP-01895"/>
    <x v="0"/>
    <s v="Launch"/>
    <d v="2023-07-29T00:00:00"/>
    <d v="2023-08-24T00:00:00"/>
    <x v="1"/>
    <n v="50268"/>
    <n v="1196"/>
    <n v="1788.75"/>
    <n v="156"/>
    <s v="Yes"/>
    <s v="Email"/>
    <n v="26"/>
    <n v="2.3792472348213575E-2"/>
    <n v="0.13043478260869565"/>
    <n v="1.4956103678929766"/>
    <n v="11.466346153846153"/>
    <n v="7"/>
    <x v="1"/>
    <s v="July"/>
  </r>
  <r>
    <s v="CMP-01363"/>
    <s v="Q3_Launch_CMP-01363"/>
    <x v="1"/>
    <s v="Launch"/>
    <d v="2023-07-29T00:00:00"/>
    <d v="2023-08-05T00:00:00"/>
    <x v="0"/>
    <n v="15596"/>
    <n v="721"/>
    <n v="636.97"/>
    <n v="122"/>
    <s v="Yes"/>
    <s v="TikTok"/>
    <n v="7"/>
    <n v="4.6229802513464993E-2"/>
    <n v="0.16920943134535368"/>
    <n v="0.88345353675450766"/>
    <n v="5.2210655737704919"/>
    <n v="7"/>
    <x v="1"/>
    <s v="July"/>
  </r>
  <r>
    <s v="CMP-00887"/>
    <s v="Q4_Summer_CMP-00887"/>
    <x v="2"/>
    <s v="Summer"/>
    <d v="2023-07-29T00:00:00"/>
    <d v="2023-08-13T00:00:00"/>
    <x v="4"/>
    <n v="70836"/>
    <n v="2292"/>
    <n v="2162.5"/>
    <n v="150"/>
    <s v="Yes"/>
    <s v="Google Ads"/>
    <n v="15"/>
    <n v="3.2356428934440115E-2"/>
    <n v="6.5445026178010471E-2"/>
    <n v="0.94349912739965092"/>
    <n v="14.416666666666666"/>
    <n v="7"/>
    <x v="1"/>
    <s v="July"/>
  </r>
  <r>
    <s v="CMP-01731"/>
    <s v="Q4_Summer_CMP-01731"/>
    <x v="2"/>
    <s v="Summer"/>
    <d v="2023-07-29T00:00:00"/>
    <d v="2023-08-11T00:00:00"/>
    <x v="1"/>
    <n v="70274"/>
    <n v="3304"/>
    <n v="2330.1999999999998"/>
    <n v="365"/>
    <s v="Yes"/>
    <s v="Email"/>
    <n v="13"/>
    <n v="4.7015966075646752E-2"/>
    <n v="0.11047215496368039"/>
    <n v="0.70526634382566578"/>
    <n v="6.3841095890410955"/>
    <n v="7"/>
    <x v="1"/>
    <s v="July"/>
  </r>
  <r>
    <s v="CMP-00282"/>
    <s v="Q1_Winstagramter_CMP-00282"/>
    <x v="3"/>
    <s v="Winstagramter"/>
    <d v="2023-07-30T00:00:00"/>
    <d v="2023-08-15T00:00:00"/>
    <x v="3"/>
    <n v="21932"/>
    <n v="457"/>
    <n v="611.53"/>
    <n v="56"/>
    <s v="Yes"/>
    <s v="FB"/>
    <n v="16"/>
    <n v="2.0837132956410723E-2"/>
    <n v="0.12253829321663019"/>
    <n v="1.3381400437636761"/>
    <n v="10.92017857142857"/>
    <n v="7"/>
    <x v="1"/>
    <s v="July"/>
  </r>
  <r>
    <s v="CMP-01000"/>
    <s v="Q1_Winstagramter_CMP-01000"/>
    <x v="3"/>
    <s v="Winstagramter"/>
    <d v="2023-07-30T00:00:00"/>
    <d v="2023-08-13T00:00:00"/>
    <x v="1"/>
    <n v="29024"/>
    <n v="1292"/>
    <n v="2339.5700000000002"/>
    <n v="196"/>
    <s v="Yes"/>
    <s v="Email"/>
    <n v="14"/>
    <n v="4.4514884233737596E-2"/>
    <n v="0.15170278637770898"/>
    <n v="1.8108126934984521"/>
    <n v="11.936581632653063"/>
    <n v="7"/>
    <x v="1"/>
    <s v="July"/>
  </r>
  <r>
    <s v="CMP-00070"/>
    <s v="Q3_Summer_CMP-00070"/>
    <x v="1"/>
    <s v="Summer"/>
    <d v="2023-07-30T00:00:00"/>
    <d v="2023-08-22T00:00:00"/>
    <x v="1"/>
    <n v="73409"/>
    <n v="2460"/>
    <n v="3990.14"/>
    <n v="219"/>
    <s v="Yes"/>
    <s v="Email"/>
    <n v="23"/>
    <n v="3.3510877412851282E-2"/>
    <n v="8.9024390243902435E-2"/>
    <n v="1.6220081300813007"/>
    <n v="18.219817351598174"/>
    <n v="7"/>
    <x v="1"/>
    <s v="July"/>
  </r>
  <r>
    <s v="CMP-00332"/>
    <s v="Q3_Summer_CMP-00332"/>
    <x v="1"/>
    <s v="Summer"/>
    <d v="2023-07-30T00:00:00"/>
    <d v="2023-07-31T00:00:00"/>
    <x v="2"/>
    <n v="7893"/>
    <n v="376"/>
    <n v="452.14"/>
    <n v="47"/>
    <s v="No"/>
    <s v="IG"/>
    <n v="1"/>
    <n v="4.7637146838971238E-2"/>
    <n v="0.125"/>
    <n v="1.2024999999999999"/>
    <n v="9.6199999999999992"/>
    <n v="7"/>
    <x v="1"/>
    <s v="July"/>
  </r>
  <r>
    <s v="CMP-01333"/>
    <s v="Q3_Launch_CMP-01333"/>
    <x v="1"/>
    <s v="Launch"/>
    <d v="2023-07-30T00:00:00"/>
    <d v="2023-08-15T00:00:00"/>
    <x v="2"/>
    <n v="32821"/>
    <n v="1287"/>
    <n v="1237.8499999999999"/>
    <n v="133"/>
    <s v="No"/>
    <s v="IG"/>
    <n v="16"/>
    <n v="3.9212699186496454E-2"/>
    <n v="0.10334110334110334"/>
    <n v="0.96181041181041171"/>
    <n v="9.3071428571428569"/>
    <n v="7"/>
    <x v="1"/>
    <s v="July"/>
  </r>
  <r>
    <s v="CMP-00423"/>
    <s v="Q4_Summer_CMP-00423"/>
    <x v="2"/>
    <s v="Summer"/>
    <d v="2023-07-30T00:00:00"/>
    <d v="2023-08-24T00:00:00"/>
    <x v="2"/>
    <n v="23677"/>
    <n v="822"/>
    <n v="1344.95"/>
    <n v="0"/>
    <s v="Yes"/>
    <s v="IG"/>
    <n v="25"/>
    <n v="3.4717236136334838E-2"/>
    <n v="0"/>
    <n v="1.6361922141119223"/>
    <s v="0"/>
    <n v="7"/>
    <x v="1"/>
    <s v="July"/>
  </r>
  <r>
    <s v="CMP-01015"/>
    <s v="Q1_BlackFriday_CMP-01015"/>
    <x v="3"/>
    <s v="BlackFriday"/>
    <d v="2023-07-30T00:00:00"/>
    <d v="2023-08-04T00:00:00"/>
    <x v="2"/>
    <n v="25818"/>
    <n v="589"/>
    <n v="684.26"/>
    <n v="85"/>
    <s v="No"/>
    <s v="IG"/>
    <n v="5"/>
    <n v="2.2813540940429158E-2"/>
    <n v="0.14431239388794567"/>
    <n v="1.1617317487266554"/>
    <n v="8.0501176470588227"/>
    <n v="7"/>
    <x v="1"/>
    <s v="July"/>
  </r>
  <r>
    <s v="CMP-01845"/>
    <s v="Q1_Launch_CMP-01845"/>
    <x v="3"/>
    <s v="Launch"/>
    <d v="2023-07-31T00:00:00"/>
    <d v="2023-08-04T00:00:00"/>
    <x v="2"/>
    <n v="54331"/>
    <n v="786"/>
    <n v="767.81"/>
    <n v="134"/>
    <s v="Yes"/>
    <s v="IG"/>
    <n v="4"/>
    <n v="1.4466878945721596E-2"/>
    <n v="0.17048346055979643"/>
    <n v="0.97685750636132307"/>
    <n v="5.7299253731343276"/>
    <n v="7"/>
    <x v="1"/>
    <s v="July"/>
  </r>
  <r>
    <s v="CMP-01912"/>
    <s v="Q1_Launch_CMP-01912"/>
    <x v="3"/>
    <s v="Launch"/>
    <d v="2023-07-31T00:00:00"/>
    <d v="2023-08-16T00:00:00"/>
    <x v="2"/>
    <n v="21581"/>
    <n v="573"/>
    <n v="931.41"/>
    <n v="0"/>
    <s v="Yes"/>
    <s v="IG"/>
    <n v="16"/>
    <n v="2.6551132941012929E-2"/>
    <n v="0"/>
    <n v="1.6254973821989529"/>
    <s v="0"/>
    <n v="7"/>
    <x v="1"/>
    <s v="July"/>
  </r>
  <r>
    <s v="CMP-01925"/>
    <s v="Q1_BlackFriday_CMP-01925"/>
    <x v="3"/>
    <s v="BlackFriday"/>
    <d v="2023-07-31T00:00:00"/>
    <d v="2023-08-15T00:00:00"/>
    <x v="2"/>
    <n v="96317"/>
    <n v="2872"/>
    <n v="4404.7299999999996"/>
    <n v="543"/>
    <s v="No"/>
    <s v="IG"/>
    <n v="15"/>
    <n v="2.9818204470654194E-2"/>
    <n v="0.18906685236768803"/>
    <n v="1.5336803621169914"/>
    <n v="8.1118416206261497"/>
    <n v="7"/>
    <x v="1"/>
    <s v="July"/>
  </r>
  <r>
    <s v="CMP-00865"/>
    <s v="Q2_Summer_CMP-00865"/>
    <x v="0"/>
    <s v="Summer"/>
    <d v="2023-07-31T00:00:00"/>
    <d v="2023-08-03T00:00:00"/>
    <x v="0"/>
    <n v="62886"/>
    <n v="629"/>
    <n v="1252.98"/>
    <n v="125"/>
    <s v="No"/>
    <s v="TikTok"/>
    <n v="3"/>
    <n v="1.0002226250675827E-2"/>
    <n v="0.1987281399046105"/>
    <n v="1.9920190779014308"/>
    <n v="10.02384"/>
    <n v="7"/>
    <x v="1"/>
    <s v="July"/>
  </r>
  <r>
    <s v="CMP-00288"/>
    <s v="Q3_Summer_CMP-00288"/>
    <x v="1"/>
    <s v="Summer"/>
    <d v="2023-07-31T00:00:00"/>
    <d v="2023-08-04T00:00:00"/>
    <x v="5"/>
    <n v="43642"/>
    <n v="527"/>
    <n v="530.28"/>
    <n v="100"/>
    <s v="Yes"/>
    <s v="Not specified"/>
    <n v="4"/>
    <n v="1.2075523578204482E-2"/>
    <n v="0.18975332068311196"/>
    <n v="1.006223908918406"/>
    <n v="5.3027999999999995"/>
    <n v="7"/>
    <x v="1"/>
    <s v="July"/>
  </r>
  <r>
    <s v="CMP-01152"/>
    <s v="Q3_Summer_CMP-01152"/>
    <x v="1"/>
    <s v="Summer"/>
    <d v="2023-07-31T00:00:00"/>
    <d v="2023-08-16T00:00:00"/>
    <x v="2"/>
    <n v="83870"/>
    <n v="3122"/>
    <n v="2702.72"/>
    <n v="0"/>
    <s v="Yes"/>
    <s v="IG"/>
    <n v="16"/>
    <n v="3.7224275664719211E-2"/>
    <n v="0"/>
    <n v="0.86570147341447778"/>
    <s v="0"/>
    <n v="7"/>
    <x v="1"/>
    <s v="July"/>
  </r>
  <r>
    <s v="CMP-01992"/>
    <s v="Q4_Launch_CMP-01992"/>
    <x v="2"/>
    <s v="Launch"/>
    <d v="2023-07-31T00:00:00"/>
    <d v="2023-08-30T00:00:00"/>
    <x v="4"/>
    <n v="27745"/>
    <n v="392"/>
    <n v="386.71"/>
    <n v="70"/>
    <s v="Yes"/>
    <s v="Google Ads"/>
    <n v="30"/>
    <n v="1.412867183276266E-2"/>
    <n v="0.17857142857142858"/>
    <n v="0.98650510204081632"/>
    <n v="5.5244285714285715"/>
    <n v="7"/>
    <x v="1"/>
    <s v="July"/>
  </r>
  <r>
    <s v="CMP-00303"/>
    <s v="Q1_Summer_CMP-00303"/>
    <x v="3"/>
    <s v="Summer"/>
    <d v="2023-08-01T00:00:00"/>
    <d v="2023-08-17T00:00:00"/>
    <x v="3"/>
    <n v="3557"/>
    <n v="35"/>
    <n v="29.68"/>
    <n v="5"/>
    <s v="Yes"/>
    <s v="FB"/>
    <n v="16"/>
    <n v="9.8397526005060444E-3"/>
    <n v="0.14285714285714285"/>
    <n v="0.84799999999999998"/>
    <n v="5.9359999999999999"/>
    <n v="8"/>
    <x v="1"/>
    <s v="August"/>
  </r>
  <r>
    <s v="CMP-01021"/>
    <s v="Q1_Launch_CMP-01021"/>
    <x v="3"/>
    <s v="Launch"/>
    <d v="2023-08-01T00:00:00"/>
    <d v="2023-08-20T00:00:00"/>
    <x v="0"/>
    <n v="42427"/>
    <n v="1440"/>
    <n v="2740.42"/>
    <n v="0"/>
    <s v="Yes"/>
    <s v="TikTok"/>
    <n v="19"/>
    <n v="3.394065100054211E-2"/>
    <n v="0"/>
    <n v="1.9030694444444445"/>
    <s v="0"/>
    <n v="8"/>
    <x v="1"/>
    <s v="August"/>
  </r>
  <r>
    <s v="CMP-01742"/>
    <s v="Q2_Launch_CMP-01742"/>
    <x v="0"/>
    <s v="Launch"/>
    <d v="2023-08-01T00:00:00"/>
    <d v="2023-08-26T00:00:00"/>
    <x v="2"/>
    <n v="48638"/>
    <n v="1363"/>
    <n v="783.03"/>
    <n v="0"/>
    <s v="No"/>
    <s v="IG"/>
    <n v="25"/>
    <n v="2.8023356223528927E-2"/>
    <n v="0"/>
    <n v="0.57449009537784301"/>
    <s v="0"/>
    <n v="8"/>
    <x v="1"/>
    <s v="August"/>
  </r>
  <r>
    <s v="CMP-01049"/>
    <s v="Q2_BlackFriday_CMP-01049"/>
    <x v="0"/>
    <s v="BlackFriday"/>
    <d v="2023-08-02T00:00:00"/>
    <d v="2023-08-03T00:00:00"/>
    <x v="3"/>
    <n v="21618"/>
    <n v="961"/>
    <n v="870.6"/>
    <n v="131"/>
    <s v="Yes"/>
    <s v="FB"/>
    <n v="1"/>
    <n v="4.4453695994079008E-2"/>
    <n v="0.13631633714880334"/>
    <n v="0.90593132154006251"/>
    <n v="6.6458015267175572"/>
    <n v="8"/>
    <x v="1"/>
    <s v="August"/>
  </r>
  <r>
    <s v="CMP-01779"/>
    <s v="Q4_Launch_CMP-01779"/>
    <x v="2"/>
    <s v="Launch"/>
    <d v="2023-08-02T00:00:00"/>
    <d v="2023-08-31T00:00:00"/>
    <x v="0"/>
    <n v="99875"/>
    <n v="2750"/>
    <n v="2329.35"/>
    <n v="0"/>
    <s v="Yes"/>
    <s v="TikTok"/>
    <n v="29"/>
    <n v="2.7534418022528161E-2"/>
    <n v="0"/>
    <n v="0.84703636363636359"/>
    <s v="0"/>
    <n v="8"/>
    <x v="1"/>
    <s v="August"/>
  </r>
  <r>
    <s v="CMP-00094"/>
    <s v="Q1_Winstagramter_CMP-00094"/>
    <x v="3"/>
    <s v="Winstagramter"/>
    <d v="2023-08-03T00:00:00"/>
    <d v="2023-08-29T00:00:00"/>
    <x v="5"/>
    <n v="9571"/>
    <n v="319"/>
    <n v="497.4"/>
    <n v="52"/>
    <s v="No"/>
    <s v="Not specified"/>
    <n v="26"/>
    <n v="3.3329850590324943E-2"/>
    <n v="0.16300940438871472"/>
    <n v="1.5592476489028213"/>
    <n v="9.5653846153846143"/>
    <n v="8"/>
    <x v="1"/>
    <s v="August"/>
  </r>
  <r>
    <s v="CMP-00439"/>
    <s v="Q1_Launch_CMP-00439"/>
    <x v="3"/>
    <s v="Launch"/>
    <d v="2023-08-03T00:00:00"/>
    <d v="2023-08-27T00:00:00"/>
    <x v="4"/>
    <n v="88235"/>
    <n v="3182"/>
    <n v="5093.82"/>
    <n v="385"/>
    <s v="Yes"/>
    <s v="Google Ads"/>
    <n v="24"/>
    <n v="3.6062786875956251E-2"/>
    <n v="0.12099308610936518"/>
    <n v="1.6008233815210557"/>
    <n v="13.230701298701298"/>
    <n v="8"/>
    <x v="1"/>
    <s v="August"/>
  </r>
  <r>
    <s v="CMP-00185"/>
    <s v="Q3_Launch_CMP-00185"/>
    <x v="1"/>
    <s v="Launch"/>
    <d v="2023-08-03T00:00:00"/>
    <d v="2023-08-27T00:00:00"/>
    <x v="3"/>
    <n v="56016"/>
    <n v="1728"/>
    <n v="1890.33"/>
    <n v="128"/>
    <s v="No"/>
    <s v="FB"/>
    <n v="24"/>
    <n v="3.0848329048843187E-2"/>
    <n v="7.407407407407407E-2"/>
    <n v="1.0939409722222222"/>
    <n v="14.768203124999999"/>
    <n v="8"/>
    <x v="1"/>
    <s v="August"/>
  </r>
  <r>
    <s v="CMP-01617"/>
    <s v="Q3_Launch_CMP-01617"/>
    <x v="1"/>
    <s v="Launch"/>
    <d v="2023-08-03T00:00:00"/>
    <d v="2023-08-07T00:00:00"/>
    <x v="5"/>
    <n v="5494"/>
    <n v="178"/>
    <n v="300.27"/>
    <n v="16"/>
    <s v="Yes"/>
    <s v="Not specified"/>
    <n v="4"/>
    <n v="3.2398980706224975E-2"/>
    <n v="8.98876404494382E-2"/>
    <n v="1.6869101123595505"/>
    <n v="18.766874999999999"/>
    <n v="8"/>
    <x v="1"/>
    <s v="August"/>
  </r>
  <r>
    <s v="CMP-00892"/>
    <s v="Q4_Launch_CMP-00892"/>
    <x v="2"/>
    <s v="Launch"/>
    <d v="2023-08-03T00:00:00"/>
    <d v="2023-08-04T00:00:00"/>
    <x v="2"/>
    <n v="18144"/>
    <n v="339"/>
    <n v="473.89"/>
    <n v="56"/>
    <s v="No"/>
    <s v="IG"/>
    <n v="1"/>
    <n v="1.8683862433862435E-2"/>
    <n v="0.16519174041297935"/>
    <n v="1.397905604719764"/>
    <n v="8.4623214285714283"/>
    <n v="8"/>
    <x v="1"/>
    <s v="August"/>
  </r>
  <r>
    <s v="CMP-00751"/>
    <s v="Q1_Launch_CMP-00751"/>
    <x v="3"/>
    <s v="Launch"/>
    <d v="2023-08-04T00:00:00"/>
    <d v="2023-08-23T00:00:00"/>
    <x v="4"/>
    <n v="34307"/>
    <n v="1373"/>
    <n v="724.37"/>
    <n v="85"/>
    <s v="Yes"/>
    <s v="Google Ads"/>
    <n v="19"/>
    <n v="4.002098697058909E-2"/>
    <n v="6.1908230152949745E-2"/>
    <n v="0.52758193736343773"/>
    <n v="8.5220000000000002"/>
    <n v="8"/>
    <x v="1"/>
    <s v="August"/>
  </r>
  <r>
    <s v="CMP-01640"/>
    <s v="Q2_BlackFriday_CMP-01640"/>
    <x v="0"/>
    <s v="BlackFriday"/>
    <d v="2023-08-04T00:00:00"/>
    <d v="2023-08-10T00:00:00"/>
    <x v="0"/>
    <n v="42844"/>
    <n v="1174"/>
    <n v="1283.96"/>
    <n v="208"/>
    <s v="No"/>
    <s v="TikTok"/>
    <n v="6"/>
    <n v="2.7401736532536646E-2"/>
    <n v="0.17717206132879046"/>
    <n v="1.0936626916524703"/>
    <n v="6.172884615384616"/>
    <n v="8"/>
    <x v="1"/>
    <s v="August"/>
  </r>
  <r>
    <s v="CMP-00398"/>
    <s v="Q4_BlackFriday_CMP-00398"/>
    <x v="2"/>
    <s v="BlackFriday"/>
    <d v="2023-08-04T00:00:00"/>
    <d v="2023-08-16T00:00:00"/>
    <x v="0"/>
    <n v="50689"/>
    <n v="1760"/>
    <n v="1404.02"/>
    <n v="0"/>
    <s v="No"/>
    <s v="TikTok"/>
    <n v="12"/>
    <n v="3.4721537217147706E-2"/>
    <n v="0"/>
    <n v="0.7977386363636364"/>
    <s v="0"/>
    <n v="8"/>
    <x v="1"/>
    <s v="August"/>
  </r>
  <r>
    <s v="CMP-01608"/>
    <s v="Q1_Winstagramter_CMP-01608"/>
    <x v="3"/>
    <s v="Winstagramter"/>
    <d v="2023-08-05T00:00:00"/>
    <d v="2023-08-13T00:00:00"/>
    <x v="0"/>
    <n v="33413"/>
    <n v="693"/>
    <n v="1299.95"/>
    <n v="39"/>
    <s v="Yes"/>
    <s v="TikTok"/>
    <n v="8"/>
    <n v="2.0740430371412325E-2"/>
    <n v="5.627705627705628E-2"/>
    <n v="1.8758297258297258"/>
    <n v="33.332051282051282"/>
    <n v="8"/>
    <x v="1"/>
    <s v="August"/>
  </r>
  <r>
    <s v="CMP-00424"/>
    <s v="Q3_Summer_CMP-00424"/>
    <x v="1"/>
    <s v="Summer"/>
    <d v="2023-08-05T00:00:00"/>
    <d v="2023-08-18T00:00:00"/>
    <x v="4"/>
    <n v="56609"/>
    <n v="1298"/>
    <n v="1223.51"/>
    <n v="118"/>
    <s v="Yes"/>
    <s v="Google Ads"/>
    <n v="13"/>
    <n v="2.2929216202370647E-2"/>
    <n v="9.0909090909090912E-2"/>
    <n v="0.94261171032357471"/>
    <n v="10.368728813559322"/>
    <n v="8"/>
    <x v="1"/>
    <s v="August"/>
  </r>
  <r>
    <s v="CMP-00992"/>
    <s v="Q3_Launch_CMP-00992"/>
    <x v="1"/>
    <s v="Launch"/>
    <d v="2023-08-05T00:00:00"/>
    <d v="2023-08-09T00:00:00"/>
    <x v="0"/>
    <n v="85659"/>
    <n v="3879"/>
    <n v="4398.72"/>
    <n v="592"/>
    <s v="Yes"/>
    <s v="TikTok"/>
    <n v="4"/>
    <n v="4.5284208314362764E-2"/>
    <n v="0.15261665377674657"/>
    <n v="1.1339829853054912"/>
    <n v="7.4302702702702703"/>
    <n v="8"/>
    <x v="1"/>
    <s v="August"/>
  </r>
  <r>
    <s v="CMP-00571"/>
    <s v="Q1_BlackFriday_CMP-00571"/>
    <x v="3"/>
    <s v="BlackFriday"/>
    <d v="2023-08-06T00:00:00"/>
    <d v="2023-08-09T00:00:00"/>
    <x v="3"/>
    <n v="27092"/>
    <n v="677"/>
    <n v="1296.29"/>
    <n v="83"/>
    <s v="Yes"/>
    <s v="FB"/>
    <n v="3"/>
    <n v="2.4988926620404549E-2"/>
    <n v="0.12259970457902511"/>
    <n v="1.9147562776957163"/>
    <n v="15.617951807228915"/>
    <n v="8"/>
    <x v="1"/>
    <s v="August"/>
  </r>
  <r>
    <s v="CMP-00759"/>
    <s v="Q1_Summer_CMP-00759"/>
    <x v="3"/>
    <s v="Summer"/>
    <d v="2023-08-06T00:00:00"/>
    <d v="2023-08-27T00:00:00"/>
    <x v="2"/>
    <n v="58043"/>
    <n v="1443"/>
    <n v="1181.0999999999999"/>
    <n v="230"/>
    <s v="No"/>
    <s v="IG"/>
    <n v="21"/>
    <n v="2.4860879003497406E-2"/>
    <n v="0.15939015939015938"/>
    <n v="0.81850311850311841"/>
    <n v="5.1352173913043471"/>
    <n v="8"/>
    <x v="1"/>
    <s v="August"/>
  </r>
  <r>
    <s v="CMP-00340"/>
    <s v="Q2_Launch_CMP-00340"/>
    <x v="0"/>
    <s v="Launch"/>
    <d v="2023-08-06T00:00:00"/>
    <d v="2023-08-08T00:00:00"/>
    <x v="2"/>
    <n v="31746"/>
    <n v="821"/>
    <n v="1390.78"/>
    <n v="140"/>
    <s v="Yes"/>
    <s v="IG"/>
    <n v="2"/>
    <n v="2.5861525861525861E-2"/>
    <n v="0.17052375152253349"/>
    <n v="1.6940073081607796"/>
    <n v="9.9341428571428576"/>
    <n v="8"/>
    <x v="1"/>
    <s v="August"/>
  </r>
  <r>
    <s v="CMP-00324"/>
    <s v="Q1_Winstagramter_CMP-00324"/>
    <x v="3"/>
    <s v="Winstagramter"/>
    <d v="2023-08-06T00:00:00"/>
    <d v="2023-09-07T00:00:00"/>
    <x v="1"/>
    <n v="87416"/>
    <n v="1669"/>
    <n v="2607.2800000000002"/>
    <n v="307"/>
    <s v="Yes"/>
    <s v="Email"/>
    <n v="32"/>
    <n v="1.9092614624325065E-2"/>
    <n v="0.18394248052726184"/>
    <n v="1.5621809466746557"/>
    <n v="8.4927687296416945"/>
    <n v="8"/>
    <x v="1"/>
    <s v="August"/>
  </r>
  <r>
    <s v="CMP-00575"/>
    <s v="Q3_Winstagramter_CMP-00575"/>
    <x v="1"/>
    <s v="Winstagramter"/>
    <d v="2023-08-07T00:00:00"/>
    <d v="2023-08-14T00:00:00"/>
    <x v="3"/>
    <n v="34496"/>
    <n v="1503"/>
    <n v="1879.83"/>
    <n v="178"/>
    <s v="No"/>
    <s v="FB"/>
    <n v="7"/>
    <n v="4.357026901669759E-2"/>
    <n v="0.11842980705256155"/>
    <n v="1.2507185628742514"/>
    <n v="10.560842696629214"/>
    <n v="8"/>
    <x v="1"/>
    <s v="August"/>
  </r>
  <r>
    <s v="CMP-01098"/>
    <s v="Q3_Winstagramter_CMP-01098"/>
    <x v="1"/>
    <s v="Winstagramter"/>
    <d v="2023-08-07T00:00:00"/>
    <d v="2023-08-23T00:00:00"/>
    <x v="4"/>
    <n v="1077"/>
    <n v="46"/>
    <n v="56.84"/>
    <n v="0"/>
    <s v="No"/>
    <s v="Google Ads"/>
    <n v="16"/>
    <n v="4.2711234911792018E-2"/>
    <n v="0"/>
    <n v="1.2356521739130435"/>
    <s v="0"/>
    <n v="8"/>
    <x v="1"/>
    <s v="August"/>
  </r>
  <r>
    <s v="CMP-01548"/>
    <s v="Q3_Winstagramter_CMP-01548"/>
    <x v="1"/>
    <s v="Winstagramter"/>
    <d v="2023-08-07T00:00:00"/>
    <d v="2023-08-27T00:00:00"/>
    <x v="3"/>
    <n v="53375"/>
    <n v="2431"/>
    <n v="4617.53"/>
    <n v="295"/>
    <s v="No"/>
    <s v="FB"/>
    <n v="20"/>
    <n v="4.5545667447306794E-2"/>
    <n v="0.12134923899629782"/>
    <n v="1.8994364459070341"/>
    <n v="15.65264406779661"/>
    <n v="8"/>
    <x v="1"/>
    <s v="August"/>
  </r>
  <r>
    <s v="CMP-00213"/>
    <s v="Q2_Launch_CMP-00213"/>
    <x v="0"/>
    <s v="Launch"/>
    <d v="2023-08-08T00:00:00"/>
    <d v="2023-08-11T00:00:00"/>
    <x v="3"/>
    <n v="86616"/>
    <n v="1889"/>
    <n v="1426.52"/>
    <n v="0"/>
    <s v="Yes"/>
    <s v="FB"/>
    <n v="3"/>
    <n v="2.1808903666759027E-2"/>
    <n v="0"/>
    <n v="0.75517204870301746"/>
    <s v="0"/>
    <n v="8"/>
    <x v="1"/>
    <s v="August"/>
  </r>
  <r>
    <s v="CMP-00918"/>
    <s v="Q2_Summer_CMP-00918"/>
    <x v="0"/>
    <s v="Summer"/>
    <d v="2023-08-08T00:00:00"/>
    <d v="2023-08-27T00:00:00"/>
    <x v="0"/>
    <n v="94229"/>
    <n v="3425"/>
    <n v="4540.55"/>
    <n v="258"/>
    <s v="Yes"/>
    <s v="TikTok"/>
    <n v="19"/>
    <n v="3.6347621220643327E-2"/>
    <n v="7.5328467153284673E-2"/>
    <n v="1.3257080291970804"/>
    <n v="17.59903100775194"/>
    <n v="8"/>
    <x v="1"/>
    <s v="August"/>
  </r>
  <r>
    <s v="CMP-00987"/>
    <s v="Q2_Summer_CMP-00987"/>
    <x v="0"/>
    <s v="Summer"/>
    <d v="2023-08-08T00:00:00"/>
    <d v="2023-09-06T00:00:00"/>
    <x v="3"/>
    <n v="24275"/>
    <n v="680"/>
    <n v="672.2"/>
    <n v="68"/>
    <s v="Yes"/>
    <s v="FB"/>
    <n v="29"/>
    <n v="2.8012358393408855E-2"/>
    <n v="0.1"/>
    <n v="0.98852941176470599"/>
    <n v="9.8852941176470601"/>
    <n v="8"/>
    <x v="1"/>
    <s v="August"/>
  </r>
  <r>
    <s v="CMP-01277"/>
    <s v="Q3_BlackFriday_CMP-01277"/>
    <x v="1"/>
    <s v="BlackFriday"/>
    <d v="2023-08-08T00:00:00"/>
    <d v="2023-08-29T00:00:00"/>
    <x v="1"/>
    <n v="59066"/>
    <n v="1037"/>
    <n v="1022.06"/>
    <n v="125"/>
    <s v="Yes"/>
    <s v="Email"/>
    <n v="21"/>
    <n v="1.7556631564690346E-2"/>
    <n v="0.12054001928640308"/>
    <n v="0.98559305689488907"/>
    <n v="8.1764799999999997"/>
    <n v="8"/>
    <x v="1"/>
    <s v="August"/>
  </r>
  <r>
    <s v="CMP-01539"/>
    <s v="Q3_BlackFriday_CMP-01539"/>
    <x v="1"/>
    <s v="BlackFriday"/>
    <d v="2023-08-08T00:00:00"/>
    <d v="2023-08-17T00:00:00"/>
    <x v="0"/>
    <n v="52571"/>
    <n v="1211"/>
    <n v="1730.22"/>
    <n v="117"/>
    <s v="No"/>
    <s v="TikTok"/>
    <n v="9"/>
    <n v="2.3035513876471819E-2"/>
    <n v="9.661436829066887E-2"/>
    <n v="1.4287530966143682"/>
    <n v="14.788205128205128"/>
    <n v="8"/>
    <x v="1"/>
    <s v="August"/>
  </r>
  <r>
    <s v="CMP-00981"/>
    <s v="Q4_BlackFriday_CMP-00981"/>
    <x v="2"/>
    <s v="BlackFriday"/>
    <d v="2023-08-08T00:00:00"/>
    <d v="2023-09-03T00:00:00"/>
    <x v="0"/>
    <n v="27069"/>
    <n v="846"/>
    <n v="879.58"/>
    <n v="118"/>
    <s v="No"/>
    <s v="TikTok"/>
    <n v="26"/>
    <n v="3.1253463371384238E-2"/>
    <n v="0.13947990543735225"/>
    <n v="1.0396926713947992"/>
    <n v="7.45406779661017"/>
    <n v="8"/>
    <x v="1"/>
    <s v="August"/>
  </r>
  <r>
    <s v="CMP-01796"/>
    <s v="Q2_Summer_CMP-01796"/>
    <x v="0"/>
    <s v="Summer"/>
    <d v="2023-08-09T00:00:00"/>
    <d v="2023-08-19T00:00:00"/>
    <x v="3"/>
    <n v="68889"/>
    <n v="1859"/>
    <n v="1408.88"/>
    <n v="255"/>
    <s v="No"/>
    <s v="FB"/>
    <n v="10"/>
    <n v="2.6985440346063958E-2"/>
    <n v="0.13717052178590641"/>
    <n v="0.75786982248520718"/>
    <n v="5.5250196078431379"/>
    <n v="8"/>
    <x v="1"/>
    <s v="August"/>
  </r>
  <r>
    <s v="CMP-00411"/>
    <s v="Q4_Summer_CMP-00411"/>
    <x v="2"/>
    <s v="Summer"/>
    <d v="2023-08-09T00:00:00"/>
    <d v="2023-08-18T00:00:00"/>
    <x v="5"/>
    <n v="77429"/>
    <n v="2401"/>
    <n v="2183.86"/>
    <n v="182"/>
    <s v="No"/>
    <s v="Not specified"/>
    <n v="9"/>
    <n v="3.100905345542368E-2"/>
    <n v="7.5801749271137031E-2"/>
    <n v="0.90956268221574355"/>
    <n v="11.99923076923077"/>
    <n v="8"/>
    <x v="1"/>
    <s v="August"/>
  </r>
  <r>
    <s v="CMP-00453"/>
    <s v="Q4_BlackFriday_CMP-00453"/>
    <x v="2"/>
    <s v="BlackFriday"/>
    <d v="2023-08-09T00:00:00"/>
    <d v="2023-08-30T00:00:00"/>
    <x v="2"/>
    <n v="92794"/>
    <n v="1867"/>
    <n v="2503.4"/>
    <n v="367"/>
    <s v="Yes"/>
    <s v="IG"/>
    <n v="21"/>
    <n v="2.0119835334181088E-2"/>
    <n v="0.19657204070701662"/>
    <n v="1.3408677021960365"/>
    <n v="6.8212534059945504"/>
    <n v="8"/>
    <x v="1"/>
    <s v="August"/>
  </r>
  <r>
    <s v="CMP-01995"/>
    <s v="Q4_Summer_CMP-01995"/>
    <x v="2"/>
    <s v="Summer"/>
    <d v="2023-08-09T00:00:00"/>
    <d v="2023-08-27T00:00:00"/>
    <x v="0"/>
    <n v="53579"/>
    <n v="1448"/>
    <n v="2263.9499999999998"/>
    <n v="159"/>
    <s v="Yes"/>
    <s v="TikTok"/>
    <n v="18"/>
    <n v="2.7025513727393195E-2"/>
    <n v="0.10980662983425414"/>
    <n v="1.5635013812154694"/>
    <n v="14.238679245283018"/>
    <n v="8"/>
    <x v="1"/>
    <s v="August"/>
  </r>
  <r>
    <s v="CMP-01371"/>
    <s v="Q3_BlackFriday_CMP-01371"/>
    <x v="1"/>
    <s v="BlackFriday"/>
    <d v="2023-08-10T00:00:00"/>
    <d v="2023-08-21T00:00:00"/>
    <x v="0"/>
    <n v="30975"/>
    <n v="640"/>
    <n v="380.6"/>
    <n v="68"/>
    <s v="No"/>
    <s v="TikTok"/>
    <n v="11"/>
    <n v="2.0661824051654561E-2"/>
    <n v="0.10625"/>
    <n v="0.59468750000000004"/>
    <n v="5.5970588235294123"/>
    <n v="8"/>
    <x v="1"/>
    <s v="August"/>
  </r>
  <r>
    <s v="CMP-00834"/>
    <s v="Q1_Winstagramter_CMP-00834"/>
    <x v="3"/>
    <s v="Winstagramter"/>
    <d v="2023-08-11T00:00:00"/>
    <d v="2023-08-23T00:00:00"/>
    <x v="4"/>
    <n v="50922"/>
    <n v="1685"/>
    <n v="2895.48"/>
    <n v="88"/>
    <s v="No"/>
    <s v="Google Ads"/>
    <n v="12"/>
    <n v="3.3089823651859709E-2"/>
    <n v="5.2225519287833831E-2"/>
    <n v="1.7183857566765579"/>
    <n v="32.903181818181821"/>
    <n v="8"/>
    <x v="1"/>
    <s v="August"/>
  </r>
  <r>
    <s v="CMP-00327"/>
    <s v="Q2_Summer_CMP-00327"/>
    <x v="0"/>
    <s v="Summer"/>
    <d v="2023-08-11T00:00:00"/>
    <d v="2023-08-19T00:00:00"/>
    <x v="5"/>
    <n v="71091"/>
    <n v="1695"/>
    <n v="2787.16"/>
    <n v="261"/>
    <s v="No"/>
    <s v="Not specified"/>
    <n v="8"/>
    <n v="2.3842680508081193E-2"/>
    <n v="0.15398230088495576"/>
    <n v="1.6443421828908553"/>
    <n v="10.678773946360153"/>
    <n v="8"/>
    <x v="1"/>
    <s v="August"/>
  </r>
  <r>
    <s v="CMP-01437"/>
    <s v="Q3_Winstagramter_CMP-01437"/>
    <x v="1"/>
    <s v="Winstagramter"/>
    <d v="2023-08-11T00:00:00"/>
    <d v="2023-09-08T00:00:00"/>
    <x v="2"/>
    <n v="58492"/>
    <n v="1557"/>
    <n v="2848.93"/>
    <n v="204"/>
    <s v="Yes"/>
    <s v="IG"/>
    <n v="28"/>
    <n v="2.6619024823907544E-2"/>
    <n v="0.13102119460500963"/>
    <n v="1.8297559409120101"/>
    <n v="13.965343137254902"/>
    <n v="8"/>
    <x v="1"/>
    <s v="August"/>
  </r>
  <r>
    <s v="CMP-00142"/>
    <s v="Q1_Launch_CMP-00142"/>
    <x v="3"/>
    <s v="Launch"/>
    <d v="2023-08-12T00:00:00"/>
    <d v="2023-08-27T00:00:00"/>
    <x v="0"/>
    <n v="88054"/>
    <n v="1199"/>
    <n v="708.5"/>
    <n v="175"/>
    <s v="Yes"/>
    <s v="TikTok"/>
    <n v="15"/>
    <n v="1.3616644331887251E-2"/>
    <n v="0.14595496246872394"/>
    <n v="0.59090909090909094"/>
    <n v="4.0485714285714289"/>
    <n v="8"/>
    <x v="1"/>
    <s v="August"/>
  </r>
  <r>
    <s v="CMP-00463"/>
    <s v="Q2_Launch_CMP-00463"/>
    <x v="0"/>
    <s v="Launch"/>
    <d v="2023-08-12T00:00:00"/>
    <d v="2023-08-13T00:00:00"/>
    <x v="1"/>
    <n v="6949"/>
    <n v="98"/>
    <n v="82.26"/>
    <n v="10"/>
    <s v="Yes"/>
    <s v="Email"/>
    <n v="1"/>
    <n v="1.4102748596920419E-2"/>
    <n v="0.10204081632653061"/>
    <n v="0.83938775510204089"/>
    <n v="8.2260000000000009"/>
    <n v="8"/>
    <x v="1"/>
    <s v="August"/>
  </r>
  <r>
    <s v="CMP-00848"/>
    <s v="Q3_Launch_CMP-00848"/>
    <x v="1"/>
    <s v="Launch"/>
    <d v="2023-08-12T00:00:00"/>
    <d v="2023-12-27T00:00:00"/>
    <x v="3"/>
    <n v="45238"/>
    <n v="583"/>
    <n v="1070.96"/>
    <n v="30"/>
    <s v="No"/>
    <s v="FB"/>
    <n v="137"/>
    <n v="1.2887395552411689E-2"/>
    <n v="5.1457975986277875E-2"/>
    <n v="1.8369811320754719"/>
    <n v="35.698666666666668"/>
    <n v="8"/>
    <x v="1"/>
    <s v="August"/>
  </r>
  <r>
    <s v="CMP-00527"/>
    <s v="Q4_Summer_CMP-00527"/>
    <x v="2"/>
    <s v="Summer"/>
    <d v="2023-08-12T00:00:00"/>
    <d v="2023-08-22T00:00:00"/>
    <x v="1"/>
    <n v="58679"/>
    <n v="1863"/>
    <n v="2869.03"/>
    <n v="189"/>
    <s v="Yes"/>
    <s v="Email"/>
    <n v="10"/>
    <n v="3.1749007310963036E-2"/>
    <n v="0.10144927536231885"/>
    <n v="1.5400053676865273"/>
    <n v="15.180052910052911"/>
    <n v="8"/>
    <x v="1"/>
    <s v="August"/>
  </r>
  <r>
    <s v="CMP-01134"/>
    <s v="Q4_Launch_CMP-01134"/>
    <x v="2"/>
    <s v="Launch"/>
    <d v="2023-08-12T00:00:00"/>
    <d v="2023-09-05T00:00:00"/>
    <x v="1"/>
    <n v="97809"/>
    <n v="2153"/>
    <n v="2912.64"/>
    <n v="392"/>
    <s v="Yes"/>
    <s v="Email"/>
    <n v="24"/>
    <n v="2.2012289257634779E-2"/>
    <n v="0.18207152810032512"/>
    <n v="1.35282861124013"/>
    <n v="7.4302040816326524"/>
    <n v="8"/>
    <x v="1"/>
    <s v="August"/>
  </r>
  <r>
    <s v="CMP-00513"/>
    <s v="Q1_Launch_CMP-00513"/>
    <x v="3"/>
    <s v="Launch"/>
    <d v="2023-08-13T00:00:00"/>
    <d v="2023-08-15T00:00:00"/>
    <x v="3"/>
    <n v="99116"/>
    <n v="2481"/>
    <n v="3479.66"/>
    <n v="181"/>
    <s v="No"/>
    <s v="FB"/>
    <n v="2"/>
    <n v="2.5031276484119618E-2"/>
    <n v="7.2954453849254336E-2"/>
    <n v="1.4025231761386536"/>
    <n v="19.224640883977901"/>
    <n v="8"/>
    <x v="1"/>
    <s v="August"/>
  </r>
  <r>
    <s v="CMP-00582"/>
    <s v="Q1_BlackFriday_CMP-00582"/>
    <x v="3"/>
    <s v="BlackFriday"/>
    <d v="2023-08-13T00:00:00"/>
    <d v="2023-08-29T00:00:00"/>
    <x v="0"/>
    <n v="36735"/>
    <n v="1604"/>
    <n v="2929.76"/>
    <n v="192"/>
    <s v="Yes"/>
    <s v="TikTok"/>
    <n v="16"/>
    <n v="4.3664080577106301E-2"/>
    <n v="0.11970074812967581"/>
    <n v="1.8265336658354117"/>
    <n v="15.259166666666667"/>
    <n v="8"/>
    <x v="1"/>
    <s v="August"/>
  </r>
  <r>
    <s v="CMP-01151"/>
    <s v="Q1_Summer_CMP-01151"/>
    <x v="3"/>
    <s v="Summer"/>
    <d v="2023-08-13T00:00:00"/>
    <d v="2023-08-23T00:00:00"/>
    <x v="1"/>
    <n v="33154"/>
    <n v="408"/>
    <n v="418.11"/>
    <n v="0"/>
    <s v="Yes"/>
    <s v="Email"/>
    <n v="10"/>
    <n v="1.2306207395789347E-2"/>
    <n v="0"/>
    <n v="1.024779411764706"/>
    <s v="0"/>
    <n v="8"/>
    <x v="1"/>
    <s v="August"/>
  </r>
  <r>
    <s v="CMP-01716"/>
    <s v="Q2_Winstagramter_CMP-01716"/>
    <x v="0"/>
    <s v="Winstagramter"/>
    <d v="2023-08-13T00:00:00"/>
    <d v="2023-08-29T00:00:00"/>
    <x v="3"/>
    <n v="31561"/>
    <n v="1016"/>
    <n v="1250.51"/>
    <n v="0"/>
    <s v="No"/>
    <s v="FB"/>
    <n v="16"/>
    <n v="3.2191628909096673E-2"/>
    <n v="0"/>
    <n v="1.2308169291338582"/>
    <s v="0"/>
    <n v="8"/>
    <x v="1"/>
    <s v="August"/>
  </r>
  <r>
    <s v="CMP-00292"/>
    <s v="Q3_Winstagramter_CMP-00292"/>
    <x v="1"/>
    <s v="Winstagramter"/>
    <d v="2023-08-13T00:00:00"/>
    <d v="2023-08-21T00:00:00"/>
    <x v="0"/>
    <n v="5499"/>
    <n v="153"/>
    <n v="303.37"/>
    <n v="15"/>
    <s v="Yes"/>
    <s v="TikTok"/>
    <n v="8"/>
    <n v="2.7823240589198037E-2"/>
    <n v="9.8039215686274508E-2"/>
    <n v="1.9828104575163399"/>
    <n v="20.224666666666668"/>
    <n v="8"/>
    <x v="1"/>
    <s v="August"/>
  </r>
  <r>
    <s v="CMP-01687"/>
    <s v="Q3_Summer_CMP-01687"/>
    <x v="1"/>
    <s v="Summer"/>
    <d v="2023-08-13T00:00:00"/>
    <d v="2023-08-29T00:00:00"/>
    <x v="5"/>
    <n v="95377"/>
    <n v="4520"/>
    <n v="4202.29"/>
    <n v="240"/>
    <s v="Yes"/>
    <s v="Not specified"/>
    <n v="16"/>
    <n v="4.7390880400935233E-2"/>
    <n v="5.3097345132743362E-2"/>
    <n v="0.92971017699115044"/>
    <n v="17.509541666666667"/>
    <n v="8"/>
    <x v="1"/>
    <s v="August"/>
  </r>
  <r>
    <s v="CMP-00489"/>
    <s v="Q4_Launch_CMP-00489"/>
    <x v="2"/>
    <s v="Launch"/>
    <d v="2023-08-13T00:00:00"/>
    <d v="2023-09-04T00:00:00"/>
    <x v="1"/>
    <n v="73789"/>
    <n v="3047"/>
    <n v="5626.64"/>
    <n v="484"/>
    <s v="No"/>
    <s v="Email"/>
    <n v="22"/>
    <n v="4.129341771808806E-2"/>
    <n v="0.1588447653429603"/>
    <n v="1.846616343944864"/>
    <n v="11.625289256198348"/>
    <n v="8"/>
    <x v="1"/>
    <s v="August"/>
  </r>
  <r>
    <s v="CMP-01859"/>
    <s v="Q4_BlackFriday_CMP-01859"/>
    <x v="2"/>
    <s v="BlackFriday"/>
    <d v="2023-08-13T00:00:00"/>
    <d v="2023-09-01T00:00:00"/>
    <x v="3"/>
    <n v="27385"/>
    <n v="1087"/>
    <n v="1869.2"/>
    <n v="83"/>
    <s v="Yes"/>
    <s v="FB"/>
    <n v="19"/>
    <n v="3.9693262735073946E-2"/>
    <n v="7.635694572217111E-2"/>
    <n v="1.7195952161913524"/>
    <n v="22.520481927710843"/>
    <n v="8"/>
    <x v="1"/>
    <s v="August"/>
  </r>
  <r>
    <s v="CMP-01869"/>
    <s v="Q1_Winstagramter_CMP-01869"/>
    <x v="3"/>
    <s v="Winstagramter"/>
    <d v="2023-08-14T00:00:00"/>
    <d v="2023-08-29T00:00:00"/>
    <x v="3"/>
    <n v="9711"/>
    <n v="187"/>
    <n v="180.54"/>
    <n v="15"/>
    <s v="Yes"/>
    <s v="FB"/>
    <n v="15"/>
    <n v="1.9256513232416846E-2"/>
    <n v="8.0213903743315509E-2"/>
    <n v="0.96545454545454545"/>
    <n v="12.036"/>
    <n v="8"/>
    <x v="1"/>
    <s v="August"/>
  </r>
  <r>
    <s v="CMP-00630"/>
    <s v="Q2_Launch_CMP-00630"/>
    <x v="0"/>
    <s v="Launch"/>
    <d v="2023-08-14T00:00:00"/>
    <d v="2023-08-24T00:00:00"/>
    <x v="4"/>
    <n v="90112"/>
    <n v="3199"/>
    <n v="6047.31"/>
    <n v="459"/>
    <s v="Yes"/>
    <s v="Google Ads"/>
    <n v="10"/>
    <n v="3.5500266335227272E-2"/>
    <n v="0.14348233823069709"/>
    <n v="1.8903751172241328"/>
    <n v="13.174967320261439"/>
    <n v="8"/>
    <x v="1"/>
    <s v="August"/>
  </r>
  <r>
    <s v="CMP-00316"/>
    <s v="Q3_Launch_CMP-00316"/>
    <x v="1"/>
    <s v="Launch"/>
    <d v="2023-08-14T00:00:00"/>
    <d v="2023-08-17T00:00:00"/>
    <x v="2"/>
    <n v="39467"/>
    <n v="800"/>
    <n v="1327.02"/>
    <n v="0"/>
    <s v="No"/>
    <s v="IG"/>
    <n v="3"/>
    <n v="2.0270099070109206E-2"/>
    <n v="0"/>
    <n v="1.6587749999999999"/>
    <s v="0"/>
    <n v="8"/>
    <x v="1"/>
    <s v="August"/>
  </r>
  <r>
    <s v="CMP-00947"/>
    <s v="Q3_Summer_CMP-00947"/>
    <x v="1"/>
    <s v="Summer"/>
    <d v="2023-08-14T00:00:00"/>
    <d v="2023-09-09T00:00:00"/>
    <x v="0"/>
    <n v="45247"/>
    <n v="943"/>
    <n v="1214.48"/>
    <n v="183"/>
    <s v="Yes"/>
    <s v="TikTok"/>
    <n v="26"/>
    <n v="2.0841160739938559E-2"/>
    <n v="0.19406150583244963"/>
    <n v="1.2878897136797456"/>
    <n v="6.6365027322404373"/>
    <n v="8"/>
    <x v="1"/>
    <s v="August"/>
  </r>
  <r>
    <s v="CMP-00114"/>
    <s v="Q1_Launch_CMP-00114"/>
    <x v="3"/>
    <s v="Launch"/>
    <d v="2023-08-15T00:00:00"/>
    <d v="2023-08-23T00:00:00"/>
    <x v="3"/>
    <n v="27854"/>
    <n v="1092"/>
    <n v="1582.97"/>
    <n v="208"/>
    <s v="Yes"/>
    <s v="FB"/>
    <n v="8"/>
    <n v="3.9204423063114814E-2"/>
    <n v="0.19047619047619047"/>
    <n v="1.4496062271062271"/>
    <n v="7.6104326923076924"/>
    <n v="8"/>
    <x v="1"/>
    <s v="August"/>
  </r>
  <r>
    <s v="CMP-01801"/>
    <s v="Q1_Summer_CMP-01801"/>
    <x v="3"/>
    <s v="Summer"/>
    <d v="2023-08-15T00:00:00"/>
    <d v="2023-08-31T00:00:00"/>
    <x v="1"/>
    <n v="78475"/>
    <n v="1830"/>
    <n v="1519.78"/>
    <n v="138"/>
    <s v="Yes"/>
    <s v="Email"/>
    <n v="16"/>
    <n v="2.3319528512265052E-2"/>
    <n v="7.5409836065573776E-2"/>
    <n v="0.83048087431693984"/>
    <n v="11.012898550724637"/>
    <n v="8"/>
    <x v="1"/>
    <s v="August"/>
  </r>
  <r>
    <s v="CMP-00170"/>
    <s v="Q2_Launch_CMP-00170"/>
    <x v="0"/>
    <s v="Launch"/>
    <d v="2023-08-15T00:00:00"/>
    <d v="2023-08-31T00:00:00"/>
    <x v="0"/>
    <n v="49925"/>
    <n v="1498"/>
    <n v="2284.7199999999998"/>
    <n v="114"/>
    <s v="Yes"/>
    <s v="TikTok"/>
    <n v="16"/>
    <n v="3.0005007511266901E-2"/>
    <n v="7.6101468624833107E-2"/>
    <n v="1.5251802403204271"/>
    <n v="20.041403508771928"/>
    <n v="8"/>
    <x v="1"/>
    <s v="August"/>
  </r>
  <r>
    <s v="CMP-00444"/>
    <s v="Q2_BlackFriday_CMP-00444"/>
    <x v="0"/>
    <s v="BlackFriday"/>
    <d v="2023-08-15T00:00:00"/>
    <d v="2023-09-06T00:00:00"/>
    <x v="4"/>
    <n v="33093"/>
    <n v="1596"/>
    <n v="906.33"/>
    <n v="163"/>
    <s v="Yes"/>
    <s v="Google Ads"/>
    <n v="22"/>
    <n v="4.822772187471671E-2"/>
    <n v="0.10213032581453634"/>
    <n v="0.56787593984962403"/>
    <n v="5.5603067484662576"/>
    <n v="8"/>
    <x v="1"/>
    <s v="August"/>
  </r>
  <r>
    <s v="CMP-00445"/>
    <s v="Q2_BlackFriday_CMP-00445"/>
    <x v="0"/>
    <s v="BlackFriday"/>
    <d v="2023-08-15T00:00:00"/>
    <d v="2023-08-22T00:00:00"/>
    <x v="4"/>
    <n v="70678"/>
    <n v="1083"/>
    <n v="895.49"/>
    <n v="105"/>
    <s v="Yes"/>
    <s v="Google Ads"/>
    <n v="7"/>
    <n v="1.5323014233566315E-2"/>
    <n v="9.6952908587257622E-2"/>
    <n v="0.82686057248384115"/>
    <n v="8.5284761904761908"/>
    <n v="8"/>
    <x v="1"/>
    <s v="August"/>
  </r>
  <r>
    <s v="CMP-00154"/>
    <s v="Q3_Launch_CMP-00154"/>
    <x v="1"/>
    <s v="Launch"/>
    <d v="2023-08-15T00:00:00"/>
    <d v="2023-08-17T00:00:00"/>
    <x v="0"/>
    <n v="34827"/>
    <n v="761"/>
    <n v="1332.27"/>
    <n v="131"/>
    <s v="No"/>
    <s v="TikTok"/>
    <n v="2"/>
    <n v="2.1850862836305166E-2"/>
    <n v="0.17214191852825231"/>
    <n v="1.7506833114323259"/>
    <n v="10.17"/>
    <n v="8"/>
    <x v="1"/>
    <s v="August"/>
  </r>
  <r>
    <s v="CMP-01216"/>
    <s v="Q3_BlackFriday_CMP-01216"/>
    <x v="1"/>
    <s v="BlackFriday"/>
    <d v="2023-08-15T00:00:00"/>
    <d v="2023-08-24T00:00:00"/>
    <x v="0"/>
    <n v="2645"/>
    <n v="37"/>
    <n v="19.309999999999999"/>
    <n v="0"/>
    <s v="Yes"/>
    <s v="TikTok"/>
    <n v="9"/>
    <n v="1.3988657844990548E-2"/>
    <n v="0"/>
    <n v="0.52189189189189189"/>
    <s v="0"/>
    <n v="8"/>
    <x v="1"/>
    <s v="August"/>
  </r>
  <r>
    <s v="CMP-01403"/>
    <s v="Q3_Summer_CMP-01403"/>
    <x v="1"/>
    <s v="Summer"/>
    <d v="2023-08-15T00:00:00"/>
    <d v="2023-09-04T00:00:00"/>
    <x v="0"/>
    <n v="40952"/>
    <n v="507"/>
    <n v="810.84"/>
    <n v="25"/>
    <s v="Yes"/>
    <s v="TikTok"/>
    <n v="20"/>
    <n v="1.2380347724164876E-2"/>
    <n v="4.9309664694280081E-2"/>
    <n v="1.5992899408284025"/>
    <n v="32.433599999999998"/>
    <n v="8"/>
    <x v="1"/>
    <s v="August"/>
  </r>
  <r>
    <s v="CMP-00076"/>
    <s v="Q4_Winstagramter_CMP-00076"/>
    <x v="2"/>
    <s v="Winstagramter"/>
    <d v="2023-08-15T00:00:00"/>
    <d v="2023-08-18T00:00:00"/>
    <x v="1"/>
    <n v="12534"/>
    <n v="304"/>
    <n v="577.71"/>
    <n v="38"/>
    <s v="Yes"/>
    <s v="Email"/>
    <n v="3"/>
    <n v="2.4254029041008457E-2"/>
    <n v="0.125"/>
    <n v="1.9003618421052633"/>
    <n v="15.202894736842106"/>
    <n v="8"/>
    <x v="1"/>
    <s v="August"/>
  </r>
  <r>
    <s v="CMP-00692"/>
    <s v="Q4_Winstagramter_CMP-00692"/>
    <x v="2"/>
    <s v="Winstagramter"/>
    <d v="2023-08-15T00:00:00"/>
    <d v="2023-09-14T00:00:00"/>
    <x v="2"/>
    <n v="45482"/>
    <n v="1452"/>
    <n v="968.06"/>
    <n v="129"/>
    <s v="Yes"/>
    <s v="IG"/>
    <n v="30"/>
    <n v="3.1924717470647727E-2"/>
    <n v="8.8842975206611566E-2"/>
    <n v="0.66670798898071626"/>
    <n v="7.5043410852713173"/>
    <n v="8"/>
    <x v="1"/>
    <s v="August"/>
  </r>
  <r>
    <s v="CMP-01214"/>
    <s v="Q4_BlackFriday_CMP-01214"/>
    <x v="2"/>
    <s v="BlackFriday"/>
    <d v="2023-08-15T00:00:00"/>
    <d v="2023-09-05T00:00:00"/>
    <x v="5"/>
    <n v="23116"/>
    <n v="1048"/>
    <n v="1647.82"/>
    <n v="140"/>
    <s v="No"/>
    <s v="Not specified"/>
    <n v="21"/>
    <n v="4.5336563419276693E-2"/>
    <n v="0.13358778625954199"/>
    <n v="1.5723473282442748"/>
    <n v="11.770142857142856"/>
    <n v="8"/>
    <x v="1"/>
    <s v="August"/>
  </r>
  <r>
    <s v="CMP-00515"/>
    <s v="Q2_Winstagramter_CMP-00515"/>
    <x v="0"/>
    <s v="Winstagramter"/>
    <d v="2023-08-16T00:00:00"/>
    <d v="2023-08-23T00:00:00"/>
    <x v="4"/>
    <n v="69385"/>
    <n v="1772"/>
    <n v="1714.77"/>
    <n v="96"/>
    <s v="Yes"/>
    <s v="Google Ads"/>
    <n v="7"/>
    <n v="2.5538661093896374E-2"/>
    <n v="5.4176072234762979E-2"/>
    <n v="0.96770316027088032"/>
    <n v="17.862187500000001"/>
    <n v="8"/>
    <x v="1"/>
    <s v="August"/>
  </r>
  <r>
    <s v="CMP-01348"/>
    <s v="Q3_BlackFriday_CMP-01348"/>
    <x v="1"/>
    <s v="BlackFriday"/>
    <d v="2023-08-16T00:00:00"/>
    <d v="2023-08-18T00:00:00"/>
    <x v="1"/>
    <n v="54394"/>
    <n v="637"/>
    <n v="630.1"/>
    <n v="89"/>
    <s v="No"/>
    <s v="Email"/>
    <n v="2"/>
    <n v="1.1710850461447955E-2"/>
    <n v="0.13971742543171115"/>
    <n v="0.9891679748822606"/>
    <n v="7.0797752808988763"/>
    <n v="8"/>
    <x v="1"/>
    <s v="August"/>
  </r>
  <r>
    <s v="CMP-01971"/>
    <s v="Q4_BlackFriday_CMP-01971"/>
    <x v="2"/>
    <s v="BlackFriday"/>
    <d v="2023-08-16T00:00:00"/>
    <d v="2023-09-09T00:00:00"/>
    <x v="2"/>
    <n v="99762"/>
    <n v="3046"/>
    <n v="3611.31"/>
    <n v="593"/>
    <s v="No"/>
    <s v="IG"/>
    <n v="24"/>
    <n v="3.0532667749243198E-2"/>
    <n v="0.19468154957321077"/>
    <n v="1.18559093893631"/>
    <n v="6.0898988195615518"/>
    <n v="8"/>
    <x v="1"/>
    <s v="August"/>
  </r>
  <r>
    <s v="CMP-00576"/>
    <s v="Q1_Launch_CMP-00576"/>
    <x v="3"/>
    <s v="Launch"/>
    <d v="2023-08-17T00:00:00"/>
    <d v="2023-08-20T00:00:00"/>
    <x v="3"/>
    <n v="61692"/>
    <n v="2671"/>
    <n v="3073.4"/>
    <n v="193"/>
    <s v="No"/>
    <s v="FB"/>
    <n v="3"/>
    <n v="4.3295727160733967E-2"/>
    <n v="7.2257581430175966E-2"/>
    <n v="1.1506551853238487"/>
    <n v="15.924352331606219"/>
    <n v="8"/>
    <x v="1"/>
    <s v="August"/>
  </r>
  <r>
    <s v="CMP-00735"/>
    <s v="Q1_BlackFriday_CMP-00735"/>
    <x v="3"/>
    <s v="BlackFriday"/>
    <d v="2023-08-17T00:00:00"/>
    <d v="2023-08-28T00:00:00"/>
    <x v="1"/>
    <n v="42430"/>
    <n v="1028"/>
    <n v="1734.44"/>
    <n v="163"/>
    <s v="Yes"/>
    <s v="Email"/>
    <n v="11"/>
    <n v="2.4228140466650956E-2"/>
    <n v="0.15856031128404668"/>
    <n v="1.6871984435797667"/>
    <n v="10.640736196319018"/>
    <n v="8"/>
    <x v="1"/>
    <s v="August"/>
  </r>
  <r>
    <s v="CMP-01637"/>
    <s v="Q1_Winstagramter_CMP-01637"/>
    <x v="3"/>
    <s v="Winstagramter"/>
    <d v="2023-08-17T00:00:00"/>
    <d v="2023-08-18T00:00:00"/>
    <x v="2"/>
    <n v="57979"/>
    <n v="855"/>
    <n v="915.47"/>
    <n v="96"/>
    <s v="Yes"/>
    <s v="IG"/>
    <n v="1"/>
    <n v="1.4746718639507408E-2"/>
    <n v="0.11228070175438597"/>
    <n v="1.0707251461988305"/>
    <n v="9.5361458333333342"/>
    <n v="8"/>
    <x v="1"/>
    <s v="August"/>
  </r>
  <r>
    <s v="CMP-01889"/>
    <s v="Q1_Winstagramter_CMP-01889"/>
    <x v="3"/>
    <s v="Winstagramter"/>
    <d v="2023-08-17T00:00:00"/>
    <d v="2023-08-22T00:00:00"/>
    <x v="1"/>
    <n v="52027"/>
    <n v="2061"/>
    <n v="1780.33"/>
    <n v="136"/>
    <s v="No"/>
    <s v="Email"/>
    <n v="5"/>
    <n v="3.9614046552751456E-2"/>
    <n v="6.5987384764677345E-2"/>
    <n v="0.86381853469189707"/>
    <n v="13.090661764705882"/>
    <n v="8"/>
    <x v="1"/>
    <s v="August"/>
  </r>
  <r>
    <s v="CMP-01976"/>
    <s v="Q1_Launch_CMP-01976"/>
    <x v="3"/>
    <s v="Launch"/>
    <d v="2023-08-17T00:00:00"/>
    <d v="2023-09-12T00:00:00"/>
    <x v="0"/>
    <n v="28961"/>
    <n v="806"/>
    <n v="1090.23"/>
    <n v="121"/>
    <s v="No"/>
    <s v="TikTok"/>
    <n v="26"/>
    <n v="2.7830530713718448E-2"/>
    <n v="0.15012406947890819"/>
    <n v="1.3526426799007445"/>
    <n v="9.0101652892561983"/>
    <n v="8"/>
    <x v="1"/>
    <s v="August"/>
  </r>
  <r>
    <s v="CMP-00172"/>
    <s v="Q2_Winstagramter_CMP-00172"/>
    <x v="0"/>
    <s v="Winstagramter"/>
    <d v="2023-08-17T00:00:00"/>
    <d v="2023-09-06T00:00:00"/>
    <x v="3"/>
    <n v="22834"/>
    <n v="1097"/>
    <n v="1865.02"/>
    <n v="172"/>
    <s v="No"/>
    <s v="FB"/>
    <n v="20"/>
    <n v="4.8042392922834368E-2"/>
    <n v="0.15679124886052873"/>
    <n v="1.7001093892433909"/>
    <n v="10.84313953488372"/>
    <n v="8"/>
    <x v="1"/>
    <s v="August"/>
  </r>
  <r>
    <s v="CMP-00752"/>
    <s v="Q1_Winstagramter_CMP-00752"/>
    <x v="3"/>
    <s v="Winstagramter"/>
    <d v="2023-08-18T00:00:00"/>
    <d v="2023-08-30T00:00:00"/>
    <x v="4"/>
    <n v="28355"/>
    <n v="916"/>
    <n v="1095.6300000000001"/>
    <n v="86"/>
    <s v="Yes"/>
    <s v="Google Ads"/>
    <n v="12"/>
    <n v="3.2304708164344914E-2"/>
    <n v="9.3886462882096067E-2"/>
    <n v="1.1961026200873364"/>
    <n v="12.739883720930234"/>
    <n v="8"/>
    <x v="1"/>
    <s v="August"/>
  </r>
  <r>
    <s v="CMP-00516"/>
    <s v="Q2_Winstagramter_CMP-00516"/>
    <x v="0"/>
    <s v="Winstagramter"/>
    <d v="2023-08-18T00:00:00"/>
    <d v="2023-09-08T00:00:00"/>
    <x v="0"/>
    <n v="41158"/>
    <n v="681"/>
    <n v="595.64"/>
    <n v="0"/>
    <s v="Yes"/>
    <s v="TikTok"/>
    <n v="21"/>
    <n v="1.6545993488507701E-2"/>
    <n v="0"/>
    <n v="0.87465491923641703"/>
    <s v="0"/>
    <n v="8"/>
    <x v="1"/>
    <s v="August"/>
  </r>
  <r>
    <s v="CMP-00074"/>
    <s v="Q3_Summer_CMP-00074"/>
    <x v="1"/>
    <s v="Summer"/>
    <d v="2023-08-18T00:00:00"/>
    <d v="2023-09-06T00:00:00"/>
    <x v="1"/>
    <n v="93093"/>
    <n v="2343"/>
    <n v="4076.77"/>
    <n v="327"/>
    <s v="No"/>
    <s v="Email"/>
    <n v="19"/>
    <n v="2.5168380007089684E-2"/>
    <n v="0.13956466069142126"/>
    <n v="1.7399786598378149"/>
    <n v="12.467186544342507"/>
    <n v="8"/>
    <x v="1"/>
    <s v="August"/>
  </r>
  <r>
    <s v="CMP-00230"/>
    <s v="Q3_Summer_CMP-00230"/>
    <x v="1"/>
    <s v="Summer"/>
    <d v="2023-08-18T00:00:00"/>
    <d v="2023-08-27T00:00:00"/>
    <x v="0"/>
    <n v="99506"/>
    <n v="2431"/>
    <n v="4407.67"/>
    <n v="461"/>
    <s v="Yes"/>
    <s v="TikTok"/>
    <n v="9"/>
    <n v="2.4430687596727837E-2"/>
    <n v="0.18963389551624846"/>
    <n v="1.8131098313451255"/>
    <n v="9.561106290672452"/>
    <n v="8"/>
    <x v="1"/>
    <s v="August"/>
  </r>
  <r>
    <s v="CMP-00473"/>
    <s v="Q3_Launch_CMP-00473"/>
    <x v="1"/>
    <s v="Launch"/>
    <d v="2023-08-18T00:00:00"/>
    <d v="2023-09-11T00:00:00"/>
    <x v="3"/>
    <n v="6237"/>
    <n v="189"/>
    <n v="253.62"/>
    <n v="24"/>
    <s v="Yes"/>
    <s v="FB"/>
    <n v="24"/>
    <n v="3.0303030303030304E-2"/>
    <n v="0.12698412698412698"/>
    <n v="1.3419047619047619"/>
    <n v="10.567500000000001"/>
    <n v="8"/>
    <x v="1"/>
    <s v="August"/>
  </r>
  <r>
    <s v="CMP-00861"/>
    <s v="Q4_Winstagramter_CMP-00861"/>
    <x v="2"/>
    <s v="Winstagramter"/>
    <d v="2023-08-18T00:00:00"/>
    <d v="2023-09-03T00:00:00"/>
    <x v="0"/>
    <n v="74553"/>
    <n v="921"/>
    <n v="1251.6099999999999"/>
    <n v="81"/>
    <s v="No"/>
    <s v="TikTok"/>
    <n v="16"/>
    <n v="1.2353627620618889E-2"/>
    <n v="8.7947882736156349E-2"/>
    <n v="1.3589685124864277"/>
    <n v="15.451975308641973"/>
    <n v="8"/>
    <x v="1"/>
    <s v="August"/>
  </r>
  <r>
    <s v="CMP-01646"/>
    <s v="Q1_Winstagramter_CMP-01646"/>
    <x v="3"/>
    <s v="Winstagramter"/>
    <d v="2023-08-19T00:00:00"/>
    <d v="2023-09-05T00:00:00"/>
    <x v="5"/>
    <n v="83856"/>
    <n v="3879"/>
    <n v="5537.03"/>
    <n v="688"/>
    <s v="No"/>
    <s v="Not specified"/>
    <n v="17"/>
    <n v="4.6257870635374926E-2"/>
    <n v="0.17736530033513792"/>
    <n v="1.4274374838875998"/>
    <n v="8.0480087209302322"/>
    <n v="8"/>
    <x v="1"/>
    <s v="August"/>
  </r>
  <r>
    <s v="CMP-01723"/>
    <s v="Q1_Summer_CMP-01723"/>
    <x v="3"/>
    <s v="Summer"/>
    <d v="2023-08-19T00:00:00"/>
    <d v="2023-08-31T00:00:00"/>
    <x v="4"/>
    <n v="97826"/>
    <n v="3000"/>
    <n v="5159.16"/>
    <n v="523"/>
    <s v="No"/>
    <s v="Google Ads"/>
    <n v="12"/>
    <n v="3.0666693925950155E-2"/>
    <n v="0.17433333333333334"/>
    <n v="1.7197199999999999"/>
    <n v="9.8645506692160616"/>
    <n v="8"/>
    <x v="1"/>
    <s v="August"/>
  </r>
  <r>
    <s v="CMP-00786"/>
    <s v="Q2_BlackFriday_CMP-00786"/>
    <x v="0"/>
    <s v="BlackFriday"/>
    <d v="2023-08-19T00:00:00"/>
    <d v="2023-08-26T00:00:00"/>
    <x v="0"/>
    <n v="63680"/>
    <n v="2502"/>
    <n v="4402.8500000000004"/>
    <n v="172"/>
    <s v="Yes"/>
    <s v="TikTok"/>
    <n v="7"/>
    <n v="3.9290201005025123E-2"/>
    <n v="6.8745003996802556E-2"/>
    <n v="1.7597322142286171"/>
    <n v="25.59796511627907"/>
    <n v="8"/>
    <x v="1"/>
    <s v="August"/>
  </r>
  <r>
    <s v="CMP-01443"/>
    <s v="Q2_Launch_CMP-01443"/>
    <x v="0"/>
    <s v="Launch"/>
    <d v="2023-08-19T00:00:00"/>
    <d v="2023-09-16T00:00:00"/>
    <x v="2"/>
    <n v="12046"/>
    <n v="419"/>
    <n v="414.32"/>
    <n v="53"/>
    <s v="No"/>
    <s v="IG"/>
    <n v="28"/>
    <n v="3.4783330566163041E-2"/>
    <n v="0.12649164677804295"/>
    <n v="0.9888305489260143"/>
    <n v="7.817358490566038"/>
    <n v="8"/>
    <x v="1"/>
    <s v="August"/>
  </r>
  <r>
    <s v="CMP-00651"/>
    <s v="Q3_Launch_CMP-00651"/>
    <x v="1"/>
    <s v="Launch"/>
    <d v="2023-08-19T00:00:00"/>
    <d v="2023-08-31T00:00:00"/>
    <x v="2"/>
    <n v="49136"/>
    <n v="1232"/>
    <n v="788.23"/>
    <n v="239"/>
    <s v="No"/>
    <s v="IG"/>
    <n v="12"/>
    <n v="2.5073266037121459E-2"/>
    <n v="0.1939935064935065"/>
    <n v="0.63979707792207796"/>
    <n v="3.2980334728033474"/>
    <n v="8"/>
    <x v="1"/>
    <s v="August"/>
  </r>
  <r>
    <s v="CMP-00950"/>
    <s v="Q3_BlackFriday_CMP-00950"/>
    <x v="1"/>
    <s v="BlackFriday"/>
    <d v="2023-08-19T00:00:00"/>
    <d v="2023-08-25T00:00:00"/>
    <x v="3"/>
    <n v="16034"/>
    <n v="332"/>
    <n v="314.08999999999997"/>
    <n v="46"/>
    <s v="No"/>
    <s v="FB"/>
    <n v="6"/>
    <n v="2.0705999750530123E-2"/>
    <n v="0.13855421686746988"/>
    <n v="0.94605421686746982"/>
    <n v="6.8280434782608692"/>
    <n v="8"/>
    <x v="1"/>
    <s v="August"/>
  </r>
  <r>
    <s v="CMP-01630"/>
    <s v="Q3_BlackFriday_CMP-01630"/>
    <x v="1"/>
    <s v="BlackFriday"/>
    <d v="2023-08-19T00:00:00"/>
    <d v="2023-08-25T00:00:00"/>
    <x v="4"/>
    <n v="35636"/>
    <n v="847"/>
    <n v="1033.71"/>
    <n v="79"/>
    <s v="Yes"/>
    <s v="Google Ads"/>
    <n v="6"/>
    <n v="2.3768099674486474E-2"/>
    <n v="9.3270365997638729E-2"/>
    <n v="1.2204368358913813"/>
    <n v="13.084936708860759"/>
    <n v="8"/>
    <x v="1"/>
    <s v="August"/>
  </r>
  <r>
    <s v="CMP-01368"/>
    <s v="Q4_BlackFriday_CMP-01368"/>
    <x v="2"/>
    <s v="BlackFriday"/>
    <d v="2023-08-19T00:00:00"/>
    <d v="2023-08-21T00:00:00"/>
    <x v="1"/>
    <n v="63516"/>
    <n v="1645"/>
    <n v="904.59"/>
    <n v="259"/>
    <s v="No"/>
    <s v="Email"/>
    <n v="2"/>
    <n v="2.5898986082246993E-2"/>
    <n v="0.1574468085106383"/>
    <n v="0.54990273556231006"/>
    <n v="3.4926254826254826"/>
    <n v="8"/>
    <x v="1"/>
    <s v="August"/>
  </r>
  <r>
    <s v="CMP-00595"/>
    <s v="Q1_Winstagramter_CMP-00595"/>
    <x v="3"/>
    <s v="Winstagramter"/>
    <d v="2023-08-20T00:00:00"/>
    <d v="2023-09-18T00:00:00"/>
    <x v="3"/>
    <n v="62476"/>
    <n v="1041"/>
    <n v="1487.6"/>
    <n v="202"/>
    <s v="No"/>
    <s v="FB"/>
    <n v="29"/>
    <n v="1.6662398360970613E-2"/>
    <n v="0.19404418828049952"/>
    <n v="1.429010566762728"/>
    <n v="7.3643564356435638"/>
    <n v="8"/>
    <x v="1"/>
    <s v="August"/>
  </r>
  <r>
    <s v="CMP-00414"/>
    <s v="Q2_Winstagramter_CMP-00414"/>
    <x v="0"/>
    <s v="Winstagramter"/>
    <d v="2023-08-20T00:00:00"/>
    <d v="2023-09-10T00:00:00"/>
    <x v="0"/>
    <n v="56766"/>
    <n v="1446"/>
    <n v="971.99"/>
    <n v="102"/>
    <s v="No"/>
    <s v="TikTok"/>
    <n v="21"/>
    <n v="2.5472994398055174E-2"/>
    <n v="7.0539419087136929E-2"/>
    <n v="0.67219225449515907"/>
    <n v="9.5293137254901961"/>
    <n v="8"/>
    <x v="1"/>
    <s v="August"/>
  </r>
  <r>
    <s v="CMP-01865"/>
    <s v="Q2_Winstagramter_CMP-01865"/>
    <x v="0"/>
    <s v="Winstagramter"/>
    <d v="2023-08-20T00:00:00"/>
    <d v="2023-09-02T00:00:00"/>
    <x v="4"/>
    <n v="40341"/>
    <n v="1672"/>
    <n v="3152.55"/>
    <n v="273"/>
    <s v="Yes"/>
    <s v="Google Ads"/>
    <n v="13"/>
    <n v="4.14466671624402E-2"/>
    <n v="0.16327751196172249"/>
    <n v="1.8854964114832538"/>
    <n v="11.547802197802199"/>
    <n v="8"/>
    <x v="1"/>
    <s v="August"/>
  </r>
  <r>
    <s v="CMP-00020"/>
    <s v="Q1_Summer_CMP-00020"/>
    <x v="3"/>
    <s v="Summer"/>
    <d v="2023-08-21T00:00:00"/>
    <d v="2023-08-30T00:00:00"/>
    <x v="5"/>
    <n v="6311"/>
    <n v="256"/>
    <n v="353.99"/>
    <n v="0"/>
    <s v="Yes"/>
    <s v="Not specified"/>
    <n v="9"/>
    <n v="4.0564094438282364E-2"/>
    <n v="0"/>
    <n v="1.3827734375"/>
    <s v="0"/>
    <n v="8"/>
    <x v="1"/>
    <s v="August"/>
  </r>
  <r>
    <s v="CMP-00415"/>
    <s v="Q1_Summer_CMP-00415"/>
    <x v="3"/>
    <s v="Summer"/>
    <d v="2023-08-21T00:00:00"/>
    <d v="2023-08-31T00:00:00"/>
    <x v="4"/>
    <n v="14403"/>
    <n v="699"/>
    <n v="1336.7"/>
    <n v="79"/>
    <s v="Yes"/>
    <s v="Google Ads"/>
    <n v="10"/>
    <n v="4.8531555925848784E-2"/>
    <n v="0.11301859799713877"/>
    <n v="1.9123032904148785"/>
    <n v="16.920253164556964"/>
    <n v="8"/>
    <x v="1"/>
    <s v="August"/>
  </r>
  <r>
    <s v="CMP-01579"/>
    <s v="Q1_BlackFriday_CMP-01579"/>
    <x v="3"/>
    <s v="BlackFriday"/>
    <d v="2023-08-21T00:00:00"/>
    <d v="2023-08-30T00:00:00"/>
    <x v="3"/>
    <n v="96505"/>
    <n v="1739"/>
    <n v="2386.5100000000002"/>
    <n v="158"/>
    <s v="No"/>
    <s v="FB"/>
    <n v="9"/>
    <n v="1.8019791720636235E-2"/>
    <n v="9.0856814261069577E-2"/>
    <n v="1.3723461759631974"/>
    <n v="15.104493670886077"/>
    <n v="8"/>
    <x v="1"/>
    <s v="August"/>
  </r>
  <r>
    <s v="CMP-00043"/>
    <s v="Q2_Summer_CMP-00043"/>
    <x v="0"/>
    <s v="Summer"/>
    <d v="2023-08-21T00:00:00"/>
    <d v="2023-08-29T00:00:00"/>
    <x v="2"/>
    <n v="97276"/>
    <n v="2967"/>
    <n v="4397.28"/>
    <n v="546"/>
    <s v="Yes"/>
    <s v="IG"/>
    <n v="8"/>
    <n v="3.0500842962292857E-2"/>
    <n v="0.18402426693629928"/>
    <n v="1.4820626895854399"/>
    <n v="8.0536263736263738"/>
    <n v="8"/>
    <x v="1"/>
    <s v="August"/>
  </r>
  <r>
    <s v="CMP-00284"/>
    <s v="Q2_BlackFriday_CMP-00284"/>
    <x v="0"/>
    <s v="BlackFriday"/>
    <d v="2023-08-21T00:00:00"/>
    <d v="2023-09-20T00:00:00"/>
    <x v="5"/>
    <n v="62434"/>
    <n v="2322"/>
    <n v="3897.39"/>
    <n v="372"/>
    <s v="Yes"/>
    <s v="Not specified"/>
    <n v="30"/>
    <n v="3.719127398532851E-2"/>
    <n v="0.16020671834625322"/>
    <n v="1.6784625322997415"/>
    <n v="10.476854838709677"/>
    <n v="8"/>
    <x v="1"/>
    <s v="August"/>
  </r>
  <r>
    <s v="CMP-00385"/>
    <s v="Q2_Summer_CMP-00385"/>
    <x v="0"/>
    <s v="Summer"/>
    <d v="2023-08-21T00:00:00"/>
    <d v="2023-08-27T00:00:00"/>
    <x v="3"/>
    <n v="12093"/>
    <n v="213"/>
    <n v="217.33"/>
    <n v="0"/>
    <s v="Yes"/>
    <s v="FB"/>
    <n v="6"/>
    <n v="1.7613495410568097E-2"/>
    <n v="0"/>
    <n v="1.0203286384976527"/>
    <s v="0"/>
    <n v="8"/>
    <x v="1"/>
    <s v="August"/>
  </r>
  <r>
    <s v="CMP-01528"/>
    <s v="Q3_BlackFriday_CMP-01528"/>
    <x v="1"/>
    <s v="BlackFriday"/>
    <d v="2023-08-21T00:00:00"/>
    <d v="2023-09-05T00:00:00"/>
    <x v="4"/>
    <n v="25070"/>
    <n v="1092"/>
    <n v="1583.29"/>
    <n v="137"/>
    <s v="Yes"/>
    <s v="Google Ads"/>
    <n v="15"/>
    <n v="4.3558037495013961E-2"/>
    <n v="0.12545787545787546"/>
    <n v="1.4498992673992674"/>
    <n v="11.556861313868612"/>
    <n v="8"/>
    <x v="1"/>
    <s v="August"/>
  </r>
  <r>
    <s v="CMP-00222"/>
    <s v="Q1_Winstagramter_CMP-00222"/>
    <x v="3"/>
    <s v="Winstagramter"/>
    <d v="2023-08-21T00:00:00"/>
    <d v="2023-08-26T00:00:00"/>
    <x v="0"/>
    <n v="47717"/>
    <n v="691"/>
    <n v="985.25"/>
    <n v="127"/>
    <s v="Yes"/>
    <s v="TikTok"/>
    <n v="5"/>
    <n v="1.4481212146614414E-2"/>
    <n v="0.18379160636758321"/>
    <n v="1.4258321273516643"/>
    <n v="7.7578740157480315"/>
    <n v="8"/>
    <x v="1"/>
    <s v="August"/>
  </r>
  <r>
    <s v="CMP-00161"/>
    <s v="Q1_Winstagramter_CMP-00161"/>
    <x v="3"/>
    <s v="Winstagramter"/>
    <d v="2023-08-22T00:00:00"/>
    <d v="2023-09-03T00:00:00"/>
    <x v="5"/>
    <n v="44585"/>
    <n v="1424"/>
    <n v="854.1"/>
    <n v="184"/>
    <s v="No"/>
    <s v="Not specified"/>
    <n v="12"/>
    <n v="3.1938992934843556E-2"/>
    <n v="0.12921348314606743"/>
    <n v="0.59978932584269662"/>
    <n v="4.6418478260869565"/>
    <n v="8"/>
    <x v="1"/>
    <s v="August"/>
  </r>
  <r>
    <s v="CMP-00317"/>
    <s v="Q1_BlackFriday_CMP-00317"/>
    <x v="3"/>
    <s v="BlackFriday"/>
    <d v="2023-08-22T00:00:00"/>
    <d v="2023-09-18T00:00:00"/>
    <x v="2"/>
    <n v="24328"/>
    <n v="1010"/>
    <n v="1569.27"/>
    <n v="201"/>
    <s v="Yes"/>
    <s v="IG"/>
    <n v="27"/>
    <n v="4.1515948701085166E-2"/>
    <n v="0.19900990099009902"/>
    <n v="1.5537326732673267"/>
    <n v="7.8073134328358211"/>
    <n v="8"/>
    <x v="1"/>
    <s v="August"/>
  </r>
  <r>
    <s v="CMP-00980"/>
    <s v="Q1_BlackFriday_CMP-00980"/>
    <x v="3"/>
    <s v="BlackFriday"/>
    <d v="2023-08-22T00:00:00"/>
    <d v="2023-09-03T00:00:00"/>
    <x v="1"/>
    <n v="7371"/>
    <n v="314"/>
    <n v="588.34"/>
    <n v="32"/>
    <s v="Yes"/>
    <s v="Email"/>
    <n v="12"/>
    <n v="4.2599375932709266E-2"/>
    <n v="0.10191082802547771"/>
    <n v="1.8736942675159236"/>
    <n v="18.385625000000001"/>
    <n v="8"/>
    <x v="1"/>
    <s v="August"/>
  </r>
  <r>
    <s v="CMP-01662"/>
    <s v="Q3_BlackFriday_CMP-01662"/>
    <x v="1"/>
    <s v="BlackFriday"/>
    <d v="2023-08-22T00:00:00"/>
    <d v="2023-09-03T00:00:00"/>
    <x v="2"/>
    <n v="8657"/>
    <n v="127"/>
    <n v="226.48"/>
    <n v="22"/>
    <s v="Yes"/>
    <s v="IG"/>
    <n v="12"/>
    <n v="1.4670209079357744E-2"/>
    <n v="0.17322834645669291"/>
    <n v="1.7833070866141731"/>
    <n v="10.294545454545455"/>
    <n v="8"/>
    <x v="1"/>
    <s v="August"/>
  </r>
  <r>
    <s v="CMP-01324"/>
    <s v="Q4_Winstagramter_CMP-01324"/>
    <x v="2"/>
    <s v="Winstagramter"/>
    <d v="2023-08-22T00:00:00"/>
    <d v="2023-08-31T00:00:00"/>
    <x v="1"/>
    <n v="73258"/>
    <n v="2991"/>
    <n v="5800.17"/>
    <n v="346"/>
    <s v="Yes"/>
    <s v="Email"/>
    <n v="9"/>
    <n v="4.0828305441043981E-2"/>
    <n v="0.11568037445670344"/>
    <n v="1.9392076228686059"/>
    <n v="16.763497109826591"/>
    <n v="8"/>
    <x v="1"/>
    <s v="August"/>
  </r>
  <r>
    <s v="CMP-01682"/>
    <s v="Q4_BlackFriday_CMP-01682"/>
    <x v="2"/>
    <s v="BlackFriday"/>
    <d v="2023-08-22T00:00:00"/>
    <d v="2023-08-23T00:00:00"/>
    <x v="3"/>
    <n v="98820"/>
    <n v="1727"/>
    <n v="3007.59"/>
    <n v="150"/>
    <s v="No"/>
    <s v="FB"/>
    <n v="1"/>
    <n v="1.7476219388787694E-2"/>
    <n v="8.6855819339895779E-2"/>
    <n v="1.7415112912565143"/>
    <n v="20.050599999999999"/>
    <n v="8"/>
    <x v="1"/>
    <s v="August"/>
  </r>
  <r>
    <s v="CMP-00559"/>
    <s v="Q1_Launch_CMP-00559"/>
    <x v="3"/>
    <s v="Launch"/>
    <d v="2023-08-23T00:00:00"/>
    <d v="2023-09-07T00:00:00"/>
    <x v="2"/>
    <n v="26351"/>
    <n v="1119"/>
    <n v="1196.69"/>
    <n v="0"/>
    <s v="Yes"/>
    <s v="IG"/>
    <n v="15"/>
    <n v="4.2465181587036542E-2"/>
    <n v="0"/>
    <n v="1.0694280607685434"/>
    <s v="0"/>
    <n v="8"/>
    <x v="1"/>
    <s v="August"/>
  </r>
  <r>
    <s v="CMP-00714"/>
    <s v="Q1_Winstagramter_CMP-00714"/>
    <x v="3"/>
    <s v="Winstagramter"/>
    <d v="2023-08-23T00:00:00"/>
    <d v="2023-09-19T00:00:00"/>
    <x v="5"/>
    <n v="68641"/>
    <n v="2183"/>
    <n v="4317.45"/>
    <n v="203"/>
    <s v="Yes"/>
    <s v="Not specified"/>
    <n v="27"/>
    <n v="3.1803149721012225E-2"/>
    <n v="9.2991296381126895E-2"/>
    <n v="1.9777599633531837"/>
    <n v="21.268226600985219"/>
    <n v="8"/>
    <x v="1"/>
    <s v="August"/>
  </r>
  <r>
    <s v="CMP-00873"/>
    <s v="Q1_Launch_CMP-00873"/>
    <x v="3"/>
    <s v="Launch"/>
    <d v="2023-08-23T00:00:00"/>
    <d v="2023-09-07T00:00:00"/>
    <x v="0"/>
    <n v="71173"/>
    <n v="2995"/>
    <n v="2542.19"/>
    <n v="150"/>
    <s v="Yes"/>
    <s v="TikTok"/>
    <n v="15"/>
    <n v="4.2080564258918408E-2"/>
    <n v="5.0083472454090151E-2"/>
    <n v="0.84881135225375626"/>
    <n v="16.947933333333335"/>
    <n v="8"/>
    <x v="1"/>
    <s v="August"/>
  </r>
  <r>
    <s v="CMP-00922"/>
    <s v="Q1_Launch_CMP-00922"/>
    <x v="3"/>
    <s v="Launch"/>
    <d v="2023-08-23T00:00:00"/>
    <d v="2023-09-08T00:00:00"/>
    <x v="5"/>
    <n v="24624"/>
    <n v="972"/>
    <n v="989.92"/>
    <n v="129"/>
    <s v="No"/>
    <s v="Not specified"/>
    <n v="16"/>
    <n v="3.9473684210526314E-2"/>
    <n v="0.13271604938271606"/>
    <n v="1.0184362139917695"/>
    <n v="7.673798449612403"/>
    <n v="8"/>
    <x v="1"/>
    <s v="August"/>
  </r>
  <r>
    <s v="CMP-01823"/>
    <s v="Q1_Winstagramter_CMP-01823"/>
    <x v="3"/>
    <s v="Winstagramter"/>
    <d v="2023-08-23T00:00:00"/>
    <d v="2023-08-24T00:00:00"/>
    <x v="4"/>
    <n v="82958"/>
    <n v="3728"/>
    <n v="6589.08"/>
    <n v="553"/>
    <s v="Yes"/>
    <s v="Google Ads"/>
    <n v="1"/>
    <n v="4.4938402565153454E-2"/>
    <n v="0.14833690987124465"/>
    <n v="1.7674570815450643"/>
    <n v="11.915153707052442"/>
    <n v="8"/>
    <x v="1"/>
    <s v="August"/>
  </r>
  <r>
    <s v="CMP-01270"/>
    <s v="Q3_BlackFriday_CMP-01270"/>
    <x v="1"/>
    <s v="BlackFriday"/>
    <d v="2023-08-23T00:00:00"/>
    <d v="2023-09-09T00:00:00"/>
    <x v="2"/>
    <n v="76520"/>
    <n v="1250"/>
    <n v="1371.78"/>
    <n v="206"/>
    <s v="No"/>
    <s v="IG"/>
    <n v="17"/>
    <n v="1.6335598536330372E-2"/>
    <n v="0.1648"/>
    <n v="1.097424"/>
    <n v="6.6591262135922324"/>
    <n v="8"/>
    <x v="1"/>
    <s v="August"/>
  </r>
  <r>
    <s v="CMP-00541"/>
    <s v="Q4_Launch_CMP-00541"/>
    <x v="2"/>
    <s v="Launch"/>
    <d v="2023-08-23T00:00:00"/>
    <d v="2023-08-30T00:00:00"/>
    <x v="1"/>
    <n v="5000"/>
    <n v="187"/>
    <n v="171.51"/>
    <n v="20"/>
    <s v="Yes"/>
    <s v="Email"/>
    <n v="7"/>
    <n v="3.7400000000000003E-2"/>
    <n v="0.10695187165775401"/>
    <n v="0.91716577540106947"/>
    <n v="8.5754999999999999"/>
    <n v="8"/>
    <x v="1"/>
    <s v="August"/>
  </r>
  <r>
    <s v="CMP-00679"/>
    <s v="Q1_BlackFriday_CMP-00679"/>
    <x v="3"/>
    <s v="BlackFriday"/>
    <d v="2023-08-24T00:00:00"/>
    <d v="2023-09-05T00:00:00"/>
    <x v="4"/>
    <n v="2324"/>
    <n v="101"/>
    <n v="112.27"/>
    <n v="0"/>
    <s v="Yes"/>
    <s v="Google Ads"/>
    <n v="12"/>
    <n v="4.3459552495697072E-2"/>
    <n v="0"/>
    <n v="1.1115841584158415"/>
    <s v="0"/>
    <n v="8"/>
    <x v="1"/>
    <s v="August"/>
  </r>
  <r>
    <s v="CMP-01769"/>
    <s v="Q1_Winstagramter_CMP-01769"/>
    <x v="3"/>
    <s v="Winstagramter"/>
    <d v="2023-08-24T00:00:00"/>
    <d v="2023-09-08T00:00:00"/>
    <x v="2"/>
    <n v="2007"/>
    <n v="73"/>
    <n v="63.97"/>
    <n v="12"/>
    <s v="No"/>
    <s v="IG"/>
    <n v="15"/>
    <n v="3.6372695565520675E-2"/>
    <n v="0.16438356164383561"/>
    <n v="0.87630136986301366"/>
    <n v="5.3308333333333335"/>
    <n v="8"/>
    <x v="1"/>
    <s v="August"/>
  </r>
  <r>
    <s v="CMP-00461"/>
    <s v="Q2_Summer_CMP-00461"/>
    <x v="0"/>
    <s v="Summer"/>
    <d v="2023-08-24T00:00:00"/>
    <d v="2023-08-31T00:00:00"/>
    <x v="5"/>
    <n v="33217"/>
    <n v="930"/>
    <n v="593.57000000000005"/>
    <n v="158"/>
    <s v="Yes"/>
    <s v="Not specified"/>
    <n v="7"/>
    <n v="2.7997712014932112E-2"/>
    <n v="0.16989247311827957"/>
    <n v="0.63824731182795702"/>
    <n v="3.7567721518987347"/>
    <n v="8"/>
    <x v="1"/>
    <s v="August"/>
  </r>
  <r>
    <s v="CMP-01587"/>
    <s v="Q2_Launch_CMP-01587"/>
    <x v="0"/>
    <s v="Launch"/>
    <d v="2023-08-24T00:00:00"/>
    <d v="2023-09-10T00:00:00"/>
    <x v="4"/>
    <n v="30629"/>
    <n v="1202"/>
    <n v="1144.54"/>
    <n v="0"/>
    <s v="Yes"/>
    <s v="Google Ads"/>
    <n v="17"/>
    <n v="3.9243853863985115E-2"/>
    <n v="0"/>
    <n v="0.95219633943427617"/>
    <s v="0"/>
    <n v="8"/>
    <x v="1"/>
    <s v="August"/>
  </r>
  <r>
    <s v="CMP-01087"/>
    <s v="Q2_Winstagramter_CMP-01087"/>
    <x v="0"/>
    <s v="Winstagramter"/>
    <d v="2023-08-25T00:00:00"/>
    <d v="2023-09-20T00:00:00"/>
    <x v="4"/>
    <n v="6951"/>
    <n v="217"/>
    <n v="357.82"/>
    <n v="20"/>
    <s v="No"/>
    <s v="Google Ads"/>
    <n v="26"/>
    <n v="3.1218529707955689E-2"/>
    <n v="9.2165898617511524E-2"/>
    <n v="1.6489400921658985"/>
    <n v="17.890999999999998"/>
    <n v="8"/>
    <x v="1"/>
    <s v="August"/>
  </r>
  <r>
    <s v="CMP-00075"/>
    <s v="Q3_BlackFriday_CMP-00075"/>
    <x v="1"/>
    <s v="BlackFriday"/>
    <d v="2023-08-25T00:00:00"/>
    <d v="2023-09-10T00:00:00"/>
    <x v="0"/>
    <n v="33606"/>
    <n v="1150"/>
    <n v="2132.84"/>
    <n v="152"/>
    <s v="Yes"/>
    <s v="TikTok"/>
    <n v="16"/>
    <n v="3.4220079747664105E-2"/>
    <n v="0.13217391304347825"/>
    <n v="1.8546434782608696"/>
    <n v="14.031842105263159"/>
    <n v="8"/>
    <x v="1"/>
    <s v="August"/>
  </r>
  <r>
    <s v="CMP-00519"/>
    <s v="Q3_Summer_CMP-00519"/>
    <x v="1"/>
    <s v="Summer"/>
    <d v="2023-08-25T00:00:00"/>
    <d v="2023-09-18T00:00:00"/>
    <x v="0"/>
    <n v="10823"/>
    <n v="400"/>
    <n v="399.27"/>
    <n v="40"/>
    <s v="Yes"/>
    <s v="TikTok"/>
    <n v="24"/>
    <n v="3.6958329483507343E-2"/>
    <n v="0.1"/>
    <n v="0.99817499999999992"/>
    <n v="9.9817499999999999"/>
    <n v="8"/>
    <x v="1"/>
    <s v="August"/>
  </r>
  <r>
    <s v="CMP-00885"/>
    <s v="Q3_Launch_CMP-00885"/>
    <x v="1"/>
    <s v="Launch"/>
    <d v="2023-08-25T00:00:00"/>
    <d v="2023-09-17T00:00:00"/>
    <x v="5"/>
    <n v="15388"/>
    <n v="758"/>
    <n v="454.83"/>
    <n v="65"/>
    <s v="No"/>
    <s v="Not specified"/>
    <n v="23"/>
    <n v="4.9259162984143491E-2"/>
    <n v="8.5751978891820582E-2"/>
    <n v="0.6000395778364116"/>
    <n v="6.9973846153846155"/>
    <n v="8"/>
    <x v="1"/>
    <s v="August"/>
  </r>
  <r>
    <s v="CMP-01224"/>
    <s v="Q1_BlackFriday_CMP-01224"/>
    <x v="3"/>
    <s v="BlackFriday"/>
    <d v="2023-08-26T00:00:00"/>
    <d v="2023-09-12T00:00:00"/>
    <x v="3"/>
    <n v="12694"/>
    <n v="447"/>
    <n v="446.63"/>
    <n v="54"/>
    <s v="Yes"/>
    <s v="FB"/>
    <n v="17"/>
    <n v="3.52134866866236E-2"/>
    <n v="0.12080536912751678"/>
    <n v="0.99917225950782995"/>
    <n v="8.2709259259259262"/>
    <n v="8"/>
    <x v="1"/>
    <s v="August"/>
  </r>
  <r>
    <s v="CMP-00472"/>
    <s v="Q3_Summer_CMP-00472"/>
    <x v="1"/>
    <s v="Summer"/>
    <d v="2023-08-26T00:00:00"/>
    <d v="2023-09-11T00:00:00"/>
    <x v="0"/>
    <n v="8805"/>
    <n v="100"/>
    <n v="162.22"/>
    <n v="16"/>
    <s v="No"/>
    <s v="TikTok"/>
    <n v="16"/>
    <n v="1.1357183418512209E-2"/>
    <n v="0.16"/>
    <n v="1.6222000000000001"/>
    <n v="10.13875"/>
    <n v="8"/>
    <x v="1"/>
    <s v="August"/>
  </r>
  <r>
    <s v="CMP-00557"/>
    <s v="Q3_Summer_CMP-00557"/>
    <x v="1"/>
    <s v="Summer"/>
    <d v="2023-08-26T00:00:00"/>
    <d v="2023-09-19T00:00:00"/>
    <x v="1"/>
    <n v="94008"/>
    <n v="1544"/>
    <n v="888.3"/>
    <n v="179"/>
    <s v="No"/>
    <s v="Email"/>
    <n v="24"/>
    <n v="1.6424134116245426E-2"/>
    <n v="0.11593264248704663"/>
    <n v="0.57532383419689115"/>
    <n v="4.9625698324022345"/>
    <n v="8"/>
    <x v="1"/>
    <s v="August"/>
  </r>
  <r>
    <s v="CMP-00337"/>
    <s v="Q2_BlackFriday_CMP-00337"/>
    <x v="0"/>
    <s v="BlackFriday"/>
    <d v="2023-08-27T00:00:00"/>
    <d v="2023-09-04T00:00:00"/>
    <x v="0"/>
    <n v="77213"/>
    <n v="2522"/>
    <n v="4487.83"/>
    <n v="419"/>
    <s v="Yes"/>
    <s v="TikTok"/>
    <n v="8"/>
    <n v="3.2662893554194244E-2"/>
    <n v="0.16613798572561458"/>
    <n v="1.7794726407613006"/>
    <n v="10.710811455847255"/>
    <n v="8"/>
    <x v="1"/>
    <s v="August"/>
  </r>
  <r>
    <s v="CMP-01077"/>
    <s v="Q2_Winstagramter_CMP-01077"/>
    <x v="0"/>
    <s v="Winstagramter"/>
    <d v="2023-08-27T00:00:00"/>
    <d v="2023-09-12T00:00:00"/>
    <x v="0"/>
    <n v="43929"/>
    <n v="1927"/>
    <n v="2960.04"/>
    <n v="287"/>
    <s v="No"/>
    <s v="TikTok"/>
    <n v="16"/>
    <n v="4.3866238703362245E-2"/>
    <n v="0.14893617021276595"/>
    <n v="1.5360871821484172"/>
    <n v="10.313728222996515"/>
    <n v="8"/>
    <x v="1"/>
    <s v="August"/>
  </r>
  <r>
    <s v="CMP-01979"/>
    <s v="Q4_Summer_CMP-01979"/>
    <x v="2"/>
    <s v="Summer"/>
    <d v="2023-08-27T00:00:00"/>
    <d v="2023-08-31T00:00:00"/>
    <x v="4"/>
    <n v="34662"/>
    <n v="1190"/>
    <n v="1042.81"/>
    <n v="186"/>
    <s v="Yes"/>
    <s v="Google Ads"/>
    <n v="4"/>
    <n v="3.4331544631008022E-2"/>
    <n v="0.15630252100840336"/>
    <n v="0.87631092436974789"/>
    <n v="5.606505376344086"/>
    <n v="8"/>
    <x v="1"/>
    <s v="August"/>
  </r>
  <r>
    <s v="CMP-00055"/>
    <s v="Q1_Launch_CMP-00055"/>
    <x v="3"/>
    <s v="Launch"/>
    <d v="2023-08-27T00:00:00"/>
    <d v="2023-09-01T00:00:00"/>
    <x v="4"/>
    <n v="18159"/>
    <n v="471"/>
    <n v="563.30999999999995"/>
    <n v="33"/>
    <s v="No"/>
    <s v="Google Ads"/>
    <n v="5"/>
    <n v="2.5937551627292253E-2"/>
    <n v="7.0063694267515922E-2"/>
    <n v="1.1959872611464968"/>
    <n v="17.069999999999997"/>
    <n v="8"/>
    <x v="1"/>
    <s v="August"/>
  </r>
  <r>
    <s v="CMP-00270"/>
    <s v="Q2_Winstagramter_CMP-00270"/>
    <x v="0"/>
    <s v="Winstagramter"/>
    <d v="2023-08-28T00:00:00"/>
    <d v="2023-09-08T00:00:00"/>
    <x v="1"/>
    <n v="22918"/>
    <n v="472"/>
    <n v="896.08"/>
    <n v="76"/>
    <s v="Yes"/>
    <s v="Email"/>
    <n v="11"/>
    <n v="2.0595165372196526E-2"/>
    <n v="0.16101694915254236"/>
    <n v="1.8984745762711865"/>
    <n v="11.790526315789474"/>
    <n v="8"/>
    <x v="1"/>
    <s v="August"/>
  </r>
  <r>
    <s v="CMP-01721"/>
    <s v="Q4_Winstagramter_CMP-01721"/>
    <x v="2"/>
    <s v="Winstagramter"/>
    <d v="2023-08-28T00:00:00"/>
    <d v="2023-08-31T00:00:00"/>
    <x v="2"/>
    <n v="20623"/>
    <n v="267"/>
    <n v="188.12"/>
    <n v="18"/>
    <s v="Yes"/>
    <s v="IG"/>
    <n v="3"/>
    <n v="1.2946709983998448E-2"/>
    <n v="6.741573033707865E-2"/>
    <n v="0.70456928838951316"/>
    <n v="10.451111111111111"/>
    <n v="8"/>
    <x v="1"/>
    <s v="August"/>
  </r>
  <r>
    <s v="CMP-00799"/>
    <s v="Q1_Winstagramter_CMP-00799"/>
    <x v="3"/>
    <s v="Winstagramter"/>
    <d v="2023-08-29T00:00:00"/>
    <d v="2023-09-25T00:00:00"/>
    <x v="4"/>
    <n v="48926"/>
    <n v="1121"/>
    <n v="1593.76"/>
    <n v="178"/>
    <s v="Yes"/>
    <s v="Google Ads"/>
    <n v="27"/>
    <n v="2.291215304745943E-2"/>
    <n v="0.15878679750223015"/>
    <n v="1.4217305976806422"/>
    <n v="8.9537078651685391"/>
    <n v="8"/>
    <x v="1"/>
    <s v="August"/>
  </r>
  <r>
    <s v="CMP-01694"/>
    <s v="Q1_Summer_CMP-01694"/>
    <x v="3"/>
    <s v="Summer"/>
    <d v="2023-08-29T00:00:00"/>
    <d v="2023-09-11T00:00:00"/>
    <x v="2"/>
    <n v="82121"/>
    <n v="1916"/>
    <n v="1838.21"/>
    <n v="184"/>
    <s v="No"/>
    <s v="IG"/>
    <n v="13"/>
    <n v="2.3331425579328064E-2"/>
    <n v="9.6033402922755737E-2"/>
    <n v="0.9593997912317328"/>
    <n v="9.990271739130435"/>
    <n v="8"/>
    <x v="1"/>
    <s v="August"/>
  </r>
  <r>
    <s v="CMP-00476"/>
    <s v="Q2_Launch_CMP-00476"/>
    <x v="0"/>
    <s v="Launch"/>
    <d v="2023-08-29T00:00:00"/>
    <d v="2023-09-09T00:00:00"/>
    <x v="0"/>
    <n v="57556"/>
    <n v="2858"/>
    <n v="4831.04"/>
    <n v="230"/>
    <s v="Yes"/>
    <s v="TikTok"/>
    <n v="11"/>
    <n v="4.9655987212453956E-2"/>
    <n v="8.0475857242827145E-2"/>
    <n v="1.6903568929321204"/>
    <n v="21.004521739130436"/>
    <n v="8"/>
    <x v="1"/>
    <s v="August"/>
  </r>
  <r>
    <s v="CMP-00517"/>
    <s v="Q2_Launch_CMP-00517"/>
    <x v="0"/>
    <s v="Launch"/>
    <d v="2023-08-29T00:00:00"/>
    <d v="2023-09-05T00:00:00"/>
    <x v="0"/>
    <n v="66417"/>
    <n v="1391"/>
    <n v="2060.41"/>
    <n v="127"/>
    <s v="No"/>
    <s v="TikTok"/>
    <n v="7"/>
    <n v="2.0943433157173615E-2"/>
    <n v="9.1301222142343638E-2"/>
    <n v="1.4812437095614666"/>
    <n v="16.223700787401572"/>
    <n v="8"/>
    <x v="1"/>
    <s v="August"/>
  </r>
  <r>
    <s v="CMP-00261"/>
    <s v="Q3_Launch_CMP-00261"/>
    <x v="1"/>
    <s v="Launch"/>
    <d v="2023-08-29T00:00:00"/>
    <d v="2023-09-11T00:00:00"/>
    <x v="3"/>
    <n v="72295"/>
    <n v="2012"/>
    <n v="3732.15"/>
    <n v="386"/>
    <s v="Yes"/>
    <s v="FB"/>
    <n v="13"/>
    <n v="2.7830417041289163E-2"/>
    <n v="0.19184890656063619"/>
    <n v="1.8549453280318091"/>
    <n v="9.6687823834196891"/>
    <n v="8"/>
    <x v="1"/>
    <s v="August"/>
  </r>
  <r>
    <s v="CMP-00280"/>
    <s v="Q3_BlackFriday_CMP-00280"/>
    <x v="1"/>
    <s v="BlackFriday"/>
    <d v="2023-08-29T00:00:00"/>
    <d v="2023-09-21T00:00:00"/>
    <x v="1"/>
    <n v="3049"/>
    <n v="39"/>
    <n v="54.83"/>
    <n v="7"/>
    <s v="Yes"/>
    <s v="Email"/>
    <n v="23"/>
    <n v="1.2791079042308954E-2"/>
    <n v="0.17948717948717949"/>
    <n v="1.4058974358974359"/>
    <n v="7.8328571428571427"/>
    <n v="8"/>
    <x v="1"/>
    <s v="August"/>
  </r>
  <r>
    <s v="CMP-00550"/>
    <s v="Q3_Winstagramter_CMP-00550"/>
    <x v="1"/>
    <s v="Winstagramter"/>
    <d v="2023-08-29T00:00:00"/>
    <d v="2023-09-28T00:00:00"/>
    <x v="3"/>
    <n v="87027"/>
    <n v="3000"/>
    <n v="4695.5200000000004"/>
    <n v="393"/>
    <s v="No"/>
    <s v="FB"/>
    <n v="30"/>
    <n v="3.4472060395049811E-2"/>
    <n v="0.13100000000000001"/>
    <n v="1.5651733333333335"/>
    <n v="11.947888040712469"/>
    <n v="8"/>
    <x v="1"/>
    <s v="August"/>
  </r>
  <r>
    <s v="CMP-01982"/>
    <s v="Q3_BlackFriday_CMP-01982"/>
    <x v="1"/>
    <s v="BlackFriday"/>
    <d v="2023-08-29T00:00:00"/>
    <d v="2023-09-16T00:00:00"/>
    <x v="3"/>
    <n v="22288"/>
    <n v="552"/>
    <n v="926.14"/>
    <n v="0"/>
    <s v="No"/>
    <s v="FB"/>
    <n v="18"/>
    <n v="2.4766690595836326E-2"/>
    <n v="0"/>
    <n v="1.6777898550724637"/>
    <s v="0"/>
    <n v="8"/>
    <x v="1"/>
    <s v="August"/>
  </r>
  <r>
    <s v="CMP-00246"/>
    <s v="Q4_Winstagramter_CMP-00246"/>
    <x v="2"/>
    <s v="Winstagramter"/>
    <d v="2023-08-29T00:00:00"/>
    <d v="2023-09-09T00:00:00"/>
    <x v="1"/>
    <n v="16708"/>
    <n v="483"/>
    <n v="795.86"/>
    <n v="87"/>
    <s v="Yes"/>
    <s v="Email"/>
    <n v="11"/>
    <n v="2.8908307397653817E-2"/>
    <n v="0.18012422360248448"/>
    <n v="1.6477432712215321"/>
    <n v="9.1478160919540237"/>
    <n v="8"/>
    <x v="1"/>
    <s v="August"/>
  </r>
  <r>
    <s v="CMP-01343"/>
    <s v="Q4_BlackFriday_CMP-01343"/>
    <x v="2"/>
    <s v="BlackFriday"/>
    <d v="2023-08-29T00:00:00"/>
    <d v="2023-09-02T00:00:00"/>
    <x v="0"/>
    <n v="7150"/>
    <n v="86"/>
    <n v="61.32"/>
    <n v="12"/>
    <s v="No"/>
    <s v="TikTok"/>
    <n v="4"/>
    <n v="1.2027972027972029E-2"/>
    <n v="0.13953488372093023"/>
    <n v="0.71302325581395354"/>
    <n v="5.1100000000000003"/>
    <n v="8"/>
    <x v="1"/>
    <s v="August"/>
  </r>
  <r>
    <s v="CMP-01112"/>
    <s v="Q1_BlackFriday_CMP-01112"/>
    <x v="3"/>
    <s v="BlackFriday"/>
    <d v="2023-08-30T00:00:00"/>
    <d v="2023-09-08T00:00:00"/>
    <x v="4"/>
    <n v="73101"/>
    <n v="2128"/>
    <n v="3257.85"/>
    <n v="332"/>
    <s v="No"/>
    <s v="Google Ads"/>
    <n v="9"/>
    <n v="2.9110408886335343E-2"/>
    <n v="0.15601503759398497"/>
    <n v="1.5309445488721805"/>
    <n v="9.8128012048192765"/>
    <n v="8"/>
    <x v="1"/>
    <s v="August"/>
  </r>
  <r>
    <s v="CMP-01807"/>
    <s v="Q1_Summer_CMP-01807"/>
    <x v="3"/>
    <s v="Summer"/>
    <d v="2023-08-30T00:00:00"/>
    <d v="2023-09-02T00:00:00"/>
    <x v="5"/>
    <n v="58372"/>
    <n v="1511"/>
    <n v="1963.15"/>
    <n v="76"/>
    <s v="Yes"/>
    <s v="Not specified"/>
    <n v="3"/>
    <n v="2.5885698622627289E-2"/>
    <n v="5.0297816015883519E-2"/>
    <n v="1.2992389146260754"/>
    <n v="25.830921052631581"/>
    <n v="8"/>
    <x v="1"/>
    <s v="August"/>
  </r>
  <r>
    <s v="CMP-00534"/>
    <s v="Q2_BlackFriday_CMP-00534"/>
    <x v="0"/>
    <s v="BlackFriday"/>
    <d v="2023-08-30T00:00:00"/>
    <d v="2023-09-08T00:00:00"/>
    <x v="2"/>
    <n v="67387"/>
    <n v="819"/>
    <n v="947.8"/>
    <n v="65"/>
    <s v="No"/>
    <s v="IG"/>
    <n v="9"/>
    <n v="1.21536794930773E-2"/>
    <n v="7.9365079365079361E-2"/>
    <n v="1.1572649572649572"/>
    <n v="14.581538461538461"/>
    <n v="8"/>
    <x v="1"/>
    <s v="August"/>
  </r>
  <r>
    <s v="CMP-00732"/>
    <s v="Q2_Launch_CMP-00732"/>
    <x v="0"/>
    <s v="Launch"/>
    <d v="2023-08-30T00:00:00"/>
    <d v="2023-09-21T00:00:00"/>
    <x v="3"/>
    <n v="53736"/>
    <n v="1161"/>
    <n v="920.11"/>
    <n v="154"/>
    <s v="Yes"/>
    <s v="FB"/>
    <n v="22"/>
    <n v="2.1605627512282267E-2"/>
    <n v="0.13264427217915589"/>
    <n v="0.79251507321274761"/>
    <n v="5.9747402597402601"/>
    <n v="8"/>
    <x v="1"/>
    <s v="August"/>
  </r>
  <r>
    <s v="CMP-01016"/>
    <s v="Q2_Launch_CMP-01016"/>
    <x v="0"/>
    <s v="Launch"/>
    <d v="2023-08-30T00:00:00"/>
    <d v="2023-09-04T00:00:00"/>
    <x v="0"/>
    <n v="5324"/>
    <n v="212"/>
    <n v="169.41"/>
    <n v="36"/>
    <s v="Yes"/>
    <s v="TikTok"/>
    <n v="5"/>
    <n v="3.9819684447783624E-2"/>
    <n v="0.16981132075471697"/>
    <n v="0.7991037735849057"/>
    <n v="4.7058333333333335"/>
    <n v="8"/>
    <x v="1"/>
    <s v="August"/>
  </r>
  <r>
    <s v="CMP-00675"/>
    <s v="Q3_Launch_CMP-00675"/>
    <x v="1"/>
    <s v="Launch"/>
    <d v="2023-08-30T00:00:00"/>
    <d v="2023-09-28T00:00:00"/>
    <x v="0"/>
    <n v="92792"/>
    <n v="3849"/>
    <n v="7183.02"/>
    <n v="315"/>
    <s v="Yes"/>
    <s v="TikTok"/>
    <n v="29"/>
    <n v="4.1479868954220192E-2"/>
    <n v="8.1839438815276694E-2"/>
    <n v="1.8662042088854249"/>
    <n v="22.803238095238097"/>
    <n v="8"/>
    <x v="1"/>
    <s v="August"/>
  </r>
  <r>
    <s v="CMP-01266"/>
    <s v="Q3_Summer_CMP-01266"/>
    <x v="1"/>
    <s v="Summer"/>
    <d v="2023-08-30T00:00:00"/>
    <d v="2023-09-06T00:00:00"/>
    <x v="1"/>
    <n v="22566"/>
    <n v="333"/>
    <n v="240.04"/>
    <n v="40"/>
    <s v="Yes"/>
    <s v="Email"/>
    <n v="7"/>
    <n v="1.4756713639989365E-2"/>
    <n v="0.12012012012012012"/>
    <n v="0.72084084084084077"/>
    <n v="6.0009999999999994"/>
    <n v="8"/>
    <x v="1"/>
    <s v="August"/>
  </r>
  <r>
    <s v="CMP-01451"/>
    <s v="Q1_Winstagramter_CMP-01451"/>
    <x v="3"/>
    <s v="Winstagramter"/>
    <d v="2023-08-31T00:00:00"/>
    <d v="2023-09-29T00:00:00"/>
    <x v="3"/>
    <n v="90399"/>
    <n v="2644"/>
    <n v="1865.42"/>
    <n v="365"/>
    <s v="Yes"/>
    <s v="FB"/>
    <n v="29"/>
    <n v="2.9248111151672033E-2"/>
    <n v="0.1380484114977307"/>
    <n v="0.70552950075642973"/>
    <n v="5.1107397260273979"/>
    <n v="8"/>
    <x v="1"/>
    <s v="August"/>
  </r>
  <r>
    <s v="CMP-00068"/>
    <s v="Q2_Winstagramter_CMP-00068"/>
    <x v="0"/>
    <s v="Winstagramter"/>
    <d v="2023-08-31T00:00:00"/>
    <d v="2023-09-12T00:00:00"/>
    <x v="3"/>
    <n v="10692"/>
    <n v="169"/>
    <n v="253.53"/>
    <n v="18"/>
    <s v="Yes"/>
    <s v="FB"/>
    <n v="12"/>
    <n v="1.5806210250654696E-2"/>
    <n v="0.10650887573964497"/>
    <n v="1.5001775147928995"/>
    <n v="14.085000000000001"/>
    <n v="8"/>
    <x v="1"/>
    <s v="August"/>
  </r>
  <r>
    <s v="CMP-00658"/>
    <s v="Q2_Launch_CMP-00658"/>
    <x v="0"/>
    <s v="Launch"/>
    <d v="2023-08-31T00:00:00"/>
    <d v="2023-09-12T00:00:00"/>
    <x v="2"/>
    <n v="22677"/>
    <n v="271"/>
    <n v="172.05"/>
    <n v="42"/>
    <s v="Yes"/>
    <s v="IG"/>
    <n v="12"/>
    <n v="1.1950434360806103E-2"/>
    <n v="0.15498154981549817"/>
    <n v="0.63487084870848709"/>
    <n v="4.0964285714285715"/>
    <n v="8"/>
    <x v="1"/>
    <s v="August"/>
  </r>
  <r>
    <s v="CMP-00202"/>
    <s v="Q3_Launch_CMP-00202"/>
    <x v="1"/>
    <s v="Launch"/>
    <d v="2023-08-31T00:00:00"/>
    <d v="2023-09-10T00:00:00"/>
    <x v="1"/>
    <n v="55384"/>
    <n v="1840"/>
    <n v="944.03"/>
    <n v="173"/>
    <s v="Yes"/>
    <s v="Email"/>
    <n v="10"/>
    <n v="3.3222591362126248E-2"/>
    <n v="9.4021739130434781E-2"/>
    <n v="0.51305978260869567"/>
    <n v="5.4568208092485548"/>
    <n v="8"/>
    <x v="1"/>
    <s v="August"/>
  </r>
  <r>
    <s v="CMP-00418"/>
    <s v="Q3_BlackFriday_CMP-00418"/>
    <x v="1"/>
    <s v="BlackFriday"/>
    <d v="2023-08-31T00:00:00"/>
    <d v="2023-09-15T00:00:00"/>
    <x v="3"/>
    <n v="11966"/>
    <n v="320"/>
    <n v="575.17999999999995"/>
    <n v="16"/>
    <s v="Yes"/>
    <s v="FB"/>
    <n v="15"/>
    <n v="2.6742436904562929E-2"/>
    <n v="0.05"/>
    <n v="1.7974374999999998"/>
    <n v="35.948749999999997"/>
    <n v="8"/>
    <x v="1"/>
    <s v="August"/>
  </r>
  <r>
    <s v="CMP-01174"/>
    <s v="Q3_Winstagramter_CMP-01174"/>
    <x v="1"/>
    <s v="Winstagramter"/>
    <d v="2023-08-31T00:00:00"/>
    <d v="2023-09-21T00:00:00"/>
    <x v="3"/>
    <n v="40666"/>
    <n v="1368"/>
    <n v="1059.01"/>
    <n v="270"/>
    <s v="Yes"/>
    <s v="FB"/>
    <n v="21"/>
    <n v="3.363989573599567E-2"/>
    <n v="0.19736842105263158"/>
    <n v="0.77413011695906431"/>
    <n v="3.9222592592592593"/>
    <n v="8"/>
    <x v="1"/>
    <s v="August"/>
  </r>
  <r>
    <s v="CMP-01623"/>
    <s v="Q3_Winstagramter_CMP-01623"/>
    <x v="1"/>
    <s v="Winstagramter"/>
    <d v="2023-08-31T00:00:00"/>
    <d v="2023-09-04T00:00:00"/>
    <x v="1"/>
    <n v="68364"/>
    <n v="1118"/>
    <n v="1306.8699999999999"/>
    <n v="96"/>
    <s v="Yes"/>
    <s v="Email"/>
    <n v="4"/>
    <n v="1.635363641682757E-2"/>
    <n v="8.5867620751341675E-2"/>
    <n v="1.1689355992844364"/>
    <n v="13.613229166666665"/>
    <n v="8"/>
    <x v="1"/>
    <s v="August"/>
  </r>
  <r>
    <s v="CMP-01700"/>
    <s v="Q3_Winstagramter_CMP-01700"/>
    <x v="1"/>
    <s v="Winstagramter"/>
    <d v="2023-08-31T00:00:00"/>
    <d v="2023-09-12T00:00:00"/>
    <x v="2"/>
    <n v="4972"/>
    <n v="205"/>
    <n v="355.15"/>
    <n v="29"/>
    <s v="Yes"/>
    <s v="IG"/>
    <n v="12"/>
    <n v="4.1230893000804507E-2"/>
    <n v="0.14146341463414633"/>
    <n v="1.7324390243902439"/>
    <n v="12.24655172413793"/>
    <n v="8"/>
    <x v="1"/>
    <s v="August"/>
  </r>
  <r>
    <s v="CMP-00155"/>
    <s v="Q4_Launch_CMP-00155"/>
    <x v="2"/>
    <s v="Launch"/>
    <d v="2023-08-31T00:00:00"/>
    <d v="2023-09-16T00:00:00"/>
    <x v="5"/>
    <n v="56820"/>
    <n v="2043"/>
    <n v="2990.68"/>
    <n v="403"/>
    <s v="Yes"/>
    <s v="Not specified"/>
    <n v="16"/>
    <n v="3.5955649419218583E-2"/>
    <n v="0.19725893294175231"/>
    <n v="1.4638668624571707"/>
    <n v="7.421042183622828"/>
    <n v="8"/>
    <x v="1"/>
    <s v="August"/>
  </r>
  <r>
    <s v="CMP-01227"/>
    <s v="Q4_Launch_CMP-01227"/>
    <x v="2"/>
    <s v="Launch"/>
    <d v="2023-08-31T00:00:00"/>
    <d v="2023-09-30T00:00:00"/>
    <x v="4"/>
    <n v="98416"/>
    <n v="1008"/>
    <n v="1505.8"/>
    <n v="0"/>
    <s v="Yes"/>
    <s v="Google Ads"/>
    <n v="30"/>
    <n v="1.0242237034628515E-2"/>
    <n v="0"/>
    <n v="1.4938492063492064"/>
    <s v="0"/>
    <n v="8"/>
    <x v="1"/>
    <s v="August"/>
  </r>
  <r>
    <s v="CMP-01651"/>
    <s v="Q4_Winstagramter_CMP-01651"/>
    <x v="2"/>
    <s v="Winstagramter"/>
    <d v="2023-08-31T00:00:00"/>
    <d v="2023-09-05T00:00:00"/>
    <x v="3"/>
    <n v="51948"/>
    <n v="1799"/>
    <n v="1044.6300000000001"/>
    <n v="125"/>
    <s v="Yes"/>
    <s v="FB"/>
    <n v="5"/>
    <n v="3.4630784630784631E-2"/>
    <n v="6.9483046136742638E-2"/>
    <n v="0.58067259588660369"/>
    <n v="8.3570400000000014"/>
    <n v="8"/>
    <x v="1"/>
    <s v="August"/>
  </r>
  <r>
    <s v="CMP-00173"/>
    <s v="Q1_BlackFriday_CMP-00173"/>
    <x v="3"/>
    <s v="BlackFriday"/>
    <d v="2023-09-01T00:00:00"/>
    <d v="2023-09-30T00:00:00"/>
    <x v="1"/>
    <n v="19047"/>
    <n v="835"/>
    <n v="1525.44"/>
    <n v="97"/>
    <s v="Yes"/>
    <s v="Email"/>
    <n v="29"/>
    <n v="4.3838924765054861E-2"/>
    <n v="0.11616766467065869"/>
    <n v="1.826874251497006"/>
    <n v="15.72618556701031"/>
    <n v="9"/>
    <x v="1"/>
    <s v="September"/>
  </r>
  <r>
    <s v="CMP-00399"/>
    <s v="Q2_Winstagramter_CMP-00399"/>
    <x v="0"/>
    <s v="Winstagramter"/>
    <d v="2023-09-01T00:00:00"/>
    <d v="2023-09-18T00:00:00"/>
    <x v="4"/>
    <n v="51993"/>
    <n v="1836"/>
    <n v="1372.09"/>
    <n v="323"/>
    <s v="Yes"/>
    <s v="Google Ads"/>
    <n v="17"/>
    <n v="3.5312445906179678E-2"/>
    <n v="0.17592592592592593"/>
    <n v="0.74732570806100218"/>
    <n v="4.2479566563467488"/>
    <n v="9"/>
    <x v="1"/>
    <s v="September"/>
  </r>
  <r>
    <s v="CMP-00160"/>
    <s v="Q3_BlackFriday_CMP-00160"/>
    <x v="1"/>
    <s v="BlackFriday"/>
    <d v="2023-09-01T00:00:00"/>
    <d v="2023-09-12T00:00:00"/>
    <x v="4"/>
    <n v="23299"/>
    <n v="587"/>
    <n v="912.17"/>
    <n v="79"/>
    <s v="Yes"/>
    <s v="Google Ads"/>
    <n v="11"/>
    <n v="2.519421434396326E-2"/>
    <n v="0.13458262350936967"/>
    <n v="1.5539522998296422"/>
    <n v="11.546455696202532"/>
    <n v="9"/>
    <x v="1"/>
    <s v="September"/>
  </r>
  <r>
    <s v="CMP-01659"/>
    <s v="Q3_BlackFriday_CMP-01659"/>
    <x v="1"/>
    <s v="BlackFriday"/>
    <d v="2023-09-01T00:00:00"/>
    <d v="2023-09-29T00:00:00"/>
    <x v="1"/>
    <n v="31448"/>
    <n v="854"/>
    <n v="1629.49"/>
    <n v="47"/>
    <s v="Yes"/>
    <s v="Email"/>
    <n v="28"/>
    <n v="2.7155939964385652E-2"/>
    <n v="5.5035128805620608E-2"/>
    <n v="1.9080679156908664"/>
    <n v="34.67"/>
    <n v="9"/>
    <x v="1"/>
    <s v="September"/>
  </r>
  <r>
    <s v="CMP-01255"/>
    <s v="Q4_Summer_CMP-01255"/>
    <x v="2"/>
    <s v="Summer"/>
    <d v="2023-09-01T00:00:00"/>
    <d v="2023-09-26T00:00:00"/>
    <x v="4"/>
    <n v="20097"/>
    <n v="897"/>
    <n v="1641"/>
    <n v="162"/>
    <s v="No"/>
    <s v="Google Ads"/>
    <n v="25"/>
    <n v="4.4633527392148084E-2"/>
    <n v="0.1806020066889632"/>
    <n v="1.8294314381270902"/>
    <n v="10.12962962962963"/>
    <n v="9"/>
    <x v="1"/>
    <s v="September"/>
  </r>
  <r>
    <s v="CMP-01986"/>
    <s v="Q4_BlackFriday_CMP-01986"/>
    <x v="2"/>
    <s v="BlackFriday"/>
    <d v="2023-09-01T00:00:00"/>
    <d v="2023-09-09T00:00:00"/>
    <x v="4"/>
    <n v="81885"/>
    <n v="2060"/>
    <n v="3906.79"/>
    <n v="104"/>
    <s v="Yes"/>
    <s v="Google Ads"/>
    <n v="8"/>
    <n v="2.5157232704402517E-2"/>
    <n v="5.0485436893203881E-2"/>
    <n v="1.8965000000000001"/>
    <n v="37.565288461538458"/>
    <n v="9"/>
    <x v="1"/>
    <s v="September"/>
  </r>
  <r>
    <s v="CMP-01325"/>
    <s v="Q1_Winstagramter_CMP-01325"/>
    <x v="3"/>
    <s v="Winstagramter"/>
    <d v="2023-09-02T00:00:00"/>
    <d v="2023-09-19T00:00:00"/>
    <x v="1"/>
    <n v="40986"/>
    <n v="414"/>
    <n v="342.2"/>
    <n v="46"/>
    <s v="No"/>
    <s v="Email"/>
    <n v="17"/>
    <n v="1.0101010101010102E-2"/>
    <n v="0.1111111111111111"/>
    <n v="0.82657004830917868"/>
    <n v="7.4391304347826086"/>
    <n v="9"/>
    <x v="1"/>
    <s v="September"/>
  </r>
  <r>
    <s v="CMP-00702"/>
    <s v="Q2_BlackFriday_CMP-00702"/>
    <x v="0"/>
    <s v="BlackFriday"/>
    <d v="2023-09-02T00:00:00"/>
    <d v="2023-09-08T00:00:00"/>
    <x v="1"/>
    <n v="26470"/>
    <n v="1032"/>
    <n v="642.97"/>
    <n v="146"/>
    <s v="No"/>
    <s v="Email"/>
    <n v="6"/>
    <n v="3.8987533056290137E-2"/>
    <n v="0.14147286821705427"/>
    <n v="0.62303294573643409"/>
    <n v="4.4039041095890417"/>
    <n v="9"/>
    <x v="1"/>
    <s v="September"/>
  </r>
  <r>
    <s v="CMP-00730"/>
    <s v="Q2_Launch_CMP-00730"/>
    <x v="0"/>
    <s v="Launch"/>
    <d v="2023-09-02T00:00:00"/>
    <d v="2023-09-26T00:00:00"/>
    <x v="5"/>
    <n v="39413"/>
    <n v="1119"/>
    <n v="1349.99"/>
    <n v="112"/>
    <s v="Yes"/>
    <s v="Not specified"/>
    <n v="24"/>
    <n v="2.8391647425976201E-2"/>
    <n v="0.10008936550491511"/>
    <n v="1.2064253798033959"/>
    <n v="12.053482142857144"/>
    <n v="9"/>
    <x v="1"/>
    <s v="September"/>
  </r>
  <r>
    <s v="CMP-01125"/>
    <s v="Q4_Launch_CMP-01125"/>
    <x v="2"/>
    <s v="Launch"/>
    <d v="2023-09-02T00:00:00"/>
    <d v="2023-09-26T00:00:00"/>
    <x v="2"/>
    <n v="5018"/>
    <n v="159"/>
    <n v="203.97"/>
    <n v="8"/>
    <s v="No"/>
    <s v="IG"/>
    <n v="24"/>
    <n v="3.1685930649661222E-2"/>
    <n v="5.0314465408805034E-2"/>
    <n v="1.2828301886792453"/>
    <n v="25.49625"/>
    <n v="9"/>
    <x v="1"/>
    <s v="September"/>
  </r>
  <r>
    <s v="CMP-01671"/>
    <s v="Q4_Launch_CMP-01671"/>
    <x v="2"/>
    <s v="Launch"/>
    <d v="2023-09-02T00:00:00"/>
    <d v="2023-09-06T00:00:00"/>
    <x v="0"/>
    <n v="8287"/>
    <n v="187"/>
    <n v="265.76"/>
    <n v="32"/>
    <s v="No"/>
    <s v="TikTok"/>
    <n v="4"/>
    <n v="2.2565463979727283E-2"/>
    <n v="0.17112299465240641"/>
    <n v="1.4211764705882353"/>
    <n v="8.3049999999999997"/>
    <n v="9"/>
    <x v="1"/>
    <s v="September"/>
  </r>
  <r>
    <s v="CMP-00878"/>
    <s v="Q1_Winstagramter_CMP-00878"/>
    <x v="3"/>
    <s v="Winstagramter"/>
    <d v="2023-09-03T00:00:00"/>
    <d v="2023-09-23T00:00:00"/>
    <x v="0"/>
    <n v="56479"/>
    <n v="2747"/>
    <n v="2601.7199999999998"/>
    <n v="519"/>
    <s v="No"/>
    <s v="TikTok"/>
    <n v="20"/>
    <n v="4.8637546698772995E-2"/>
    <n v="0.18893338187113215"/>
    <n v="0.94711321441572616"/>
    <n v="5.0129479768786123"/>
    <n v="9"/>
    <x v="1"/>
    <s v="September"/>
  </r>
  <r>
    <s v="CMP-01477"/>
    <s v="Q2_Launch_CMP-01477"/>
    <x v="0"/>
    <s v="Launch"/>
    <d v="2023-09-03T00:00:00"/>
    <d v="2023-09-18T00:00:00"/>
    <x v="2"/>
    <n v="46186"/>
    <n v="2222"/>
    <n v="3992.89"/>
    <n v="373"/>
    <s v="No"/>
    <s v="IG"/>
    <n v="15"/>
    <n v="4.8109816827610098E-2"/>
    <n v="0.16786678667866786"/>
    <n v="1.7969801980198019"/>
    <n v="10.704798927613941"/>
    <n v="9"/>
    <x v="1"/>
    <s v="September"/>
  </r>
  <r>
    <s v="CMP-01515"/>
    <s v="Q2_Summer_CMP-01515"/>
    <x v="0"/>
    <s v="Summer"/>
    <d v="2023-09-03T00:00:00"/>
    <d v="2023-09-18T00:00:00"/>
    <x v="3"/>
    <n v="28935"/>
    <n v="356"/>
    <n v="570.33000000000004"/>
    <n v="57"/>
    <s v="No"/>
    <s v="FB"/>
    <n v="15"/>
    <n v="1.2303438742007948E-2"/>
    <n v="0.1601123595505618"/>
    <n v="1.602050561797753"/>
    <n v="10.005789473684212"/>
    <n v="9"/>
    <x v="1"/>
    <s v="September"/>
  </r>
  <r>
    <s v="CMP-00404"/>
    <s v="Q4_Launch_CMP-00404"/>
    <x v="2"/>
    <s v="Launch"/>
    <d v="2023-09-03T00:00:00"/>
    <d v="2023-09-28T00:00:00"/>
    <x v="5"/>
    <n v="88545"/>
    <n v="3207"/>
    <n v="3762.35"/>
    <n v="0"/>
    <s v="Yes"/>
    <s v="Not specified"/>
    <n v="25"/>
    <n v="3.6218871760121972E-2"/>
    <n v="0"/>
    <n v="1.1731680698472091"/>
    <s v="0"/>
    <n v="9"/>
    <x v="1"/>
    <s v="September"/>
  </r>
  <r>
    <s v="CMP-00606"/>
    <s v="Q4_Launch_CMP-00606"/>
    <x v="2"/>
    <s v="Launch"/>
    <d v="2023-09-03T00:00:00"/>
    <d v="2023-09-12T00:00:00"/>
    <x v="1"/>
    <n v="47959"/>
    <n v="1413"/>
    <n v="1596.37"/>
    <n v="117"/>
    <s v="Yes"/>
    <s v="Email"/>
    <n v="9"/>
    <n v="2.9462666027231594E-2"/>
    <n v="8.2802547770700632E-2"/>
    <n v="1.1297735314932766"/>
    <n v="13.644188034188033"/>
    <n v="9"/>
    <x v="1"/>
    <s v="September"/>
  </r>
  <r>
    <s v="CMP-00359"/>
    <s v="Q2_Launch_CMP-00359"/>
    <x v="0"/>
    <s v="Launch"/>
    <d v="2023-09-04T00:00:00"/>
    <d v="2023-09-20T00:00:00"/>
    <x v="0"/>
    <n v="44525"/>
    <n v="1525"/>
    <n v="2883.82"/>
    <n v="127"/>
    <s v="Yes"/>
    <s v="TikTok"/>
    <n v="16"/>
    <n v="3.4250421111734979E-2"/>
    <n v="8.3278688524590166E-2"/>
    <n v="1.8910295081967214"/>
    <n v="22.707244094488189"/>
    <n v="9"/>
    <x v="1"/>
    <s v="September"/>
  </r>
  <r>
    <s v="CMP-01535"/>
    <s v="Q2_Summer_CMP-01535"/>
    <x v="0"/>
    <s v="Summer"/>
    <d v="2023-09-04T00:00:00"/>
    <d v="2023-09-12T00:00:00"/>
    <x v="2"/>
    <n v="95934"/>
    <n v="2614"/>
    <n v="4523.49"/>
    <n v="450"/>
    <s v="Yes"/>
    <s v="IG"/>
    <n v="8"/>
    <n v="2.7247899597640044E-2"/>
    <n v="0.17214996174445293"/>
    <n v="1.7304858454475898"/>
    <n v="10.052199999999999"/>
    <n v="9"/>
    <x v="1"/>
    <s v="September"/>
  </r>
  <r>
    <s v="CMP-00427"/>
    <s v="Q3_Launch_CMP-00427"/>
    <x v="1"/>
    <s v="Launch"/>
    <d v="2023-09-04T00:00:00"/>
    <d v="2023-09-08T00:00:00"/>
    <x v="5"/>
    <n v="32024"/>
    <n v="574"/>
    <n v="665.89"/>
    <n v="99"/>
    <s v="Yes"/>
    <s v="Not specified"/>
    <n v="4"/>
    <n v="1.7924056957282039E-2"/>
    <n v="0.17247386759581881"/>
    <n v="1.1600871080139372"/>
    <n v="6.7261616161616162"/>
    <n v="9"/>
    <x v="1"/>
    <s v="September"/>
  </r>
  <r>
    <s v="CMP-00523"/>
    <s v="Q4_Launch_CMP-00523"/>
    <x v="2"/>
    <s v="Launch"/>
    <d v="2023-09-04T00:00:00"/>
    <d v="2023-09-13T00:00:00"/>
    <x v="1"/>
    <n v="17364"/>
    <n v="640"/>
    <n v="549.58000000000004"/>
    <n v="124"/>
    <s v="Yes"/>
    <s v="Email"/>
    <n v="9"/>
    <n v="3.6857866850956003E-2"/>
    <n v="0.19375000000000001"/>
    <n v="0.85871875000000009"/>
    <n v="4.4320967741935489"/>
    <n v="9"/>
    <x v="1"/>
    <s v="September"/>
  </r>
  <r>
    <s v="CMP-01524"/>
    <s v="Q4_Launch_CMP-01524"/>
    <x v="2"/>
    <s v="Launch"/>
    <d v="2023-09-04T00:00:00"/>
    <d v="2023-09-05T00:00:00"/>
    <x v="0"/>
    <n v="83310"/>
    <n v="3839"/>
    <n v="4670.58"/>
    <n v="414"/>
    <s v="Yes"/>
    <s v="TikTok"/>
    <n v="1"/>
    <n v="4.608090265274277E-2"/>
    <n v="0.10784058348528262"/>
    <n v="1.2166137014847616"/>
    <n v="11.281594202898551"/>
    <n v="9"/>
    <x v="1"/>
    <s v="September"/>
  </r>
  <r>
    <s v="CMP-00238"/>
    <s v="Q1_Launch_CMP-00238"/>
    <x v="3"/>
    <s v="Launch"/>
    <d v="2023-09-05T00:00:00"/>
    <d v="2023-09-11T00:00:00"/>
    <x v="5"/>
    <n v="35698"/>
    <n v="1315"/>
    <n v="1342.08"/>
    <n v="262"/>
    <s v="No"/>
    <s v="Not specified"/>
    <n v="6"/>
    <n v="3.6836797579696344E-2"/>
    <n v="0.19923954372623573"/>
    <n v="1.0205931558935362"/>
    <n v="5.1224427480916024"/>
    <n v="9"/>
    <x v="1"/>
    <s v="September"/>
  </r>
  <r>
    <s v="CMP-00299"/>
    <s v="Q2_Winstagramter_CMP-00299"/>
    <x v="0"/>
    <s v="Winstagramter"/>
    <d v="2023-09-05T00:00:00"/>
    <d v="2023-09-19T00:00:00"/>
    <x v="5"/>
    <n v="6539"/>
    <n v="109"/>
    <n v="156.44"/>
    <n v="15"/>
    <s v="No"/>
    <s v="Not specified"/>
    <n v="14"/>
    <n v="1.6669215476372533E-2"/>
    <n v="0.13761467889908258"/>
    <n v="1.4352293577981652"/>
    <n v="10.429333333333334"/>
    <n v="9"/>
    <x v="1"/>
    <s v="September"/>
  </r>
  <r>
    <s v="CMP-00342"/>
    <s v="Q3_Launch_CMP-00342"/>
    <x v="1"/>
    <s v="Launch"/>
    <d v="2023-09-05T00:00:00"/>
    <d v="2023-09-30T00:00:00"/>
    <x v="0"/>
    <n v="49404"/>
    <n v="1734"/>
    <n v="1427.52"/>
    <n v="216"/>
    <s v="Yes"/>
    <s v="TikTok"/>
    <n v="25"/>
    <n v="3.5098372601408794E-2"/>
    <n v="0.1245674740484429"/>
    <n v="0.82325259515570937"/>
    <n v="6.608888888888889"/>
    <n v="9"/>
    <x v="1"/>
    <s v="September"/>
  </r>
  <r>
    <s v="CMP-01161"/>
    <s v="Q3_BlackFriday_CMP-01161"/>
    <x v="1"/>
    <s v="BlackFriday"/>
    <d v="2023-09-05T00:00:00"/>
    <d v="2023-09-08T00:00:00"/>
    <x v="2"/>
    <n v="24710"/>
    <n v="546"/>
    <n v="308.48"/>
    <n v="40"/>
    <s v="Yes"/>
    <s v="IG"/>
    <n v="3"/>
    <n v="2.2096317280453259E-2"/>
    <n v="7.3260073260073263E-2"/>
    <n v="0.564981684981685"/>
    <n v="7.7120000000000006"/>
    <n v="9"/>
    <x v="1"/>
    <s v="September"/>
  </r>
  <r>
    <s v="CMP-01552"/>
    <s v="Q3_Summer_CMP-01552"/>
    <x v="1"/>
    <s v="Summer"/>
    <d v="2023-09-05T00:00:00"/>
    <d v="2023-10-03T00:00:00"/>
    <x v="3"/>
    <n v="79945"/>
    <n v="1745"/>
    <n v="2737.9"/>
    <n v="95"/>
    <s v="Yes"/>
    <s v="FB"/>
    <n v="28"/>
    <n v="2.1827506410657328E-2"/>
    <n v="5.4441260744985676E-2"/>
    <n v="1.5689971346704872"/>
    <n v="28.82"/>
    <n v="9"/>
    <x v="1"/>
    <s v="September"/>
  </r>
  <r>
    <s v="CMP-01810"/>
    <s v="Q3_Launch_CMP-01810"/>
    <x v="1"/>
    <s v="Launch"/>
    <d v="2023-09-05T00:00:00"/>
    <d v="2023-09-12T00:00:00"/>
    <x v="2"/>
    <n v="32598"/>
    <n v="1613"/>
    <n v="832.03"/>
    <n v="318"/>
    <s v="Yes"/>
    <s v="IG"/>
    <n v="7"/>
    <n v="4.9481563286091171E-2"/>
    <n v="0.19714817110973343"/>
    <n v="0.51582765034097955"/>
    <n v="2.6164465408805029"/>
    <n v="9"/>
    <x v="1"/>
    <s v="September"/>
  </r>
  <r>
    <s v="CMP-01553"/>
    <s v="Q4_BlackFriday_CMP-01553"/>
    <x v="2"/>
    <s v="BlackFriday"/>
    <d v="2023-09-05T00:00:00"/>
    <d v="2023-09-07T00:00:00"/>
    <x v="3"/>
    <n v="83050"/>
    <n v="2803"/>
    <n v="2213.64"/>
    <n v="144"/>
    <s v="Yes"/>
    <s v="FB"/>
    <n v="2"/>
    <n v="3.3750752558699582E-2"/>
    <n v="5.1373528362468786E-2"/>
    <n v="0.78973956475205132"/>
    <n v="15.372499999999999"/>
    <n v="9"/>
    <x v="1"/>
    <s v="September"/>
  </r>
  <r>
    <s v="CMP-00053"/>
    <s v="Q1_Winstagramter_CMP-00053"/>
    <x v="3"/>
    <s v="Winstagramter"/>
    <d v="2023-09-06T00:00:00"/>
    <d v="2023-09-12T00:00:00"/>
    <x v="3"/>
    <n v="24483"/>
    <n v="883"/>
    <n v="640.98"/>
    <n v="0"/>
    <s v="No"/>
    <s v="FB"/>
    <n v="6"/>
    <n v="3.6065841604378548E-2"/>
    <n v="0"/>
    <n v="0.72591166477916191"/>
    <s v="0"/>
    <n v="9"/>
    <x v="1"/>
    <s v="September"/>
  </r>
  <r>
    <s v="CMP-01108"/>
    <s v="Q2_Winstagramter_CMP-01108"/>
    <x v="0"/>
    <s v="Winstagramter"/>
    <d v="2023-09-06T00:00:00"/>
    <d v="2023-09-27T00:00:00"/>
    <x v="0"/>
    <n v="94709"/>
    <n v="1064"/>
    <n v="1533.88"/>
    <n v="159"/>
    <s v="Yes"/>
    <s v="TikTok"/>
    <n v="21"/>
    <n v="1.1234412780200403E-2"/>
    <n v="0.14943609022556392"/>
    <n v="1.4416165413533835"/>
    <n v="9.6470440251572338"/>
    <n v="9"/>
    <x v="1"/>
    <s v="September"/>
  </r>
  <r>
    <s v="CMP-00175"/>
    <s v="Q3_BlackFriday_CMP-00175"/>
    <x v="1"/>
    <s v="BlackFriday"/>
    <d v="2023-09-06T00:00:00"/>
    <d v="2023-09-13T00:00:00"/>
    <x v="1"/>
    <n v="76766"/>
    <n v="3266"/>
    <n v="2615.5100000000002"/>
    <n v="383"/>
    <s v="Yes"/>
    <s v="Email"/>
    <n v="7"/>
    <n v="4.2544876638094989E-2"/>
    <n v="0.11726883037354562"/>
    <n v="0.80082976117575022"/>
    <n v="6.8290078328981725"/>
    <n v="9"/>
    <x v="1"/>
    <s v="September"/>
  </r>
  <r>
    <s v="CMP-01217"/>
    <s v="Q3_Summer_CMP-01217"/>
    <x v="1"/>
    <s v="Summer"/>
    <d v="2023-09-06T00:00:00"/>
    <d v="2023-09-27T00:00:00"/>
    <x v="3"/>
    <n v="48523"/>
    <n v="1259"/>
    <n v="1310.07"/>
    <n v="247"/>
    <s v="Yes"/>
    <s v="FB"/>
    <n v="21"/>
    <n v="2.5946458380561796E-2"/>
    <n v="0.19618745035742652"/>
    <n v="1.0405639396346307"/>
    <n v="5.3039271255060729"/>
    <n v="9"/>
    <x v="1"/>
    <s v="September"/>
  </r>
  <r>
    <s v="CMP-00932"/>
    <s v="Q3_BlackFriday_CMP-00932"/>
    <x v="1"/>
    <s v="BlackFriday"/>
    <d v="2023-09-07T00:00:00"/>
    <d v="2023-09-18T00:00:00"/>
    <x v="2"/>
    <n v="5432"/>
    <n v="155"/>
    <n v="280.39"/>
    <n v="28"/>
    <s v="Yes"/>
    <s v="IG"/>
    <n v="11"/>
    <n v="2.853460972017673E-2"/>
    <n v="0.18064516129032257"/>
    <n v="1.8089677419354837"/>
    <n v="10.01392857142857"/>
    <n v="9"/>
    <x v="1"/>
    <s v="September"/>
  </r>
  <r>
    <s v="CMP-01496"/>
    <s v="Q4_Launch_CMP-01496"/>
    <x v="2"/>
    <s v="Launch"/>
    <d v="2023-09-07T00:00:00"/>
    <d v="2023-09-20T00:00:00"/>
    <x v="5"/>
    <n v="21491"/>
    <n v="909"/>
    <n v="1483.31"/>
    <n v="0"/>
    <s v="Yes"/>
    <s v="Not specified"/>
    <n v="13"/>
    <n v="4.2296775394351123E-2"/>
    <n v="0"/>
    <n v="1.6318041804180416"/>
    <s v="0"/>
    <n v="9"/>
    <x v="1"/>
    <s v="September"/>
  </r>
  <r>
    <s v="CMP-01626"/>
    <s v="Q4_BlackFriday_CMP-01626"/>
    <x v="2"/>
    <s v="BlackFriday"/>
    <d v="2023-09-07T00:00:00"/>
    <d v="2023-09-25T00:00:00"/>
    <x v="0"/>
    <n v="38573"/>
    <n v="1625"/>
    <n v="1756.95"/>
    <n v="0"/>
    <s v="No"/>
    <s v="TikTok"/>
    <n v="18"/>
    <n v="4.2127913307235629E-2"/>
    <n v="0"/>
    <n v="1.0811999999999999"/>
    <s v="0"/>
    <n v="9"/>
    <x v="1"/>
    <s v="September"/>
  </r>
  <r>
    <s v="CMP-00940"/>
    <s v="Q1_BlackFriday_CMP-00940"/>
    <x v="3"/>
    <s v="BlackFriday"/>
    <d v="2023-09-08T00:00:00"/>
    <d v="2023-09-24T00:00:00"/>
    <x v="3"/>
    <n v="1302"/>
    <n v="46"/>
    <n v="54.42"/>
    <n v="4"/>
    <s v="Yes"/>
    <s v="FB"/>
    <n v="16"/>
    <n v="3.5330261136712747E-2"/>
    <n v="8.6956521739130432E-2"/>
    <n v="1.1830434782608696"/>
    <n v="13.605"/>
    <n v="9"/>
    <x v="1"/>
    <s v="September"/>
  </r>
  <r>
    <s v="CMP-00965"/>
    <s v="Q1_Summer_CMP-00965"/>
    <x v="3"/>
    <s v="Summer"/>
    <d v="2023-09-08T00:00:00"/>
    <d v="2023-09-23T00:00:00"/>
    <x v="1"/>
    <n v="11267"/>
    <n v="378"/>
    <n v="525.1"/>
    <n v="0"/>
    <s v="Yes"/>
    <s v="Email"/>
    <n v="15"/>
    <n v="3.3549303275051033E-2"/>
    <n v="0"/>
    <n v="1.3891534391534393"/>
    <s v="0"/>
    <n v="9"/>
    <x v="1"/>
    <s v="September"/>
  </r>
  <r>
    <s v="CMP-01226"/>
    <s v="Q1_Launch_CMP-01226"/>
    <x v="3"/>
    <s v="Launch"/>
    <d v="2023-09-08T00:00:00"/>
    <d v="2023-09-19T00:00:00"/>
    <x v="1"/>
    <n v="76060"/>
    <n v="2883"/>
    <n v="4498.99"/>
    <n v="256"/>
    <s v="No"/>
    <s v="Email"/>
    <n v="11"/>
    <n v="3.7904286089929004E-2"/>
    <n v="8.8796392646548733E-2"/>
    <n v="1.560523759972251"/>
    <n v="17.574179687499999"/>
    <n v="9"/>
    <x v="1"/>
    <s v="September"/>
  </r>
  <r>
    <s v="CMP-00740"/>
    <s v="Q2_BlackFriday_CMP-00740"/>
    <x v="0"/>
    <s v="BlackFriday"/>
    <d v="2023-09-08T00:00:00"/>
    <d v="2023-10-05T00:00:00"/>
    <x v="1"/>
    <n v="12023"/>
    <n v="539"/>
    <n v="344.91"/>
    <n v="72"/>
    <s v="No"/>
    <s v="Email"/>
    <n v="27"/>
    <n v="4.483074107959744E-2"/>
    <n v="0.13358070500927643"/>
    <n v="0.63990723562152141"/>
    <n v="4.7904166666666672"/>
    <n v="9"/>
    <x v="1"/>
    <s v="September"/>
  </r>
  <r>
    <s v="CMP-00810"/>
    <s v="Q2_Winstagramter_CMP-00810"/>
    <x v="0"/>
    <s v="Winstagramter"/>
    <d v="2023-09-08T00:00:00"/>
    <d v="2023-09-21T00:00:00"/>
    <x v="5"/>
    <n v="70172"/>
    <n v="3434"/>
    <n v="6366.84"/>
    <n v="229"/>
    <s v="Yes"/>
    <s v="Not specified"/>
    <n v="13"/>
    <n v="4.893689790799749E-2"/>
    <n v="6.6686080372743151E-2"/>
    <n v="1.8540594059405942"/>
    <n v="27.802794759825328"/>
    <n v="9"/>
    <x v="1"/>
    <s v="September"/>
  </r>
  <r>
    <s v="CMP-00215"/>
    <s v="Q4_Winstagramter_CMP-00215"/>
    <x v="2"/>
    <s v="Winstagramter"/>
    <d v="2023-09-08T00:00:00"/>
    <d v="2023-09-23T00:00:00"/>
    <x v="0"/>
    <n v="27736"/>
    <n v="482"/>
    <n v="802.63"/>
    <n v="33"/>
    <s v="Yes"/>
    <s v="TikTok"/>
    <n v="15"/>
    <n v="1.7378136717623307E-2"/>
    <n v="6.8464730290456438E-2"/>
    <n v="1.6652074688796681"/>
    <n v="24.32212121212121"/>
    <n v="9"/>
    <x v="1"/>
    <s v="September"/>
  </r>
  <r>
    <s v="CMP-00378"/>
    <s v="Q4_Launch_CMP-00378"/>
    <x v="2"/>
    <s v="Launch"/>
    <d v="2023-09-08T00:00:00"/>
    <d v="2023-09-11T00:00:00"/>
    <x v="1"/>
    <n v="33745"/>
    <n v="1486"/>
    <n v="1871.61"/>
    <n v="270"/>
    <s v="Yes"/>
    <s v="Email"/>
    <n v="3"/>
    <n v="4.4036153504222846E-2"/>
    <n v="0.18169582772543741"/>
    <n v="1.2594952893674294"/>
    <n v="6.9318888888888885"/>
    <n v="9"/>
    <x v="1"/>
    <s v="September"/>
  </r>
  <r>
    <s v="CMP-00807"/>
    <s v="Q4_Summer_CMP-00807"/>
    <x v="2"/>
    <s v="Summer"/>
    <d v="2023-09-08T00:00:00"/>
    <d v="2023-09-22T00:00:00"/>
    <x v="5"/>
    <n v="51612"/>
    <n v="2215"/>
    <n v="2577.2600000000002"/>
    <n v="316"/>
    <s v="No"/>
    <s v="Not specified"/>
    <n v="14"/>
    <n v="4.291637603658064E-2"/>
    <n v="0.14266365688487584"/>
    <n v="1.163548532731377"/>
    <n v="8.1558860759493683"/>
    <n v="9"/>
    <x v="1"/>
    <s v="September"/>
  </r>
  <r>
    <s v="CMP-00923"/>
    <s v="Q4_Winstagramter_CMP-00923"/>
    <x v="2"/>
    <s v="Winstagramter"/>
    <d v="2023-09-08T00:00:00"/>
    <d v="2023-09-14T00:00:00"/>
    <x v="2"/>
    <n v="24321"/>
    <n v="754"/>
    <n v="1299.6400000000001"/>
    <n v="138"/>
    <s v="Yes"/>
    <s v="IG"/>
    <n v="6"/>
    <n v="3.1002014719789483E-2"/>
    <n v="0.1830238726790451"/>
    <n v="1.7236604774535811"/>
    <n v="9.4176811594202903"/>
    <n v="9"/>
    <x v="1"/>
    <s v="September"/>
  </r>
  <r>
    <s v="CMP-01288"/>
    <s v="Q4_Launch_CMP-01288"/>
    <x v="2"/>
    <s v="Launch"/>
    <d v="2023-09-08T00:00:00"/>
    <d v="2023-10-04T00:00:00"/>
    <x v="2"/>
    <n v="90106"/>
    <n v="3880"/>
    <n v="5431.81"/>
    <n v="579"/>
    <s v="Yes"/>
    <s v="IG"/>
    <n v="26"/>
    <n v="4.3060395534148671E-2"/>
    <n v="0.14922680412371134"/>
    <n v="1.3999510309278351"/>
    <n v="9.3813644214162348"/>
    <n v="9"/>
    <x v="1"/>
    <s v="September"/>
  </r>
  <r>
    <s v="CMP-01736"/>
    <s v="Q4_Summer_CMP-01736"/>
    <x v="2"/>
    <s v="Summer"/>
    <d v="2023-09-08T00:00:00"/>
    <d v="2023-09-24T00:00:00"/>
    <x v="1"/>
    <n v="49874"/>
    <n v="682"/>
    <n v="1082.3599999999999"/>
    <n v="98"/>
    <s v="Yes"/>
    <s v="Email"/>
    <n v="16"/>
    <n v="1.3674459638288486E-2"/>
    <n v="0.14369501466275661"/>
    <n v="1.5870381231671553"/>
    <n v="11.044489795918366"/>
    <n v="9"/>
    <x v="1"/>
    <s v="September"/>
  </r>
  <r>
    <s v="CMP-00852"/>
    <s v="Q2_Winstagramter_CMP-00852"/>
    <x v="0"/>
    <s v="Winstagramter"/>
    <d v="2023-09-09T00:00:00"/>
    <d v="2023-10-01T00:00:00"/>
    <x v="2"/>
    <n v="38441"/>
    <n v="715"/>
    <n v="698.88"/>
    <n v="113"/>
    <s v="No"/>
    <s v="IG"/>
    <n v="22"/>
    <n v="1.8599932363882313E-2"/>
    <n v="0.15804195804195803"/>
    <n v="0.97745454545454546"/>
    <n v="6.1847787610619465"/>
    <n v="9"/>
    <x v="1"/>
    <s v="September"/>
  </r>
  <r>
    <s v="CMP-00880"/>
    <s v="Q2_BlackFriday_CMP-00880"/>
    <x v="0"/>
    <s v="BlackFriday"/>
    <d v="2023-09-09T00:00:00"/>
    <d v="2023-09-11T00:00:00"/>
    <x v="0"/>
    <n v="88369"/>
    <n v="3385"/>
    <n v="5609.85"/>
    <n v="329"/>
    <s v="Yes"/>
    <s v="TikTok"/>
    <n v="2"/>
    <n v="3.8305288053502924E-2"/>
    <n v="9.7193500738552444E-2"/>
    <n v="1.6572673559822748"/>
    <n v="17.051215805471127"/>
    <n v="9"/>
    <x v="1"/>
    <s v="September"/>
  </r>
  <r>
    <s v="CMP-00808"/>
    <s v="Q3_Winstagramter_CMP-00808"/>
    <x v="1"/>
    <s v="Winstagramter"/>
    <d v="2023-09-09T00:00:00"/>
    <d v="2023-09-21T00:00:00"/>
    <x v="0"/>
    <n v="24574"/>
    <n v="451"/>
    <n v="254.23"/>
    <n v="65"/>
    <s v="Yes"/>
    <s v="TikTok"/>
    <n v="12"/>
    <n v="1.8352730528200537E-2"/>
    <n v="0.14412416851441243"/>
    <n v="0.5637028824833703"/>
    <n v="3.9112307692307691"/>
    <n v="9"/>
    <x v="1"/>
    <s v="September"/>
  </r>
  <r>
    <s v="CMP-01854"/>
    <s v="Q3_Launch_CMP-01854"/>
    <x v="1"/>
    <s v="Launch"/>
    <d v="2023-09-09T00:00:00"/>
    <d v="2023-10-01T00:00:00"/>
    <x v="5"/>
    <n v="2980"/>
    <n v="30"/>
    <n v="20.43"/>
    <n v="0"/>
    <s v="Yes"/>
    <s v="Not specified"/>
    <n v="22"/>
    <n v="1.0067114093959731E-2"/>
    <n v="0"/>
    <n v="0.68099999999999994"/>
    <s v="0"/>
    <n v="9"/>
    <x v="1"/>
    <s v="September"/>
  </r>
  <r>
    <s v="CMP-00939"/>
    <s v="Q4_Summer_CMP-00939"/>
    <x v="2"/>
    <s v="Summer"/>
    <d v="2023-09-09T00:00:00"/>
    <d v="2023-09-16T00:00:00"/>
    <x v="1"/>
    <n v="88731"/>
    <n v="3686"/>
    <n v="4037.73"/>
    <n v="661"/>
    <s v="No"/>
    <s v="Email"/>
    <n v="7"/>
    <n v="4.1541287712298973E-2"/>
    <n v="0.17932718393922953"/>
    <n v="1.0954232230059686"/>
    <n v="6.1085173978819967"/>
    <n v="9"/>
    <x v="1"/>
    <s v="September"/>
  </r>
  <r>
    <s v="CMP-01415"/>
    <s v="Q4_Winstagramter_CMP-01415"/>
    <x v="2"/>
    <s v="Winstagramter"/>
    <d v="2023-09-09T00:00:00"/>
    <d v="2023-09-17T00:00:00"/>
    <x v="2"/>
    <n v="30402"/>
    <n v="1057"/>
    <n v="1983.74"/>
    <n v="154"/>
    <s v="No"/>
    <s v="IG"/>
    <n v="8"/>
    <n v="3.4767449509900662E-2"/>
    <n v="0.14569536423841059"/>
    <n v="1.8767644276253548"/>
    <n v="12.881428571428572"/>
    <n v="9"/>
    <x v="1"/>
    <s v="September"/>
  </r>
  <r>
    <s v="CMP-01122"/>
    <s v="Q1_Launch_CMP-01122"/>
    <x v="3"/>
    <s v="Launch"/>
    <d v="2023-09-10T00:00:00"/>
    <d v="2023-09-11T00:00:00"/>
    <x v="0"/>
    <n v="19381"/>
    <n v="718"/>
    <n v="652.64"/>
    <n v="100"/>
    <s v="No"/>
    <s v="TikTok"/>
    <n v="1"/>
    <n v="3.7046592023115422E-2"/>
    <n v="0.1392757660167131"/>
    <n v="0.90896935933147627"/>
    <n v="6.5263999999999998"/>
    <n v="9"/>
    <x v="1"/>
    <s v="September"/>
  </r>
  <r>
    <s v="CMP-00869"/>
    <s v="Q2_BlackFriday_CMP-00869"/>
    <x v="0"/>
    <s v="BlackFriday"/>
    <d v="2023-09-10T00:00:00"/>
    <d v="2023-10-03T00:00:00"/>
    <x v="0"/>
    <n v="54413"/>
    <n v="1037"/>
    <n v="1712.34"/>
    <n v="195"/>
    <s v="Yes"/>
    <s v="TikTok"/>
    <n v="23"/>
    <n v="1.9057945711502766E-2"/>
    <n v="0.18804243008678881"/>
    <n v="1.6512439729990356"/>
    <n v="8.7812307692307687"/>
    <n v="9"/>
    <x v="1"/>
    <s v="September"/>
  </r>
  <r>
    <s v="CMP-01040"/>
    <s v="Q1_Launch_CMP-01040"/>
    <x v="3"/>
    <s v="Launch"/>
    <d v="2023-09-12T00:00:00"/>
    <d v="2023-09-14T00:00:00"/>
    <x v="0"/>
    <n v="59067"/>
    <n v="1101"/>
    <n v="570.88"/>
    <n v="138"/>
    <s v="Yes"/>
    <s v="TikTok"/>
    <n v="2"/>
    <n v="1.8639849662247954E-2"/>
    <n v="0.12534059945504086"/>
    <n v="0.51851044504995458"/>
    <n v="4.1368115942028982"/>
    <n v="9"/>
    <x v="1"/>
    <s v="September"/>
  </r>
  <r>
    <s v="CMP-01350"/>
    <s v="Q1_BlackFriday_CMP-01350"/>
    <x v="3"/>
    <s v="BlackFriday"/>
    <d v="2023-09-12T00:00:00"/>
    <d v="2023-12-12T00:00:00"/>
    <x v="0"/>
    <n v="37220"/>
    <n v="1597"/>
    <n v="1636.44"/>
    <n v="289"/>
    <s v="Yes"/>
    <s v="TikTok"/>
    <n v="91"/>
    <n v="4.2907039226222458E-2"/>
    <n v="0.18096430807764557"/>
    <n v="1.0246963055729492"/>
    <n v="5.66242214532872"/>
    <n v="9"/>
    <x v="1"/>
    <s v="September"/>
  </r>
  <r>
    <s v="CMP-01034"/>
    <s v="Q2_BlackFriday_CMP-01034"/>
    <x v="0"/>
    <s v="BlackFriday"/>
    <d v="2023-09-12T00:00:00"/>
    <d v="2023-10-04T00:00:00"/>
    <x v="4"/>
    <n v="98579"/>
    <n v="3085"/>
    <n v="5187.78"/>
    <n v="573"/>
    <s v="Yes"/>
    <s v="Google Ads"/>
    <n v="22"/>
    <n v="3.1294697653658485E-2"/>
    <n v="0.18573743922204214"/>
    <n v="1.681614262560778"/>
    <n v="9.0537172774869106"/>
    <n v="9"/>
    <x v="1"/>
    <s v="September"/>
  </r>
  <r>
    <s v="CMP-01144"/>
    <s v="Q3_Launch_CMP-01144"/>
    <x v="1"/>
    <s v="Launch"/>
    <d v="2023-09-12T00:00:00"/>
    <d v="2023-10-10T00:00:00"/>
    <x v="1"/>
    <n v="99723"/>
    <n v="3362"/>
    <n v="3744.02"/>
    <n v="394"/>
    <s v="Yes"/>
    <s v="Email"/>
    <n v="28"/>
    <n v="3.371338607944005E-2"/>
    <n v="0.11719214753123142"/>
    <n v="1.1136287923854848"/>
    <n v="9.5025888324873105"/>
    <n v="9"/>
    <x v="1"/>
    <s v="September"/>
  </r>
  <r>
    <s v="CMP-00641"/>
    <s v="Q4_BlackFriday_CMP-00641"/>
    <x v="2"/>
    <s v="BlackFriday"/>
    <d v="2023-09-12T00:00:00"/>
    <d v="2023-10-04T00:00:00"/>
    <x v="1"/>
    <n v="22689"/>
    <n v="376"/>
    <n v="393.36"/>
    <n v="30"/>
    <s v="Yes"/>
    <s v="Email"/>
    <n v="22"/>
    <n v="1.6571907091542156E-2"/>
    <n v="7.9787234042553196E-2"/>
    <n v="1.0461702127659576"/>
    <n v="13.112"/>
    <n v="9"/>
    <x v="1"/>
    <s v="September"/>
  </r>
  <r>
    <s v="CMP-00798"/>
    <s v="Q4_BlackFriday_CMP-00798"/>
    <x v="2"/>
    <s v="BlackFriday"/>
    <d v="2023-09-12T00:00:00"/>
    <d v="2023-09-18T00:00:00"/>
    <x v="0"/>
    <n v="41943"/>
    <n v="1636"/>
    <n v="2873.3"/>
    <n v="229"/>
    <s v="Yes"/>
    <s v="TikTok"/>
    <n v="6"/>
    <n v="3.9005316739384406E-2"/>
    <n v="0.13997555012224938"/>
    <n v="1.7562958435207825"/>
    <n v="12.547161572052403"/>
    <n v="9"/>
    <x v="1"/>
    <s v="September"/>
  </r>
  <r>
    <s v="CMP-01308"/>
    <s v="Q4_Winstagramter_CMP-01308"/>
    <x v="2"/>
    <s v="Winstagramter"/>
    <d v="2023-09-12T00:00:00"/>
    <d v="2023-10-09T00:00:00"/>
    <x v="3"/>
    <n v="76629"/>
    <n v="1326"/>
    <n v="830.58"/>
    <n v="157"/>
    <s v="No"/>
    <s v="FB"/>
    <n v="27"/>
    <n v="1.730415377990056E-2"/>
    <n v="0.11840120663650075"/>
    <n v="0.62638009049773757"/>
    <n v="5.2903184713375797"/>
    <n v="9"/>
    <x v="1"/>
    <s v="September"/>
  </r>
  <r>
    <s v="CMP-01892"/>
    <s v="Q4_Winstagramter_CMP-01892"/>
    <x v="2"/>
    <s v="Winstagramter"/>
    <d v="2023-09-12T00:00:00"/>
    <d v="2023-10-01T00:00:00"/>
    <x v="2"/>
    <n v="66455"/>
    <n v="2763"/>
    <n v="2336.34"/>
    <n v="365"/>
    <s v="Yes"/>
    <s v="IG"/>
    <n v="19"/>
    <n v="4.1577006997216163E-2"/>
    <n v="0.13210278682591386"/>
    <n v="0.84558089033659067"/>
    <n v="6.4009315068493153"/>
    <n v="9"/>
    <x v="1"/>
    <s v="September"/>
  </r>
  <r>
    <s v="CMP-01920"/>
    <s v="Q4_BlackFriday_CMP-01920"/>
    <x v="2"/>
    <s v="BlackFriday"/>
    <d v="2023-09-12T00:00:00"/>
    <d v="2023-10-04T00:00:00"/>
    <x v="3"/>
    <n v="44408"/>
    <n v="1415"/>
    <n v="1648.96"/>
    <n v="184"/>
    <s v="Yes"/>
    <s v="FB"/>
    <n v="22"/>
    <n v="3.1863628175103582E-2"/>
    <n v="0.13003533568904593"/>
    <n v="1.1653427561837455"/>
    <n v="8.9617391304347827"/>
    <n v="9"/>
    <x v="1"/>
    <s v="September"/>
  </r>
  <r>
    <s v="CMP-01012"/>
    <s v="Q2_Winstagramter_CMP-01012"/>
    <x v="0"/>
    <s v="Winstagramter"/>
    <d v="2023-09-13T00:00:00"/>
    <d v="2023-09-21T00:00:00"/>
    <x v="2"/>
    <n v="86655"/>
    <n v="2771"/>
    <n v="5149.37"/>
    <n v="414"/>
    <s v="Yes"/>
    <s v="IG"/>
    <n v="8"/>
    <n v="3.1977381570596042E-2"/>
    <n v="0.14940454709491158"/>
    <n v="1.8583074702273548"/>
    <n v="12.438091787439614"/>
    <n v="9"/>
    <x v="1"/>
    <s v="September"/>
  </r>
  <r>
    <s v="CMP-01690"/>
    <s v="Q2_Winstagramter_CMP-01690"/>
    <x v="0"/>
    <s v="Winstagramter"/>
    <d v="2023-09-13T00:00:00"/>
    <d v="2023-09-26T00:00:00"/>
    <x v="1"/>
    <n v="43520"/>
    <n v="1489"/>
    <n v="2612.89"/>
    <n v="90"/>
    <s v="Yes"/>
    <s v="Email"/>
    <n v="13"/>
    <n v="3.4214154411764709E-2"/>
    <n v="6.0443250503693757E-2"/>
    <n v="1.7547951645399595"/>
    <n v="29.03211111111111"/>
    <n v="9"/>
    <x v="1"/>
    <s v="September"/>
  </r>
  <r>
    <s v="CMP-01041"/>
    <s v="Q3_BlackFriday_CMP-01041"/>
    <x v="1"/>
    <s v="BlackFriday"/>
    <d v="2023-09-13T00:00:00"/>
    <d v="2023-09-21T00:00:00"/>
    <x v="3"/>
    <n v="50376"/>
    <n v="1443"/>
    <n v="1030.94"/>
    <n v="85"/>
    <s v="Yes"/>
    <s v="FB"/>
    <n v="8"/>
    <n v="2.864459266317294E-2"/>
    <n v="5.8905058905058906E-2"/>
    <n v="0.71444213444213445"/>
    <n v="12.128705882352941"/>
    <n v="9"/>
    <x v="1"/>
    <s v="September"/>
  </r>
  <r>
    <s v="CMP-01102"/>
    <s v="Q3_Launch_CMP-01102"/>
    <x v="1"/>
    <s v="Launch"/>
    <d v="2023-09-13T00:00:00"/>
    <d v="2023-09-19T00:00:00"/>
    <x v="0"/>
    <n v="83985"/>
    <n v="2331"/>
    <n v="1892.01"/>
    <n v="0"/>
    <s v="No"/>
    <s v="TikTok"/>
    <n v="6"/>
    <n v="2.7754956242186105E-2"/>
    <n v="0"/>
    <n v="0.81167310167310169"/>
    <s v="0"/>
    <n v="9"/>
    <x v="1"/>
    <s v="September"/>
  </r>
  <r>
    <s v="CMP-01349"/>
    <s v="Q3_Launch_CMP-01349"/>
    <x v="1"/>
    <s v="Launch"/>
    <d v="2023-09-13T00:00:00"/>
    <d v="2023-10-11T00:00:00"/>
    <x v="1"/>
    <n v="21079"/>
    <n v="773"/>
    <n v="468.73"/>
    <n v="99"/>
    <s v="Yes"/>
    <s v="Email"/>
    <n v="28"/>
    <n v="3.6671568860002848E-2"/>
    <n v="0.12807244501940493"/>
    <n v="0.60637774902975428"/>
    <n v="4.734646464646465"/>
    <n v="9"/>
    <x v="1"/>
    <s v="September"/>
  </r>
  <r>
    <s v="CMP-01624"/>
    <s v="Q3_BlackFriday_CMP-01624"/>
    <x v="1"/>
    <s v="BlackFriday"/>
    <d v="2023-09-13T00:00:00"/>
    <d v="2023-10-08T00:00:00"/>
    <x v="4"/>
    <n v="46028"/>
    <n v="792"/>
    <n v="419.79"/>
    <n v="147"/>
    <s v="Yes"/>
    <s v="Google Ads"/>
    <n v="25"/>
    <n v="1.7206917528460937E-2"/>
    <n v="0.18560606060606061"/>
    <n v="0.53003787878787878"/>
    <n v="2.8557142857142859"/>
    <n v="9"/>
    <x v="1"/>
    <s v="September"/>
  </r>
  <r>
    <s v="CMP-00542"/>
    <s v="Q4_Winstagramter_CMP-00542"/>
    <x v="2"/>
    <s v="Winstagramter"/>
    <d v="2023-09-13T00:00:00"/>
    <d v="2023-09-17T00:00:00"/>
    <x v="0"/>
    <n v="71588"/>
    <n v="978"/>
    <n v="807.27"/>
    <n v="74"/>
    <s v="Yes"/>
    <s v="TikTok"/>
    <n v="4"/>
    <n v="1.3661507515226016E-2"/>
    <n v="7.5664621676891614E-2"/>
    <n v="0.82542944785276073"/>
    <n v="10.909054054054053"/>
    <n v="9"/>
    <x v="1"/>
    <s v="September"/>
  </r>
  <r>
    <s v="CMP-01828"/>
    <s v="Q1_Summer_CMP-01828"/>
    <x v="3"/>
    <s v="Summer"/>
    <d v="2023-09-14T00:00:00"/>
    <d v="2023-09-26T00:00:00"/>
    <x v="4"/>
    <n v="24411"/>
    <n v="385"/>
    <n v="553.71"/>
    <n v="48"/>
    <s v="No"/>
    <s v="Google Ads"/>
    <n v="12"/>
    <n v="1.5771578386792839E-2"/>
    <n v="0.12467532467532468"/>
    <n v="1.4382077922077923"/>
    <n v="11.535625000000001"/>
    <n v="9"/>
    <x v="1"/>
    <s v="September"/>
  </r>
  <r>
    <s v="CMP-00485"/>
    <s v="Q3_Winstagramter_CMP-00485"/>
    <x v="1"/>
    <s v="Winstagramter"/>
    <d v="2023-09-14T00:00:00"/>
    <d v="2023-10-02T00:00:00"/>
    <x v="4"/>
    <n v="86067"/>
    <n v="2321"/>
    <n v="4605.21"/>
    <n v="134"/>
    <s v="No"/>
    <s v="Google Ads"/>
    <n v="18"/>
    <n v="2.6967362636085838E-2"/>
    <n v="5.7733735458853942E-2"/>
    <n v="1.9841490736751402"/>
    <n v="34.367238805970146"/>
    <n v="9"/>
    <x v="1"/>
    <s v="September"/>
  </r>
  <r>
    <s v="CMP-01791"/>
    <s v="Q3_BlackFriday_CMP-01791"/>
    <x v="1"/>
    <s v="BlackFriday"/>
    <d v="2023-09-14T00:00:00"/>
    <d v="2023-10-05T00:00:00"/>
    <x v="1"/>
    <n v="64888"/>
    <n v="1572"/>
    <n v="1411.36"/>
    <n v="243"/>
    <s v="Yes"/>
    <s v="Email"/>
    <n v="21"/>
    <n v="2.4226359265195414E-2"/>
    <n v="0.15458015267175573"/>
    <n v="0.89781170483460548"/>
    <n v="5.8080658436213985"/>
    <n v="9"/>
    <x v="1"/>
    <s v="September"/>
  </r>
  <r>
    <s v="CMP-00656"/>
    <s v="Q4_Launch_CMP-00656"/>
    <x v="2"/>
    <s v="Launch"/>
    <d v="2023-09-14T00:00:00"/>
    <d v="2023-09-26T00:00:00"/>
    <x v="5"/>
    <n v="45261"/>
    <n v="1730"/>
    <n v="1538.11"/>
    <n v="216"/>
    <s v="No"/>
    <s v="Not specified"/>
    <n v="12"/>
    <n v="3.8222752480060095E-2"/>
    <n v="0.12485549132947976"/>
    <n v="0.88908092485549128"/>
    <n v="7.1208796296296288"/>
    <n v="9"/>
    <x v="1"/>
    <s v="September"/>
  </r>
  <r>
    <s v="CMP-01284"/>
    <s v="Q2_Summer_CMP-01284"/>
    <x v="0"/>
    <s v="Summer"/>
    <d v="2023-09-15T00:00:00"/>
    <d v="2023-09-26T00:00:00"/>
    <x v="3"/>
    <n v="43460"/>
    <n v="1026"/>
    <n v="1903.1"/>
    <n v="144"/>
    <s v="Yes"/>
    <s v="FB"/>
    <n v="11"/>
    <n v="2.3607915324436263E-2"/>
    <n v="0.14035087719298245"/>
    <n v="1.8548732943469786"/>
    <n v="13.215972222222222"/>
    <n v="9"/>
    <x v="1"/>
    <s v="September"/>
  </r>
  <r>
    <s v="CMP-01609"/>
    <s v="Q2_Summer_CMP-01609"/>
    <x v="0"/>
    <s v="Summer"/>
    <d v="2023-09-15T00:00:00"/>
    <d v="2023-09-16T00:00:00"/>
    <x v="2"/>
    <n v="35801"/>
    <n v="1099"/>
    <n v="1462.04"/>
    <n v="148"/>
    <s v="Yes"/>
    <s v="IG"/>
    <n v="1"/>
    <n v="3.0697466551213654E-2"/>
    <n v="0.13466787989080983"/>
    <n v="1.330336669699727"/>
    <n v="9.8786486486486478"/>
    <n v="9"/>
    <x v="1"/>
    <s v="September"/>
  </r>
  <r>
    <s v="CMP-00520"/>
    <s v="Q4_BlackFriday_CMP-00520"/>
    <x v="2"/>
    <s v="BlackFriday"/>
    <d v="2023-09-15T00:00:00"/>
    <d v="2023-10-14T00:00:00"/>
    <x v="1"/>
    <n v="61160"/>
    <n v="1825"/>
    <n v="3453.18"/>
    <n v="0"/>
    <s v="No"/>
    <s v="Email"/>
    <n v="29"/>
    <n v="2.9839764551994767E-2"/>
    <n v="0"/>
    <n v="1.8921534246575342"/>
    <s v="0"/>
    <n v="9"/>
    <x v="1"/>
    <s v="September"/>
  </r>
  <r>
    <s v="CMP-01852"/>
    <s v="Q4_Launch_CMP-01852"/>
    <x v="2"/>
    <s v="Launch"/>
    <d v="2023-09-15T00:00:00"/>
    <d v="2023-10-02T00:00:00"/>
    <x v="2"/>
    <n v="20982"/>
    <n v="584"/>
    <n v="847.87"/>
    <n v="57"/>
    <s v="Yes"/>
    <s v="IG"/>
    <n v="17"/>
    <n v="2.7833380993232293E-2"/>
    <n v="9.7602739726027399E-2"/>
    <n v="1.4518321917808219"/>
    <n v="14.874912280701755"/>
    <n v="9"/>
    <x v="1"/>
    <s v="September"/>
  </r>
  <r>
    <s v="CMP-01369"/>
    <s v="Q1_Winstagramter_CMP-01369"/>
    <x v="3"/>
    <s v="Winstagramter"/>
    <d v="2023-09-16T00:00:00"/>
    <d v="2023-09-17T00:00:00"/>
    <x v="3"/>
    <n v="8083"/>
    <n v="327"/>
    <n v="223.29"/>
    <n v="33"/>
    <s v="Yes"/>
    <s v="FB"/>
    <n v="1"/>
    <n v="4.0455276506247681E-2"/>
    <n v="0.10091743119266056"/>
    <n v="0.68284403669724769"/>
    <n v="6.7663636363636357"/>
    <n v="9"/>
    <x v="1"/>
    <s v="September"/>
  </r>
  <r>
    <s v="CMP-00171"/>
    <s v="Q2_BlackFriday_CMP-00171"/>
    <x v="0"/>
    <s v="BlackFriday"/>
    <d v="2023-09-16T00:00:00"/>
    <d v="2023-09-27T00:00:00"/>
    <x v="5"/>
    <n v="43941"/>
    <n v="1392"/>
    <n v="1479.92"/>
    <n v="183"/>
    <s v="Yes"/>
    <s v="Not specified"/>
    <n v="11"/>
    <n v="3.1678842083703147E-2"/>
    <n v="0.13146551724137931"/>
    <n v="1.0631609195402298"/>
    <n v="8.0869945355191266"/>
    <n v="9"/>
    <x v="1"/>
    <s v="September"/>
  </r>
  <r>
    <s v="CMP-00816"/>
    <s v="Q2_Winstagramter_CMP-00816"/>
    <x v="0"/>
    <s v="Winstagramter"/>
    <d v="2023-09-16T00:00:00"/>
    <d v="2023-09-29T00:00:00"/>
    <x v="2"/>
    <n v="57397"/>
    <n v="2842"/>
    <n v="3384.84"/>
    <n v="192"/>
    <s v="No"/>
    <s v="IG"/>
    <n v="13"/>
    <n v="4.9514783002595958E-2"/>
    <n v="6.755805770584096E-2"/>
    <n v="1.19100633356791"/>
    <n v="17.629375"/>
    <n v="9"/>
    <x v="1"/>
    <s v="September"/>
  </r>
  <r>
    <s v="CMP-00938"/>
    <s v="Q2_Winstagramter_CMP-00938"/>
    <x v="0"/>
    <s v="Winstagramter"/>
    <d v="2023-09-16T00:00:00"/>
    <d v="2023-09-19T00:00:00"/>
    <x v="5"/>
    <n v="51428"/>
    <n v="1430"/>
    <n v="1696.22"/>
    <n v="82"/>
    <s v="No"/>
    <s v="Not specified"/>
    <n v="3"/>
    <n v="2.7805864509605663E-2"/>
    <n v="5.7342657342657345E-2"/>
    <n v="1.1861678321678322"/>
    <n v="20.685609756097563"/>
    <n v="9"/>
    <x v="1"/>
    <s v="September"/>
  </r>
  <r>
    <s v="CMP-00737"/>
    <s v="Q4_Launch_CMP-00737"/>
    <x v="2"/>
    <s v="Launch"/>
    <d v="2023-09-16T00:00:00"/>
    <d v="2023-09-20T00:00:00"/>
    <x v="5"/>
    <n v="8114"/>
    <n v="338"/>
    <n v="428.4"/>
    <n v="62"/>
    <s v="Yes"/>
    <s v="Not specified"/>
    <n v="4"/>
    <n v="4.1656396351984225E-2"/>
    <n v="0.18343195266272189"/>
    <n v="1.2674556213017751"/>
    <n v="6.9096774193548383"/>
    <n v="9"/>
    <x v="1"/>
    <s v="September"/>
  </r>
  <r>
    <s v="CMP-01418"/>
    <s v="Q4_Winstagramter_CMP-01418"/>
    <x v="2"/>
    <s v="Winstagramter"/>
    <d v="2023-09-16T00:00:00"/>
    <d v="2023-09-24T00:00:00"/>
    <x v="2"/>
    <n v="47828"/>
    <n v="1081"/>
    <n v="1757.05"/>
    <n v="197"/>
    <s v="No"/>
    <s v="IG"/>
    <n v="8"/>
    <n v="2.2601823199799281E-2"/>
    <n v="0.18223866790009249"/>
    <n v="1.6253931544865865"/>
    <n v="8.9190355329949238"/>
    <n v="9"/>
    <x v="1"/>
    <s v="September"/>
  </r>
  <r>
    <s v="CMP-00045"/>
    <s v="Q2_Summer_CMP-00045"/>
    <x v="0"/>
    <s v="Summer"/>
    <d v="2023-09-17T00:00:00"/>
    <d v="2023-10-03T00:00:00"/>
    <x v="0"/>
    <n v="88313"/>
    <n v="1127"/>
    <n v="670.24"/>
    <n v="96"/>
    <s v="No"/>
    <s v="TikTok"/>
    <n v="16"/>
    <n v="1.2761428102317892E-2"/>
    <n v="8.5181898846495116E-2"/>
    <n v="0.5947116237799468"/>
    <n v="6.9816666666666665"/>
    <n v="9"/>
    <x v="1"/>
    <s v="September"/>
  </r>
  <r>
    <s v="CMP-01256"/>
    <s v="Q3_Launch_CMP-01256"/>
    <x v="1"/>
    <s v="Launch"/>
    <d v="2023-09-17T00:00:00"/>
    <d v="2023-10-10T00:00:00"/>
    <x v="1"/>
    <n v="11395"/>
    <n v="320"/>
    <n v="232.66"/>
    <n v="40"/>
    <s v="Yes"/>
    <s v="Email"/>
    <n v="23"/>
    <n v="2.8082492321193506E-2"/>
    <n v="0.125"/>
    <n v="0.72706249999999994"/>
    <n v="5.8164999999999996"/>
    <n v="9"/>
    <x v="1"/>
    <s v="September"/>
  </r>
  <r>
    <s v="CMP-01725"/>
    <s v="Q3_Summer_CMP-01725"/>
    <x v="1"/>
    <s v="Summer"/>
    <d v="2023-09-17T00:00:00"/>
    <d v="2023-09-27T00:00:00"/>
    <x v="3"/>
    <n v="84624"/>
    <n v="2981"/>
    <n v="4953.32"/>
    <n v="358"/>
    <s v="No"/>
    <s v="FB"/>
    <n v="10"/>
    <n v="3.5226413310644737E-2"/>
    <n v="0.1200939282120094"/>
    <n v="1.6616303253941629"/>
    <n v="13.83608938547486"/>
    <n v="9"/>
    <x v="1"/>
    <s v="September"/>
  </r>
  <r>
    <s v="CMP-01929"/>
    <s v="Q3_Launch_CMP-01929"/>
    <x v="1"/>
    <s v="Launch"/>
    <d v="2023-09-17T00:00:00"/>
    <d v="2023-10-07T00:00:00"/>
    <x v="5"/>
    <n v="75441"/>
    <n v="2300"/>
    <n v="1533.47"/>
    <n v="453"/>
    <s v="Yes"/>
    <s v="Not specified"/>
    <n v="20"/>
    <n v="3.0487400750255165E-2"/>
    <n v="0.19695652173913045"/>
    <n v="0.6667260869565218"/>
    <n v="3.3851434878587199"/>
    <n v="9"/>
    <x v="1"/>
    <s v="September"/>
  </r>
  <r>
    <s v="CMP-00549"/>
    <s v="Q4_Launch_CMP-00549"/>
    <x v="2"/>
    <s v="Launch"/>
    <d v="2023-09-17T00:00:00"/>
    <d v="2023-10-16T00:00:00"/>
    <x v="0"/>
    <n v="21764"/>
    <n v="864"/>
    <n v="1103.69"/>
    <n v="46"/>
    <s v="Yes"/>
    <s v="TikTok"/>
    <n v="29"/>
    <n v="3.9698584818967105E-2"/>
    <n v="5.3240740740740741E-2"/>
    <n v="1.2774189814814816"/>
    <n v="23.993260869565219"/>
    <n v="9"/>
    <x v="1"/>
    <s v="September"/>
  </r>
  <r>
    <s v="CMP-00891"/>
    <s v="Q4_Summer_CMP-00891"/>
    <x v="2"/>
    <s v="Summer"/>
    <d v="2023-09-17T00:00:00"/>
    <d v="2023-09-21T00:00:00"/>
    <x v="2"/>
    <n v="7254"/>
    <n v="203"/>
    <n v="223.05"/>
    <n v="10"/>
    <s v="Yes"/>
    <s v="IG"/>
    <n v="4"/>
    <n v="2.7984560242624759E-2"/>
    <n v="4.9261083743842367E-2"/>
    <n v="1.098768472906404"/>
    <n v="22.305"/>
    <n v="9"/>
    <x v="1"/>
    <s v="September"/>
  </r>
  <r>
    <s v="CMP-00662"/>
    <s v="Q1_BlackFriday_CMP-00662"/>
    <x v="3"/>
    <s v="BlackFriday"/>
    <d v="2023-09-18T00:00:00"/>
    <d v="2023-10-15T00:00:00"/>
    <x v="1"/>
    <n v="63856"/>
    <n v="656"/>
    <n v="610.73"/>
    <n v="0"/>
    <s v="No"/>
    <s v="Email"/>
    <n v="27"/>
    <n v="1.0273114507642195E-2"/>
    <n v="0"/>
    <n v="0.93099085365853662"/>
    <s v="0"/>
    <n v="9"/>
    <x v="1"/>
    <s v="September"/>
  </r>
  <r>
    <s v="CMP-01372"/>
    <s v="Q1_BlackFriday_CMP-01372"/>
    <x v="3"/>
    <s v="BlackFriday"/>
    <d v="2023-09-18T00:00:00"/>
    <d v="2023-10-08T00:00:00"/>
    <x v="1"/>
    <n v="46648"/>
    <n v="876"/>
    <n v="959.34"/>
    <n v="83"/>
    <s v="Yes"/>
    <s v="Email"/>
    <n v="20"/>
    <n v="1.8778940147487565E-2"/>
    <n v="9.4748858447488579E-2"/>
    <n v="1.0951369863013698"/>
    <n v="11.558313253012049"/>
    <n v="9"/>
    <x v="1"/>
    <s v="September"/>
  </r>
  <r>
    <s v="CMP-00035"/>
    <s v="Q2_Summer_CMP-00035"/>
    <x v="0"/>
    <s v="Summer"/>
    <d v="2023-09-18T00:00:00"/>
    <d v="2023-09-22T00:00:00"/>
    <x v="2"/>
    <n v="68435"/>
    <n v="1959"/>
    <n v="2546.46"/>
    <n v="128"/>
    <s v="Yes"/>
    <s v="IG"/>
    <n v="4"/>
    <n v="2.8625703222035507E-2"/>
    <n v="6.5339458907605924E-2"/>
    <n v="1.2998774885145483"/>
    <n v="19.89421875"/>
    <n v="9"/>
    <x v="1"/>
    <s v="September"/>
  </r>
  <r>
    <s v="CMP-00298"/>
    <s v="Q3_BlackFriday_CMP-00298"/>
    <x v="1"/>
    <s v="BlackFriday"/>
    <d v="2023-09-18T00:00:00"/>
    <d v="2023-09-21T00:00:00"/>
    <x v="4"/>
    <n v="33711"/>
    <n v="1354"/>
    <n v="2203.65"/>
    <n v="190"/>
    <s v="Yes"/>
    <s v="Google Ads"/>
    <n v="3"/>
    <n v="4.0164931328053155E-2"/>
    <n v="0.14032496307237813"/>
    <n v="1.6275110782865585"/>
    <n v="11.598157894736843"/>
    <n v="9"/>
    <x v="1"/>
    <s v="September"/>
  </r>
  <r>
    <s v="CMP-01430"/>
    <s v="Q3_Winstagramter_CMP-01430"/>
    <x v="1"/>
    <s v="Winstagramter"/>
    <d v="2023-09-18T00:00:00"/>
    <d v="2023-09-26T00:00:00"/>
    <x v="5"/>
    <n v="62120"/>
    <n v="771"/>
    <n v="1004.19"/>
    <n v="144"/>
    <s v="No"/>
    <s v="Not specified"/>
    <n v="8"/>
    <n v="1.2411461687057309E-2"/>
    <n v="0.1867704280155642"/>
    <n v="1.3024513618677043"/>
    <n v="6.9735416666666667"/>
    <n v="9"/>
    <x v="1"/>
    <s v="September"/>
  </r>
  <r>
    <s v="CMP-01044"/>
    <s v="Q4_Winstagramter_CMP-01044"/>
    <x v="2"/>
    <s v="Winstagramter"/>
    <d v="2023-09-18T00:00:00"/>
    <d v="2023-09-28T00:00:00"/>
    <x v="2"/>
    <n v="68584"/>
    <n v="1748"/>
    <n v="2441.98"/>
    <n v="137"/>
    <s v="No"/>
    <s v="IG"/>
    <n v="10"/>
    <n v="2.5486994051090634E-2"/>
    <n v="7.8375286041189929E-2"/>
    <n v="1.3970137299771168"/>
    <n v="17.824671532846715"/>
    <n v="9"/>
    <x v="1"/>
    <s v="September"/>
  </r>
  <r>
    <s v="CMP-01303"/>
    <s v="Q2_BlackFriday_CMP-01303"/>
    <x v="0"/>
    <s v="BlackFriday"/>
    <d v="2023-09-19T00:00:00"/>
    <d v="2023-10-09T00:00:00"/>
    <x v="2"/>
    <n v="53487"/>
    <n v="2341"/>
    <n v="2245.1799999999998"/>
    <n v="404"/>
    <s v="Yes"/>
    <s v="IG"/>
    <n v="20"/>
    <n v="4.3767644474358255E-2"/>
    <n v="0.17257582229816318"/>
    <n v="0.95906877402819302"/>
    <n v="5.5573762376237621"/>
    <n v="9"/>
    <x v="1"/>
    <s v="September"/>
  </r>
  <r>
    <s v="CMP-01883"/>
    <s v="Q2_Winstagramter_CMP-01883"/>
    <x v="0"/>
    <s v="Winstagramter"/>
    <d v="2023-09-19T00:00:00"/>
    <d v="2023-10-02T00:00:00"/>
    <x v="3"/>
    <n v="1526"/>
    <n v="43"/>
    <n v="56.5"/>
    <n v="7"/>
    <s v="Yes"/>
    <s v="FB"/>
    <n v="13"/>
    <n v="2.8178243774574049E-2"/>
    <n v="0.16279069767441862"/>
    <n v="1.3139534883720929"/>
    <n v="8.0714285714285712"/>
    <n v="9"/>
    <x v="1"/>
    <s v="September"/>
  </r>
  <r>
    <s v="CMP-00466"/>
    <s v="Q3_BlackFriday_CMP-00466"/>
    <x v="1"/>
    <s v="BlackFriday"/>
    <d v="2023-09-19T00:00:00"/>
    <d v="2023-09-26T00:00:00"/>
    <x v="3"/>
    <n v="90480"/>
    <n v="1077"/>
    <n v="1668.87"/>
    <n v="67"/>
    <s v="Yes"/>
    <s v="FB"/>
    <n v="7"/>
    <n v="1.1903183023872679E-2"/>
    <n v="6.2209842154131847E-2"/>
    <n v="1.5495543175487465"/>
    <n v="24.908507462686565"/>
    <n v="9"/>
    <x v="1"/>
    <s v="September"/>
  </r>
  <r>
    <s v="CMP-00741"/>
    <s v="Q3_BlackFriday_CMP-00741"/>
    <x v="1"/>
    <s v="BlackFriday"/>
    <d v="2023-09-19T00:00:00"/>
    <d v="2023-10-15T00:00:00"/>
    <x v="2"/>
    <n v="22447"/>
    <n v="713"/>
    <n v="1387.31"/>
    <n v="140"/>
    <s v="No"/>
    <s v="IG"/>
    <n v="26"/>
    <n v="3.1763710072615498E-2"/>
    <n v="0.19635343618513323"/>
    <n v="1.9457363253856941"/>
    <n v="9.909357142857143"/>
    <n v="9"/>
    <x v="1"/>
    <s v="September"/>
  </r>
  <r>
    <s v="CMP-01606"/>
    <s v="Q4_Summer_CMP-01606"/>
    <x v="2"/>
    <s v="Summer"/>
    <d v="2023-09-19T00:00:00"/>
    <d v="2023-10-18T00:00:00"/>
    <x v="0"/>
    <n v="34933"/>
    <n v="1402"/>
    <n v="2445.1999999999998"/>
    <n v="81"/>
    <s v="No"/>
    <s v="TikTok"/>
    <n v="29"/>
    <n v="4.0133970743995648E-2"/>
    <n v="5.7774607703281029E-2"/>
    <n v="1.7440798858773179"/>
    <n v="30.187654320987651"/>
    <n v="9"/>
    <x v="1"/>
    <s v="September"/>
  </r>
  <r>
    <s v="CMP-01767"/>
    <s v="Q4_Winstagramter_CMP-01767"/>
    <x v="2"/>
    <s v="Winstagramter"/>
    <d v="2023-09-19T00:00:00"/>
    <d v="2023-10-04T00:00:00"/>
    <x v="1"/>
    <n v="32575"/>
    <n v="1289"/>
    <n v="1703.13"/>
    <n v="124"/>
    <s v="Yes"/>
    <s v="Email"/>
    <n v="15"/>
    <n v="3.9570222563315424E-2"/>
    <n v="9.6198603568657878E-2"/>
    <n v="1.3212800620636154"/>
    <n v="13.734919354838711"/>
    <n v="9"/>
    <x v="1"/>
    <s v="September"/>
  </r>
  <r>
    <s v="CMP-00580"/>
    <s v="Q1_Summer_CMP-00580"/>
    <x v="3"/>
    <s v="Summer"/>
    <d v="2023-09-20T00:00:00"/>
    <d v="2023-09-21T00:00:00"/>
    <x v="0"/>
    <n v="39756"/>
    <n v="1476"/>
    <n v="2734.1"/>
    <n v="140"/>
    <s v="Yes"/>
    <s v="TikTok"/>
    <n v="1"/>
    <n v="3.712647147600362E-2"/>
    <n v="9.4850948509485097E-2"/>
    <n v="1.8523712737127371"/>
    <n v="19.529285714285713"/>
    <n v="9"/>
    <x v="1"/>
    <s v="September"/>
  </r>
  <r>
    <s v="CMP-01380"/>
    <s v="Q1_Launch_CMP-01380"/>
    <x v="3"/>
    <s v="Launch"/>
    <d v="2023-09-20T00:00:00"/>
    <d v="2023-10-10T00:00:00"/>
    <x v="0"/>
    <n v="29529"/>
    <n v="809"/>
    <n v="1490.65"/>
    <n v="70"/>
    <s v="No"/>
    <s v="TikTok"/>
    <n v="20"/>
    <n v="2.7396796369670493E-2"/>
    <n v="8.6526576019777507E-2"/>
    <n v="1.842583436341162"/>
    <n v="21.295000000000002"/>
    <n v="9"/>
    <x v="1"/>
    <s v="September"/>
  </r>
  <r>
    <s v="CMP-00446"/>
    <s v="Q4_BlackFriday_CMP-00446"/>
    <x v="2"/>
    <s v="BlackFriday"/>
    <d v="2023-09-20T00:00:00"/>
    <d v="2023-10-19T00:00:00"/>
    <x v="5"/>
    <n v="81738"/>
    <n v="1151"/>
    <n v="601.70000000000005"/>
    <n v="194"/>
    <s v="Yes"/>
    <s v="Not specified"/>
    <n v="29"/>
    <n v="1.4081577723947246E-2"/>
    <n v="0.16854908774978281"/>
    <n v="0.52276281494352739"/>
    <n v="3.1015463917525774"/>
    <n v="9"/>
    <x v="1"/>
    <s v="September"/>
  </r>
  <r>
    <s v="CMP-01461"/>
    <s v="Q4_Launch_CMP-01461"/>
    <x v="2"/>
    <s v="Launch"/>
    <d v="2023-09-20T00:00:00"/>
    <d v="2023-09-27T00:00:00"/>
    <x v="3"/>
    <n v="39890"/>
    <n v="1193"/>
    <n v="500000"/>
    <n v="160"/>
    <s v="Yes"/>
    <s v="FB"/>
    <n v="7"/>
    <n v="2.9907244923539734E-2"/>
    <n v="0.13411567476948869"/>
    <n v="419.11148365465215"/>
    <n v="3125"/>
    <n v="9"/>
    <x v="1"/>
    <s v="September"/>
  </r>
  <r>
    <s v="CMP-01583"/>
    <s v="Q4_Winstagramter_CMP-01583"/>
    <x v="2"/>
    <s v="Winstagramter"/>
    <d v="2023-09-20T00:00:00"/>
    <d v="2023-09-28T00:00:00"/>
    <x v="2"/>
    <n v="97122"/>
    <n v="4400"/>
    <n v="4063.63"/>
    <n v="265"/>
    <s v="No"/>
    <s v="IG"/>
    <n v="8"/>
    <n v="4.5303844648998171E-2"/>
    <n v="6.0227272727272727E-2"/>
    <n v="0.9235522727272728"/>
    <n v="15.334452830188679"/>
    <n v="9"/>
    <x v="1"/>
    <s v="September"/>
  </r>
  <r>
    <s v="CMP-01361"/>
    <s v="Q3_BlackFriday_CMP-01361"/>
    <x v="1"/>
    <s v="BlackFriday"/>
    <d v="2023-09-20T00:00:00"/>
    <d v="2023-09-25T00:00:00"/>
    <x v="2"/>
    <n v="95914"/>
    <n v="3783"/>
    <n v="3148.5"/>
    <n v="307"/>
    <s v="Yes"/>
    <s v="IG"/>
    <n v="5"/>
    <n v="3.944158308484684E-2"/>
    <n v="8.1152524451493527E-2"/>
    <n v="0.83227597145122922"/>
    <n v="10.255700325732899"/>
    <n v="9"/>
    <x v="1"/>
    <s v="September"/>
  </r>
  <r>
    <s v="CMP-00455"/>
    <s v="Q3_Winstagramter_CMP-00455"/>
    <x v="1"/>
    <s v="Winstagramter"/>
    <d v="2023-09-20T00:00:00"/>
    <d v="2023-12-09T00:00:00"/>
    <x v="1"/>
    <n v="74847"/>
    <n v="3218"/>
    <n v="2008.36"/>
    <n v="244"/>
    <s v="No"/>
    <s v="Email"/>
    <n v="80"/>
    <n v="4.2994375192058468E-2"/>
    <n v="7.5823492852703539E-2"/>
    <n v="0.62410192666252329"/>
    <n v="8.2309836065573769"/>
    <n v="9"/>
    <x v="1"/>
    <s v="September"/>
  </r>
  <r>
    <s v="CMP-00659"/>
    <s v="Q2_Launch_CMP-00659"/>
    <x v="0"/>
    <s v="Launch"/>
    <d v="2023-09-21T00:00:00"/>
    <d v="2023-10-16T00:00:00"/>
    <x v="2"/>
    <n v="47732"/>
    <n v="2203"/>
    <n v="1740.09"/>
    <n v="114"/>
    <s v="No"/>
    <s v="IG"/>
    <n v="25"/>
    <n v="4.6153523841448087E-2"/>
    <n v="5.1747616886064454E-2"/>
    <n v="0.7898729005901044"/>
    <n v="15.263947368421052"/>
    <n v="9"/>
    <x v="1"/>
    <s v="September"/>
  </r>
  <r>
    <s v="CMP-00959"/>
    <s v="Q2_Winstagramter_CMP-00959"/>
    <x v="0"/>
    <s v="Winstagramter"/>
    <d v="2023-09-21T00:00:00"/>
    <d v="2023-10-13T00:00:00"/>
    <x v="1"/>
    <n v="89869"/>
    <n v="2518"/>
    <n v="1631.39"/>
    <n v="164"/>
    <s v="Yes"/>
    <s v="Email"/>
    <n v="22"/>
    <n v="2.8018560348952365E-2"/>
    <n v="6.5131056393963466E-2"/>
    <n v="0.64789118347895158"/>
    <n v="9.9474999999999998"/>
    <n v="9"/>
    <x v="1"/>
    <s v="September"/>
  </r>
  <r>
    <s v="CMP-00543"/>
    <s v="Q3_Winstagramter_CMP-00543"/>
    <x v="1"/>
    <s v="Winstagramter"/>
    <d v="2023-09-21T00:00:00"/>
    <d v="2023-10-21T00:00:00"/>
    <x v="0"/>
    <n v="94610"/>
    <n v="4598"/>
    <n v="4285.37"/>
    <n v="472"/>
    <s v="Yes"/>
    <s v="TikTok"/>
    <n v="30"/>
    <n v="4.859951379346792E-2"/>
    <n v="0.10265332753371031"/>
    <n v="0.93200739451935621"/>
    <n v="9.0791737288135597"/>
    <n v="9"/>
    <x v="1"/>
    <s v="September"/>
  </r>
  <r>
    <s v="CMP-00640"/>
    <s v="Q3_Launch_CMP-00640"/>
    <x v="1"/>
    <s v="Launch"/>
    <d v="2023-09-21T00:00:00"/>
    <d v="2023-10-03T00:00:00"/>
    <x v="2"/>
    <n v="22545"/>
    <n v="1108"/>
    <n v="1713.6"/>
    <n v="112"/>
    <s v="No"/>
    <s v="IG"/>
    <n v="12"/>
    <n v="4.9146152140164115E-2"/>
    <n v="0.10108303249097472"/>
    <n v="1.5465703971119134"/>
    <n v="15.299999999999999"/>
    <n v="9"/>
    <x v="1"/>
    <s v="September"/>
  </r>
  <r>
    <s v="CMP-01511"/>
    <s v="Q3_BlackFriday_CMP-01511"/>
    <x v="1"/>
    <s v="BlackFriday"/>
    <d v="2023-09-21T00:00:00"/>
    <d v="2023-09-29T00:00:00"/>
    <x v="5"/>
    <n v="56761"/>
    <n v="1660"/>
    <n v="3197.54"/>
    <n v="154"/>
    <s v="Yes"/>
    <s v="Not specified"/>
    <n v="8"/>
    <n v="2.9245432603372035E-2"/>
    <n v="9.2771084337349402E-2"/>
    <n v="1.9262289156626506"/>
    <n v="20.763246753246754"/>
    <n v="9"/>
    <x v="1"/>
    <s v="September"/>
  </r>
  <r>
    <s v="CMP-01953"/>
    <s v="Q4_Winstagramter_CMP-01953"/>
    <x v="2"/>
    <s v="Winstagramter"/>
    <d v="2023-09-21T00:00:00"/>
    <d v="2023-09-26T00:00:00"/>
    <x v="1"/>
    <n v="63768"/>
    <n v="1939"/>
    <n v="2297.9"/>
    <n v="111"/>
    <s v="No"/>
    <s v="Email"/>
    <n v="5"/>
    <n v="3.0407100740183164E-2"/>
    <n v="5.7246003094378543E-2"/>
    <n v="1.1850954100051574"/>
    <n v="20.701801801801803"/>
    <n v="9"/>
    <x v="1"/>
    <s v="September"/>
  </r>
  <r>
    <s v="CMP-01052"/>
    <s v="Q1_Winstagramter_CMP-01052"/>
    <x v="3"/>
    <s v="Winstagramter"/>
    <d v="2023-09-22T00:00:00"/>
    <d v="2023-10-09T00:00:00"/>
    <x v="4"/>
    <n v="21128"/>
    <n v="536"/>
    <n v="273.89999999999998"/>
    <n v="35"/>
    <s v="Yes"/>
    <s v="Google Ads"/>
    <n v="17"/>
    <n v="2.5369178341537298E-2"/>
    <n v="6.5298507462686561E-2"/>
    <n v="0.51100746268656716"/>
    <n v="7.8257142857142847"/>
    <n v="9"/>
    <x v="1"/>
    <s v="September"/>
  </r>
  <r>
    <s v="CMP-01507"/>
    <s v="Q1_Launch_CMP-01507"/>
    <x v="3"/>
    <s v="Launch"/>
    <d v="2023-09-22T00:00:00"/>
    <d v="2023-09-23T00:00:00"/>
    <x v="3"/>
    <n v="68957"/>
    <n v="3420"/>
    <n v="3769.68"/>
    <n v="357"/>
    <s v="Yes"/>
    <s v="FB"/>
    <n v="1"/>
    <n v="4.9596125121452499E-2"/>
    <n v="0.10438596491228071"/>
    <n v="1.1022456140350876"/>
    <n v="10.559327731092436"/>
    <n v="9"/>
    <x v="1"/>
    <s v="September"/>
  </r>
  <r>
    <s v="CMP-00060"/>
    <s v="Q2_BlackFriday_CMP-00060"/>
    <x v="0"/>
    <s v="BlackFriday"/>
    <d v="2023-09-22T00:00:00"/>
    <d v="2023-10-12T00:00:00"/>
    <x v="1"/>
    <n v="70479"/>
    <n v="1823"/>
    <n v="2634.34"/>
    <n v="112"/>
    <s v="Yes"/>
    <s v="Email"/>
    <n v="20"/>
    <n v="2.5865860752848364E-2"/>
    <n v="6.1437191442676904E-2"/>
    <n v="1.4450575973669777"/>
    <n v="23.520892857142858"/>
    <n v="9"/>
    <x v="1"/>
    <s v="September"/>
  </r>
  <r>
    <s v="CMP-00227"/>
    <s v="Q2_Winstagramter_CMP-00227"/>
    <x v="0"/>
    <s v="Winstagramter"/>
    <d v="2023-09-22T00:00:00"/>
    <d v="2023-10-03T00:00:00"/>
    <x v="1"/>
    <n v="64734"/>
    <n v="2702"/>
    <n v="2614.2800000000002"/>
    <n v="319"/>
    <s v="No"/>
    <s v="Email"/>
    <n v="11"/>
    <n v="4.1740043871844781E-2"/>
    <n v="0.11806069578090303"/>
    <n v="0.96753515914137678"/>
    <n v="8.1952351097178688"/>
    <n v="9"/>
    <x v="1"/>
    <s v="September"/>
  </r>
  <r>
    <s v="CMP-00913"/>
    <s v="Q3_Winstagramter_CMP-00913"/>
    <x v="1"/>
    <s v="Winstagramter"/>
    <d v="2023-09-22T00:00:00"/>
    <d v="2023-10-10T00:00:00"/>
    <x v="3"/>
    <n v="24061"/>
    <n v="515"/>
    <n v="742.72"/>
    <n v="42"/>
    <s v="Yes"/>
    <s v="FB"/>
    <n v="18"/>
    <n v="2.1403931673662772E-2"/>
    <n v="8.155339805825243E-2"/>
    <n v="1.4421747572815535"/>
    <n v="17.683809523809526"/>
    <n v="9"/>
    <x v="1"/>
    <s v="September"/>
  </r>
  <r>
    <s v="CMP-01429"/>
    <s v="Q4_Winstagramter_CMP-01429"/>
    <x v="2"/>
    <s v="Winstagramter"/>
    <d v="2023-09-22T00:00:00"/>
    <d v="2023-09-23T00:00:00"/>
    <x v="3"/>
    <n v="39709"/>
    <n v="1252"/>
    <n v="685.57"/>
    <n v="0"/>
    <s v="Yes"/>
    <s v="FB"/>
    <n v="1"/>
    <n v="3.1529376211941879E-2"/>
    <n v="0"/>
    <n v="0.54757987220447291"/>
    <s v="0"/>
    <n v="9"/>
    <x v="1"/>
    <s v="September"/>
  </r>
  <r>
    <s v="CMP-00289"/>
    <s v="Q1_BlackFriday_CMP-00289"/>
    <x v="3"/>
    <s v="BlackFriday"/>
    <d v="2023-09-23T00:00:00"/>
    <d v="2023-10-10T00:00:00"/>
    <x v="5"/>
    <n v="16151"/>
    <n v="406"/>
    <n v="647.24"/>
    <n v="41"/>
    <s v="No"/>
    <s v="Not specified"/>
    <n v="17"/>
    <n v="2.5137762367655254E-2"/>
    <n v="0.10098522167487685"/>
    <n v="1.5941871921182267"/>
    <n v="15.786341463414635"/>
    <n v="9"/>
    <x v="1"/>
    <s v="September"/>
  </r>
  <r>
    <s v="CMP-00615"/>
    <s v="Q1_Launch_CMP-00615"/>
    <x v="3"/>
    <s v="Launch"/>
    <d v="2023-09-23T00:00:00"/>
    <d v="2023-09-25T00:00:00"/>
    <x v="2"/>
    <n v="73936"/>
    <n v="3643"/>
    <n v="5594.22"/>
    <n v="382"/>
    <s v="Yes"/>
    <s v="IG"/>
    <n v="2"/>
    <n v="4.9272343648560916E-2"/>
    <n v="0.10485863299478451"/>
    <n v="1.5356080153719462"/>
    <n v="14.64455497382199"/>
    <n v="9"/>
    <x v="1"/>
    <s v="September"/>
  </r>
  <r>
    <s v="CMP-01569"/>
    <s v="Q2_Launch_CMP-01569"/>
    <x v="0"/>
    <s v="Launch"/>
    <d v="2023-09-23T00:00:00"/>
    <d v="2023-09-26T00:00:00"/>
    <x v="4"/>
    <n v="95223"/>
    <n v="1125"/>
    <n v="911.91"/>
    <n v="75"/>
    <s v="Yes"/>
    <s v="Google Ads"/>
    <n v="3"/>
    <n v="1.1814372578053621E-2"/>
    <n v="6.6666666666666666E-2"/>
    <n v="0.81058666666666668"/>
    <n v="12.158799999999999"/>
    <n v="9"/>
    <x v="1"/>
    <s v="September"/>
  </r>
  <r>
    <s v="CMP-01763"/>
    <s v="Q2_BlackFriday_CMP-01763"/>
    <x v="0"/>
    <s v="BlackFriday"/>
    <d v="2023-09-23T00:00:00"/>
    <d v="2023-10-08T00:00:00"/>
    <x v="2"/>
    <n v="32966"/>
    <n v="1568"/>
    <n v="1730.23"/>
    <n v="191"/>
    <s v="No"/>
    <s v="IG"/>
    <n v="15"/>
    <n v="4.7564157010252989E-2"/>
    <n v="0.12181122448979592"/>
    <n v="1.1034630102040817"/>
    <n v="9.0587958115183245"/>
    <n v="9"/>
    <x v="1"/>
    <s v="September"/>
  </r>
  <r>
    <s v="CMP-00570"/>
    <s v="Q3_Launch_CMP-00570"/>
    <x v="1"/>
    <s v="Launch"/>
    <d v="2023-09-23T00:00:00"/>
    <d v="2023-10-09T00:00:00"/>
    <x v="4"/>
    <n v="39513"/>
    <n v="1482"/>
    <n v="758.92"/>
    <n v="177"/>
    <s v="No"/>
    <s v="Google Ads"/>
    <n v="16"/>
    <n v="3.750664338319034E-2"/>
    <n v="0.1194331983805668"/>
    <n v="0.51209176788124156"/>
    <n v="4.2876836158192084"/>
    <n v="9"/>
    <x v="1"/>
    <s v="September"/>
  </r>
  <r>
    <s v="CMP-01611"/>
    <s v="Q3_Launch_CMP-01611"/>
    <x v="1"/>
    <s v="Launch"/>
    <d v="2023-09-23T00:00:00"/>
    <d v="2023-09-30T00:00:00"/>
    <x v="3"/>
    <n v="33913"/>
    <n v="1191"/>
    <n v="1365.23"/>
    <n v="194"/>
    <s v="Yes"/>
    <s v="FB"/>
    <n v="7"/>
    <n v="3.5119275793943326E-2"/>
    <n v="0.16288832913518053"/>
    <n v="1.1462888329135181"/>
    <n v="7.0372680412371134"/>
    <n v="9"/>
    <x v="1"/>
    <s v="September"/>
  </r>
  <r>
    <s v="CMP-01502"/>
    <s v="Q1_Launch_CMP-01502"/>
    <x v="3"/>
    <s v="Launch"/>
    <d v="2023-09-24T00:00:00"/>
    <d v="2023-10-02T00:00:00"/>
    <x v="5"/>
    <n v="13254"/>
    <n v="346"/>
    <n v="603.67999999999995"/>
    <n v="32"/>
    <s v="Yes"/>
    <s v="Not specified"/>
    <n v="8"/>
    <n v="2.6105326693828278E-2"/>
    <n v="9.2485549132947972E-2"/>
    <n v="1.7447398843930635"/>
    <n v="18.864999999999998"/>
    <n v="9"/>
    <x v="1"/>
    <s v="September"/>
  </r>
  <r>
    <s v="CMP-01286"/>
    <s v="Q2_Summer_CMP-01286"/>
    <x v="0"/>
    <s v="Summer"/>
    <d v="2023-09-24T00:00:00"/>
    <d v="2023-10-23T00:00:00"/>
    <x v="1"/>
    <n v="73847"/>
    <n v="982"/>
    <n v="1687.65"/>
    <n v="148"/>
    <s v="No"/>
    <s v="Email"/>
    <n v="29"/>
    <n v="1.329776429645077E-2"/>
    <n v="0.15071283095723015"/>
    <n v="1.7185845213849289"/>
    <n v="11.403040540540541"/>
    <n v="9"/>
    <x v="1"/>
    <s v="September"/>
  </r>
  <r>
    <s v="CMP-01833"/>
    <s v="Q3_Launch_CMP-01833"/>
    <x v="1"/>
    <s v="Launch"/>
    <d v="2023-09-24T00:00:00"/>
    <d v="2023-10-20T00:00:00"/>
    <x v="2"/>
    <n v="4093"/>
    <n v="138"/>
    <n v="264.45"/>
    <n v="8"/>
    <s v="No"/>
    <s v="IG"/>
    <n v="26"/>
    <n v="3.3716100659662837E-2"/>
    <n v="5.7971014492753624E-2"/>
    <n v="1.9163043478260868"/>
    <n v="33.056249999999999"/>
    <n v="9"/>
    <x v="1"/>
    <s v="September"/>
  </r>
  <r>
    <s v="CMP-01301"/>
    <s v="Q4_Launch_CMP-01301"/>
    <x v="2"/>
    <s v="Launch"/>
    <d v="2023-09-24T00:00:00"/>
    <d v="2023-09-29T00:00:00"/>
    <x v="1"/>
    <n v="66155"/>
    <n v="2155"/>
    <n v="1825.11"/>
    <n v="348"/>
    <s v="Yes"/>
    <s v="Email"/>
    <n v="5"/>
    <n v="3.2575013226513488E-2"/>
    <n v="0.16148491879350349"/>
    <n v="0.84691879350348021"/>
    <n v="5.2445689655172414"/>
    <n v="9"/>
    <x v="1"/>
    <s v="September"/>
  </r>
  <r>
    <s v="CMP-00254"/>
    <s v="Q1_Summer_CMP-00254"/>
    <x v="3"/>
    <s v="Summer"/>
    <d v="2023-09-25T00:00:00"/>
    <d v="2023-10-08T00:00:00"/>
    <x v="0"/>
    <n v="12411"/>
    <n v="437"/>
    <n v="649.87"/>
    <n v="28"/>
    <s v="Yes"/>
    <s v="TikTok"/>
    <n v="13"/>
    <n v="3.5210700185319473E-2"/>
    <n v="6.4073226544622428E-2"/>
    <n v="1.4871167048054921"/>
    <n v="23.209642857142857"/>
    <n v="9"/>
    <x v="1"/>
    <s v="September"/>
  </r>
  <r>
    <s v="CMP-01306"/>
    <s v="Q1_BlackFriday_CMP-01306"/>
    <x v="3"/>
    <s v="BlackFriday"/>
    <d v="2023-09-25T00:00:00"/>
    <d v="2023-09-29T00:00:00"/>
    <x v="1"/>
    <n v="49770"/>
    <n v="1003"/>
    <n v="509.23"/>
    <n v="192"/>
    <s v="Yes"/>
    <s v="Email"/>
    <n v="4"/>
    <n v="2.0152702431183445E-2"/>
    <n v="0.1914257228315055"/>
    <n v="0.50770687936191428"/>
    <n v="2.6522395833333334"/>
    <n v="9"/>
    <x v="1"/>
    <s v="September"/>
  </r>
  <r>
    <s v="CMP-01732"/>
    <s v="Q1_BlackFriday_CMP-01732"/>
    <x v="3"/>
    <s v="BlackFriday"/>
    <d v="2023-09-25T00:00:00"/>
    <d v="2023-10-05T00:00:00"/>
    <x v="1"/>
    <n v="3469"/>
    <n v="44"/>
    <n v="26.6"/>
    <n v="5"/>
    <s v="No"/>
    <s v="Email"/>
    <n v="10"/>
    <n v="1.2683770539060248E-2"/>
    <n v="0.11363636363636363"/>
    <n v="0.60454545454545461"/>
    <n v="5.32"/>
    <n v="9"/>
    <x v="1"/>
    <s v="September"/>
  </r>
  <r>
    <s v="CMP-01200"/>
    <s v="Q3_BlackFriday_CMP-01200"/>
    <x v="1"/>
    <s v="BlackFriday"/>
    <d v="2023-09-25T00:00:00"/>
    <d v="2023-10-15T00:00:00"/>
    <x v="1"/>
    <n v="54028"/>
    <n v="2254"/>
    <n v="1991.67"/>
    <n v="139"/>
    <s v="No"/>
    <s v="Email"/>
    <n v="20"/>
    <n v="4.1719108610350192E-2"/>
    <n v="6.1668145519077198E-2"/>
    <n v="0.88361579414374447"/>
    <n v="14.328561151079137"/>
    <n v="9"/>
    <x v="1"/>
    <s v="September"/>
  </r>
  <r>
    <s v="CMP-01668"/>
    <s v="Q3_Winstagramter_CMP-01668"/>
    <x v="1"/>
    <s v="Winstagramter"/>
    <d v="2023-09-25T00:00:00"/>
    <d v="2023-10-10T00:00:00"/>
    <x v="2"/>
    <n v="8906"/>
    <n v="377"/>
    <n v="289.39"/>
    <n v="41"/>
    <s v="No"/>
    <s v="IG"/>
    <n v="15"/>
    <n v="4.2331012800359308E-2"/>
    <n v="0.10875331564986737"/>
    <n v="0.76761273209549064"/>
    <n v="7.0582926829268287"/>
    <n v="9"/>
    <x v="1"/>
    <s v="September"/>
  </r>
  <r>
    <s v="CMP-01957"/>
    <s v="Q4_Winstagramter_CMP-01957"/>
    <x v="2"/>
    <s v="Winstagramter"/>
    <d v="2023-09-25T00:00:00"/>
    <d v="2023-10-15T00:00:00"/>
    <x v="1"/>
    <n v="50786"/>
    <n v="535"/>
    <n v="471.94"/>
    <n v="92"/>
    <s v="No"/>
    <s v="Email"/>
    <n v="20"/>
    <n v="1.0534399243886111E-2"/>
    <n v="0.17196261682242991"/>
    <n v="0.88213084112149531"/>
    <n v="5.1297826086956517"/>
    <n v="9"/>
    <x v="1"/>
    <s v="September"/>
  </r>
  <r>
    <s v="CMP-00239"/>
    <s v="Q3_Winstagramter_CMP-00239"/>
    <x v="1"/>
    <s v="Winstagramter"/>
    <d v="2023-09-26T00:00:00"/>
    <d v="2023-10-15T00:00:00"/>
    <x v="5"/>
    <n v="81623"/>
    <n v="3459"/>
    <n v="4568.84"/>
    <n v="211"/>
    <s v="No"/>
    <s v="Not specified"/>
    <n v="19"/>
    <n v="4.2377761170258384E-2"/>
    <n v="6.1000289100896214E-2"/>
    <n v="1.3208557386527899"/>
    <n v="21.653270142180094"/>
    <n v="9"/>
    <x v="1"/>
    <s v="September"/>
  </r>
  <r>
    <s v="CMP-01038"/>
    <s v="Q3_BlackFriday_CMP-01038"/>
    <x v="1"/>
    <s v="BlackFriday"/>
    <d v="2023-09-26T00:00:00"/>
    <d v="2023-09-30T00:00:00"/>
    <x v="3"/>
    <n v="65323"/>
    <n v="3031"/>
    <n v="3215.02"/>
    <n v="515"/>
    <s v="No"/>
    <s v="FB"/>
    <n v="4"/>
    <n v="4.6400195949359339E-2"/>
    <n v="0.16991092048828768"/>
    <n v="1.0607126360936985"/>
    <n v="6.2427572815533976"/>
    <n v="9"/>
    <x v="1"/>
    <s v="September"/>
  </r>
  <r>
    <s v="CMP-01882"/>
    <s v="Q3_Winstagramter_CMP-01882"/>
    <x v="1"/>
    <s v="Winstagramter"/>
    <d v="2023-09-26T00:00:00"/>
    <d v="2023-10-05T00:00:00"/>
    <x v="0"/>
    <n v="16251"/>
    <n v="354"/>
    <n v="570.4"/>
    <n v="67"/>
    <s v="Yes"/>
    <s v="TikTok"/>
    <n v="9"/>
    <n v="2.1783274875392285E-2"/>
    <n v="0.18926553672316385"/>
    <n v="1.6112994350282486"/>
    <n v="8.5134328358208951"/>
    <n v="9"/>
    <x v="1"/>
    <s v="September"/>
  </r>
  <r>
    <s v="CMP-01220"/>
    <s v="Q4_Launch_CMP-01220"/>
    <x v="2"/>
    <s v="Launch"/>
    <d v="2023-09-26T00:00:00"/>
    <d v="2023-10-05T00:00:00"/>
    <x v="2"/>
    <n v="38430"/>
    <n v="1440"/>
    <n v="2585.12"/>
    <n v="123"/>
    <s v="No"/>
    <s v="IG"/>
    <n v="9"/>
    <n v="3.7470725995316159E-2"/>
    <n v="8.5416666666666669E-2"/>
    <n v="1.7952222222222221"/>
    <n v="21.017235772357722"/>
    <n v="9"/>
    <x v="1"/>
    <s v="September"/>
  </r>
  <r>
    <s v="CMP-00448"/>
    <s v="Q1_Launch_CMP-00448"/>
    <x v="3"/>
    <s v="Launch"/>
    <d v="2023-09-27T00:00:00"/>
    <d v="2023-10-24T00:00:00"/>
    <x v="5"/>
    <n v="73615"/>
    <n v="3512"/>
    <n v="2313.63"/>
    <n v="0"/>
    <s v="Yes"/>
    <s v="Not specified"/>
    <n v="27"/>
    <n v="4.7707668274128916E-2"/>
    <n v="0"/>
    <n v="0.65877847380410026"/>
    <s v="0"/>
    <n v="9"/>
    <x v="1"/>
    <s v="September"/>
  </r>
  <r>
    <s v="CMP-00548"/>
    <s v="Q1_Summer_CMP-00548"/>
    <x v="3"/>
    <s v="Summer"/>
    <d v="2023-09-27T00:00:00"/>
    <d v="2023-09-28T00:00:00"/>
    <x v="4"/>
    <n v="90643"/>
    <n v="3655"/>
    <n v="3034.14"/>
    <n v="587"/>
    <s v="No"/>
    <s v="Google Ads"/>
    <n v="1"/>
    <n v="4.0323025495625699E-2"/>
    <n v="0.16060191518467853"/>
    <n v="0.83013406292749659"/>
    <n v="5.1688926746166945"/>
    <n v="9"/>
    <x v="1"/>
    <s v="September"/>
  </r>
  <r>
    <s v="CMP-00678"/>
    <s v="Q3_Summer_CMP-00678"/>
    <x v="1"/>
    <s v="Summer"/>
    <d v="2023-09-27T00:00:00"/>
    <d v="2023-10-27T00:00:00"/>
    <x v="0"/>
    <n v="38080"/>
    <n v="1034"/>
    <n v="1054.51"/>
    <n v="151"/>
    <s v="No"/>
    <s v="TikTok"/>
    <n v="30"/>
    <n v="2.7153361344537816E-2"/>
    <n v="0.14603481624758222"/>
    <n v="1.0198355899419729"/>
    <n v="6.9835099337748341"/>
    <n v="9"/>
    <x v="1"/>
    <s v="September"/>
  </r>
  <r>
    <s v="CMP-01105"/>
    <s v="Q3_BlackFriday_CMP-01105"/>
    <x v="1"/>
    <s v="BlackFriday"/>
    <d v="2023-09-27T00:00:00"/>
    <d v="2023-10-22T00:00:00"/>
    <x v="3"/>
    <n v="60207"/>
    <n v="814"/>
    <n v="812.36"/>
    <n v="100"/>
    <s v="Yes"/>
    <s v="FB"/>
    <n v="25"/>
    <n v="1.3520022588735529E-2"/>
    <n v="0.12285012285012285"/>
    <n v="0.99798525798525806"/>
    <n v="8.1235999999999997"/>
    <n v="9"/>
    <x v="1"/>
    <s v="September"/>
  </r>
  <r>
    <s v="CMP-00056"/>
    <s v="Q4_BlackFriday_CMP-00056"/>
    <x v="2"/>
    <s v="BlackFriday"/>
    <d v="2023-09-28T00:00:00"/>
    <d v="2023-10-08T00:00:00"/>
    <x v="3"/>
    <n v="81077"/>
    <n v="3593"/>
    <n v="3219.35"/>
    <n v="279"/>
    <s v="No"/>
    <s v="FB"/>
    <n v="10"/>
    <n v="4.4315897233494085E-2"/>
    <n v="7.7650988032284998E-2"/>
    <n v="0.89600612301697746"/>
    <n v="11.538888888888888"/>
    <n v="9"/>
    <x v="1"/>
    <s v="September"/>
  </r>
  <r>
    <s v="CMP-00219"/>
    <s v="Q3_Winstagramter_CMP-00219"/>
    <x v="1"/>
    <s v="Winstagramter"/>
    <d v="2023-09-28T00:00:00"/>
    <d v="2023-10-03T00:00:00"/>
    <x v="0"/>
    <n v="39623"/>
    <n v="1689"/>
    <n v="1094.26"/>
    <n v="241"/>
    <s v="No"/>
    <s v="TikTok"/>
    <n v="5"/>
    <n v="4.2626757186482601E-2"/>
    <n v="0.14268798105387803"/>
    <n v="0.6478744819419775"/>
    <n v="4.540497925311203"/>
    <n v="9"/>
    <x v="1"/>
    <s v="September"/>
  </r>
  <r>
    <s v="CMP-00233"/>
    <s v="Q1_Summer_CMP-00233"/>
    <x v="3"/>
    <s v="Summer"/>
    <d v="2023-09-29T00:00:00"/>
    <d v="2023-10-06T00:00:00"/>
    <x v="2"/>
    <n v="38157"/>
    <n v="1231"/>
    <n v="1346.17"/>
    <n v="142"/>
    <s v="Yes"/>
    <s v="IG"/>
    <n v="7"/>
    <n v="3.2261446130460988E-2"/>
    <n v="0.11535337124289195"/>
    <n v="1.093558082859464"/>
    <n v="9.4800704225352117"/>
    <n v="9"/>
    <x v="1"/>
    <s v="September"/>
  </r>
  <r>
    <s v="CMP-00820"/>
    <s v="Q2_Winstagramter_CMP-00820"/>
    <x v="0"/>
    <s v="Winstagramter"/>
    <d v="2023-09-29T00:00:00"/>
    <d v="2023-10-13T00:00:00"/>
    <x v="3"/>
    <n v="54932"/>
    <n v="1108"/>
    <n v="1625.83"/>
    <n v="122"/>
    <s v="No"/>
    <s v="FB"/>
    <n v="14"/>
    <n v="2.0170392485254495E-2"/>
    <n v="0.11010830324909747"/>
    <n v="1.4673555956678699"/>
    <n v="13.326475409836066"/>
    <n v="9"/>
    <x v="1"/>
    <s v="September"/>
  </r>
  <r>
    <s v="CMP-01281"/>
    <s v="Q2_Winstagramter_CMP-01281"/>
    <x v="0"/>
    <s v="Winstagramter"/>
    <d v="2023-09-29T00:00:00"/>
    <d v="2023-10-25T00:00:00"/>
    <x v="0"/>
    <n v="60676"/>
    <n v="2780"/>
    <n v="4065.34"/>
    <n v="465"/>
    <s v="No"/>
    <s v="TikTok"/>
    <n v="26"/>
    <n v="4.5817127035401146E-2"/>
    <n v="0.1672661870503597"/>
    <n v="1.4623525179856116"/>
    <n v="8.7426666666666666"/>
    <n v="9"/>
    <x v="1"/>
    <s v="September"/>
  </r>
  <r>
    <s v="CMP-01370"/>
    <s v="Q2_BlackFriday_CMP-01370"/>
    <x v="0"/>
    <s v="BlackFriday"/>
    <d v="2023-09-29T00:00:00"/>
    <d v="2023-10-03T00:00:00"/>
    <x v="2"/>
    <n v="18771"/>
    <n v="529"/>
    <n v="594.49"/>
    <n v="74"/>
    <s v="No"/>
    <s v="IG"/>
    <n v="4"/>
    <n v="2.8181769751211977E-2"/>
    <n v="0.13988657844990549"/>
    <n v="1.1237996219281663"/>
    <n v="8.0336486486486489"/>
    <n v="9"/>
    <x v="1"/>
    <s v="September"/>
  </r>
  <r>
    <s v="CMP-00089"/>
    <s v="Q4_Winstagramter_CMP-00089"/>
    <x v="2"/>
    <s v="Winstagramter"/>
    <d v="2023-09-29T00:00:00"/>
    <d v="2023-10-10T00:00:00"/>
    <x v="5"/>
    <n v="87807"/>
    <n v="3125"/>
    <n v="1938.54"/>
    <n v="506"/>
    <s v="Yes"/>
    <s v="Not specified"/>
    <n v="11"/>
    <n v="3.5589417700183354E-2"/>
    <n v="0.16192000000000001"/>
    <n v="0.62033280000000002"/>
    <n v="3.8311067193675887"/>
    <n v="9"/>
    <x v="1"/>
    <s v="September"/>
  </r>
  <r>
    <s v="CMP-00410"/>
    <s v="Q4_Winstagramter_CMP-00410"/>
    <x v="2"/>
    <s v="Winstagramter"/>
    <d v="2023-09-29T00:00:00"/>
    <d v="2023-10-28T00:00:00"/>
    <x v="1"/>
    <n v="71031"/>
    <n v="1716"/>
    <n v="2524.71"/>
    <n v="112"/>
    <s v="Yes"/>
    <s v="Email"/>
    <n v="29"/>
    <n v="2.415846602187777E-2"/>
    <n v="6.5268065268065265E-2"/>
    <n v="1.4712762237762238"/>
    <n v="22.542053571428571"/>
    <n v="9"/>
    <x v="1"/>
    <s v="September"/>
  </r>
  <r>
    <s v="CMP-00819"/>
    <s v="Q1_Launch_CMP-00819"/>
    <x v="3"/>
    <s v="Launch"/>
    <d v="2023-09-30T00:00:00"/>
    <d v="2023-10-10T00:00:00"/>
    <x v="1"/>
    <n v="46106"/>
    <n v="1040"/>
    <n v="1915.05"/>
    <n v="56"/>
    <s v="No"/>
    <s v="Email"/>
    <n v="10"/>
    <n v="2.2556717130091528E-2"/>
    <n v="5.3846153846153849E-2"/>
    <n v="1.8413942307692308"/>
    <n v="34.197321428571428"/>
    <n v="9"/>
    <x v="1"/>
    <s v="September"/>
  </r>
  <r>
    <s v="CMP-00054"/>
    <s v="Q4_Winstagramter_CMP-00054"/>
    <x v="2"/>
    <s v="Winstagramter"/>
    <d v="2023-09-30T00:00:00"/>
    <d v="2023-10-11T00:00:00"/>
    <x v="5"/>
    <n v="49555"/>
    <n v="1114"/>
    <n v="919.99"/>
    <n v="95"/>
    <s v="No"/>
    <s v="Not specified"/>
    <n v="11"/>
    <n v="2.2480072646554335E-2"/>
    <n v="8.527827648114901E-2"/>
    <n v="0.82584380610412922"/>
    <n v="9.6841052631578943"/>
    <n v="9"/>
    <x v="1"/>
    <s v="September"/>
  </r>
  <r>
    <s v="CMP-01534"/>
    <s v="Q4_Summer_CMP-01534"/>
    <x v="2"/>
    <s v="Summer"/>
    <d v="2023-09-30T00:00:00"/>
    <d v="2023-10-12T00:00:00"/>
    <x v="4"/>
    <n v="42786"/>
    <n v="812"/>
    <n v="1531.52"/>
    <n v="146"/>
    <s v="Yes"/>
    <s v="Google Ads"/>
    <n v="12"/>
    <n v="1.897817042957977E-2"/>
    <n v="0.17980295566502463"/>
    <n v="1.8861083743842364"/>
    <n v="10.48986301369863"/>
    <n v="9"/>
    <x v="1"/>
    <s v="September"/>
  </r>
  <r>
    <s v="CMP-01685"/>
    <s v="Q2_BlackFriday_CMP-01685"/>
    <x v="0"/>
    <s v="BlackFriday"/>
    <d v="2023-10-01T00:00:00"/>
    <d v="2023-10-18T00:00:00"/>
    <x v="2"/>
    <n v="89801"/>
    <n v="1585"/>
    <n v="1075.68"/>
    <n v="223"/>
    <s v="Yes"/>
    <s v="IG"/>
    <n v="17"/>
    <n v="1.765013752630817E-2"/>
    <n v="0.14069400630914827"/>
    <n v="0.67866246056782342"/>
    <n v="4.8236771300448433"/>
    <n v="10"/>
    <x v="1"/>
    <s v="October"/>
  </r>
  <r>
    <s v="CMP-01754"/>
    <s v="Q2_BlackFriday_CMP-01754"/>
    <x v="0"/>
    <s v="BlackFriday"/>
    <d v="2023-10-01T00:00:00"/>
    <d v="2023-10-27T00:00:00"/>
    <x v="0"/>
    <n v="92659"/>
    <n v="951"/>
    <n v="1127.1500000000001"/>
    <n v="105"/>
    <s v="No"/>
    <s v="TikTok"/>
    <n v="26"/>
    <n v="1.0263439061505088E-2"/>
    <n v="0.11041009463722397"/>
    <n v="1.1852260778128287"/>
    <n v="10.734761904761905"/>
    <n v="10"/>
    <x v="1"/>
    <s v="October"/>
  </r>
  <r>
    <s v="CMP-00618"/>
    <s v="Q3_Launch_CMP-00618"/>
    <x v="1"/>
    <s v="Launch"/>
    <d v="2023-10-01T00:00:00"/>
    <d v="2023-10-28T00:00:00"/>
    <x v="3"/>
    <n v="70896"/>
    <n v="2184"/>
    <n v="1263.6300000000001"/>
    <n v="207"/>
    <s v="No"/>
    <s v="FB"/>
    <n v="27"/>
    <n v="3.0805687203791468E-2"/>
    <n v="9.4780219780219777E-2"/>
    <n v="0.57858516483516487"/>
    <n v="6.1044927536231892"/>
    <n v="10"/>
    <x v="1"/>
    <s v="October"/>
  </r>
  <r>
    <s v="CMP-00973"/>
    <s v="Q3_Summer_CMP-00973"/>
    <x v="1"/>
    <s v="Summer"/>
    <d v="2023-10-01T00:00:00"/>
    <d v="2023-10-06T00:00:00"/>
    <x v="1"/>
    <n v="5632"/>
    <n v="155"/>
    <n v="199.25"/>
    <n v="0"/>
    <s v="Yes"/>
    <s v="Email"/>
    <n v="5"/>
    <n v="2.752130681818182E-2"/>
    <n v="0"/>
    <n v="1.2854838709677419"/>
    <s v="0"/>
    <n v="10"/>
    <x v="1"/>
    <s v="October"/>
  </r>
  <r>
    <s v="CMP-01279"/>
    <s v="Q3_Launch_CMP-01279"/>
    <x v="1"/>
    <s v="Launch"/>
    <d v="2023-10-01T00:00:00"/>
    <d v="2023-10-08T00:00:00"/>
    <x v="0"/>
    <n v="3079"/>
    <n v="118"/>
    <n v="84.34"/>
    <n v="20"/>
    <s v="No"/>
    <s v="TikTok"/>
    <n v="7"/>
    <n v="3.8324131211432286E-2"/>
    <n v="0.16949152542372881"/>
    <n v="0.71474576271186441"/>
    <n v="4.2170000000000005"/>
    <n v="10"/>
    <x v="1"/>
    <s v="October"/>
  </r>
  <r>
    <s v="CMP-01389"/>
    <s v="Q3_Launch_CMP-01389"/>
    <x v="1"/>
    <s v="Launch"/>
    <d v="2023-10-01T00:00:00"/>
    <d v="2023-10-09T00:00:00"/>
    <x v="2"/>
    <n v="18685"/>
    <n v="596"/>
    <n v="576.54999999999995"/>
    <n v="92"/>
    <s v="No"/>
    <s v="IG"/>
    <n v="8"/>
    <n v="3.1897243778431894E-2"/>
    <n v="0.15436241610738255"/>
    <n v="0.9673657718120805"/>
    <n v="6.2668478260869565"/>
    <n v="10"/>
    <x v="1"/>
    <s v="October"/>
  </r>
  <r>
    <s v="CMP-01664"/>
    <s v="Q3_Winstagramter_CMP-01664"/>
    <x v="1"/>
    <s v="Winstagramter"/>
    <d v="2023-10-01T00:00:00"/>
    <d v="2023-10-27T00:00:00"/>
    <x v="0"/>
    <n v="26425"/>
    <n v="1019"/>
    <n v="982.44"/>
    <n v="104"/>
    <s v="Yes"/>
    <s v="TikTok"/>
    <n v="26"/>
    <n v="3.8561967833491015E-2"/>
    <n v="0.10206084396467124"/>
    <n v="0.9641216879293425"/>
    <n v="9.4465384615384629"/>
    <n v="10"/>
    <x v="1"/>
    <s v="October"/>
  </r>
  <r>
    <s v="CMP-01294"/>
    <s v="Q4_Launch_CMP-01294"/>
    <x v="2"/>
    <s v="Launch"/>
    <d v="2023-10-01T00:00:00"/>
    <d v="2023-10-24T00:00:00"/>
    <x v="1"/>
    <n v="29865"/>
    <n v="1425"/>
    <n v="1297.53"/>
    <n v="210"/>
    <s v="No"/>
    <s v="Email"/>
    <n v="23"/>
    <n v="4.7714716223003516E-2"/>
    <n v="0.14736842105263157"/>
    <n v="0.91054736842105266"/>
    <n v="6.1787142857142854"/>
    <n v="10"/>
    <x v="1"/>
    <s v="October"/>
  </r>
  <r>
    <s v="CMP-01978"/>
    <s v="Q4_Summer_CMP-01978"/>
    <x v="2"/>
    <s v="Summer"/>
    <d v="2023-10-01T00:00:00"/>
    <d v="2023-10-10T00:00:00"/>
    <x v="0"/>
    <n v="75137"/>
    <n v="2943"/>
    <n v="5827.23"/>
    <n v="260"/>
    <s v="Yes"/>
    <s v="TikTok"/>
    <n v="9"/>
    <n v="3.9168452293809976E-2"/>
    <n v="8.8345225959904863E-2"/>
    <n v="1.9800305810397552"/>
    <n v="22.412423076923076"/>
    <n v="10"/>
    <x v="1"/>
    <s v="October"/>
  </r>
  <r>
    <s v="CMP-00014"/>
    <s v="Q1_Launch_CMP-00014"/>
    <x v="3"/>
    <s v="Launch"/>
    <d v="2023-10-02T00:00:00"/>
    <d v="2023-10-15T00:00:00"/>
    <x v="0"/>
    <n v="65820"/>
    <n v="1116"/>
    <n v="1464.72"/>
    <n v="169"/>
    <s v="Yes"/>
    <s v="TikTok"/>
    <n v="13"/>
    <n v="1.6955332725615314E-2"/>
    <n v="0.15143369175627241"/>
    <n v="1.3124731182795699"/>
    <n v="8.6669822485207106"/>
    <n v="10"/>
    <x v="1"/>
    <s v="October"/>
  </r>
  <r>
    <s v="CMP-01549"/>
    <s v="Q1_Winstagramter_CMP-01549"/>
    <x v="3"/>
    <s v="Winstagramter"/>
    <d v="2023-10-02T00:00:00"/>
    <d v="2023-10-19T00:00:00"/>
    <x v="0"/>
    <n v="36435"/>
    <n v="1157"/>
    <n v="1596.39"/>
    <n v="89"/>
    <s v="Yes"/>
    <s v="TikTok"/>
    <n v="17"/>
    <n v="3.175518045835049E-2"/>
    <n v="7.6923076923076927E-2"/>
    <n v="1.3797666378565256"/>
    <n v="17.936966292134834"/>
    <n v="10"/>
    <x v="1"/>
    <s v="October"/>
  </r>
  <r>
    <s v="CMP-01185"/>
    <s v="Q3_Winstagramter_CMP-01185"/>
    <x v="1"/>
    <s v="Winstagramter"/>
    <d v="2023-10-02T00:00:00"/>
    <d v="2023-10-30T00:00:00"/>
    <x v="4"/>
    <n v="3443"/>
    <n v="38"/>
    <n v="20.76"/>
    <n v="2"/>
    <s v="Yes"/>
    <s v="Google Ads"/>
    <n v="28"/>
    <n v="1.1036886436247459E-2"/>
    <n v="5.2631578947368418E-2"/>
    <n v="0.5463157894736842"/>
    <n v="10.38"/>
    <n v="10"/>
    <x v="1"/>
    <s v="October"/>
  </r>
  <r>
    <s v="CMP-00041"/>
    <s v="Q4_Summer_CMP-00041"/>
    <x v="2"/>
    <s v="Summer"/>
    <d v="2023-10-02T00:00:00"/>
    <d v="2023-10-12T00:00:00"/>
    <x v="1"/>
    <n v="4890"/>
    <n v="172"/>
    <n v="205.48"/>
    <n v="29"/>
    <s v="Yes"/>
    <s v="Email"/>
    <n v="10"/>
    <n v="3.5173824130879348E-2"/>
    <n v="0.16860465116279069"/>
    <n v="1.1946511627906977"/>
    <n v="7.0855172413793097"/>
    <n v="10"/>
    <x v="1"/>
    <s v="October"/>
  </r>
  <r>
    <s v="CMP-00921"/>
    <s v="Q4_Summer_CMP-00921"/>
    <x v="2"/>
    <s v="Summer"/>
    <d v="2023-10-02T00:00:00"/>
    <d v="2023-10-19T00:00:00"/>
    <x v="4"/>
    <n v="82818"/>
    <n v="2446"/>
    <n v="3350.03"/>
    <n v="155"/>
    <s v="No"/>
    <s v="Google Ads"/>
    <n v="17"/>
    <n v="2.9534642227535077E-2"/>
    <n v="6.3368765331152904E-2"/>
    <n v="1.3695952575633688"/>
    <n v="21.613096774193551"/>
    <n v="10"/>
    <x v="1"/>
    <s v="October"/>
  </r>
  <r>
    <s v="CMP-00942"/>
    <s v="Q1_Launch_CMP-00942"/>
    <x v="3"/>
    <s v="Launch"/>
    <d v="2023-10-03T00:00:00"/>
    <d v="2023-10-11T00:00:00"/>
    <x v="5"/>
    <n v="1055"/>
    <n v="16"/>
    <n v="25.53"/>
    <n v="3"/>
    <s v="Yes"/>
    <s v="Not specified"/>
    <n v="8"/>
    <n v="1.5165876777251185E-2"/>
    <n v="0.1875"/>
    <n v="1.5956250000000001"/>
    <n v="8.51"/>
    <n v="10"/>
    <x v="1"/>
    <s v="October"/>
  </r>
  <r>
    <s v="CMP-01436"/>
    <s v="Q1_BlackFriday_CMP-01436"/>
    <x v="3"/>
    <s v="BlackFriday"/>
    <d v="2023-10-03T00:00:00"/>
    <d v="2023-10-23T00:00:00"/>
    <x v="1"/>
    <n v="54276"/>
    <n v="639"/>
    <n v="1069.53"/>
    <n v="125"/>
    <s v="Yes"/>
    <s v="Email"/>
    <n v="20"/>
    <n v="1.1773159407472917E-2"/>
    <n v="0.19561815336463223"/>
    <n v="1.6737558685446008"/>
    <n v="8.556239999999999"/>
    <n v="10"/>
    <x v="1"/>
    <s v="October"/>
  </r>
  <r>
    <s v="CMP-01433"/>
    <s v="Q2_Summer_CMP-01433"/>
    <x v="0"/>
    <s v="Summer"/>
    <d v="2023-10-03T00:00:00"/>
    <d v="2023-10-17T00:00:00"/>
    <x v="5"/>
    <n v="12555"/>
    <n v="592"/>
    <n v="580.79999999999995"/>
    <n v="82"/>
    <s v="No"/>
    <s v="Not specified"/>
    <n v="14"/>
    <n v="4.7152528872958982E-2"/>
    <n v="0.13851351351351351"/>
    <n v="0.98108108108108105"/>
    <n v="7.0829268292682919"/>
    <n v="10"/>
    <x v="1"/>
    <s v="October"/>
  </r>
  <r>
    <s v="CMP-00143"/>
    <s v="Q3_BlackFriday_CMP-00143"/>
    <x v="1"/>
    <s v="BlackFriday"/>
    <d v="2023-10-03T00:00:00"/>
    <d v="2023-10-16T00:00:00"/>
    <x v="3"/>
    <n v="88897"/>
    <n v="1915"/>
    <n v="2926.3"/>
    <n v="148"/>
    <s v="No"/>
    <s v="FB"/>
    <n v="13"/>
    <n v="2.1541784312181515E-2"/>
    <n v="7.7284595300261091E-2"/>
    <n v="1.5280939947780681"/>
    <n v="19.7722972972973"/>
    <n v="10"/>
    <x v="1"/>
    <s v="October"/>
  </r>
  <r>
    <s v="CMP-00307"/>
    <s v="Q3_Summer_CMP-00307"/>
    <x v="1"/>
    <s v="Summer"/>
    <d v="2023-10-03T00:00:00"/>
    <d v="2023-10-20T00:00:00"/>
    <x v="3"/>
    <n v="69497"/>
    <n v="1758"/>
    <n v="1654.14"/>
    <n v="193"/>
    <s v="Yes"/>
    <s v="FB"/>
    <n v="17"/>
    <n v="2.529605594486093E-2"/>
    <n v="0.10978384527872583"/>
    <n v="0.9409215017064847"/>
    <n v="8.5706735751295344"/>
    <n v="10"/>
    <x v="1"/>
    <s v="October"/>
  </r>
  <r>
    <s v="CMP-01635"/>
    <s v="Q3_BlackFriday_CMP-01635"/>
    <x v="1"/>
    <s v="BlackFriday"/>
    <d v="2023-10-03T00:00:00"/>
    <d v="2023-10-11T00:00:00"/>
    <x v="4"/>
    <n v="63211"/>
    <n v="2313"/>
    <n v="2838.13"/>
    <n v="439"/>
    <s v="Yes"/>
    <s v="Google Ads"/>
    <n v="8"/>
    <n v="3.6591732451630256E-2"/>
    <n v="0.18979680069174232"/>
    <n v="1.2270341547773456"/>
    <n v="6.4649886104783603"/>
    <n v="10"/>
    <x v="1"/>
    <s v="October"/>
  </r>
  <r>
    <s v="CMP-00957"/>
    <s v="Q4_BlackFriday_CMP-00957"/>
    <x v="2"/>
    <s v="BlackFriday"/>
    <d v="2023-10-03T00:00:00"/>
    <d v="2023-10-14T00:00:00"/>
    <x v="0"/>
    <n v="39638"/>
    <n v="775"/>
    <n v="436.28"/>
    <n v="90"/>
    <s v="Yes"/>
    <s v="TikTok"/>
    <n v="11"/>
    <n v="1.9551945103183813E-2"/>
    <n v="0.11612903225806452"/>
    <n v="0.56294193548387095"/>
    <n v="4.8475555555555552"/>
    <n v="10"/>
    <x v="1"/>
    <s v="October"/>
  </r>
  <r>
    <s v="CMP-00066"/>
    <s v="Q1_Winstagramter_CMP-00066"/>
    <x v="3"/>
    <s v="Winstagramter"/>
    <d v="2023-10-04T00:00:00"/>
    <d v="2023-10-15T00:00:00"/>
    <x v="0"/>
    <n v="53995"/>
    <n v="1509"/>
    <n v="2420.9499999999998"/>
    <n v="285"/>
    <s v="Yes"/>
    <s v="TikTok"/>
    <n v="11"/>
    <n v="2.7947032132604872E-2"/>
    <n v="0.18886679920477137"/>
    <n v="1.604340622929092"/>
    <n v="8.4945614035087704"/>
    <n v="10"/>
    <x v="1"/>
    <s v="October"/>
  </r>
  <r>
    <s v="CMP-01783"/>
    <s v="Q1_Launch_CMP-01783"/>
    <x v="3"/>
    <s v="Launch"/>
    <d v="2023-10-04T00:00:00"/>
    <d v="2023-10-14T00:00:00"/>
    <x v="0"/>
    <n v="83197"/>
    <n v="3063"/>
    <n v="4125.74"/>
    <n v="250"/>
    <s v="No"/>
    <s v="TikTok"/>
    <n v="10"/>
    <n v="3.6816231354495958E-2"/>
    <n v="8.1619327456741761E-2"/>
    <n v="1.3469604962455108"/>
    <n v="16.502959999999998"/>
    <n v="10"/>
    <x v="1"/>
    <s v="October"/>
  </r>
  <r>
    <s v="CMP-01536"/>
    <s v="Q2_Launch_CMP-01536"/>
    <x v="0"/>
    <s v="Launch"/>
    <d v="2023-10-04T00:00:00"/>
    <d v="2023-10-13T00:00:00"/>
    <x v="2"/>
    <n v="7737"/>
    <n v="299"/>
    <n v="401.5"/>
    <n v="25"/>
    <s v="No"/>
    <s v="IG"/>
    <n v="9"/>
    <n v="3.8645469820343802E-2"/>
    <n v="8.3612040133779264E-2"/>
    <n v="1.3428093645484951"/>
    <n v="16.059999999999999"/>
    <n v="10"/>
    <x v="1"/>
    <s v="October"/>
  </r>
  <r>
    <s v="CMP-00048"/>
    <s v="Q3_Winstagramter_CMP-00048"/>
    <x v="1"/>
    <s v="Winstagramter"/>
    <d v="2023-10-04T00:00:00"/>
    <d v="2023-10-18T00:00:00"/>
    <x v="1"/>
    <n v="74969"/>
    <n v="1964"/>
    <n v="2341.65"/>
    <n v="249"/>
    <s v="Yes"/>
    <s v="Email"/>
    <n v="14"/>
    <n v="2.6197494964585361E-2"/>
    <n v="0.12678207739307534"/>
    <n v="1.1922861507128311"/>
    <n v="9.4042168674698807"/>
    <n v="10"/>
    <x v="1"/>
    <s v="October"/>
  </r>
  <r>
    <s v="CMP-00078"/>
    <s v="Q3_Winstagramter_CMP-00078"/>
    <x v="1"/>
    <s v="Winstagramter"/>
    <d v="2023-10-04T00:00:00"/>
    <d v="2023-10-19T00:00:00"/>
    <x v="1"/>
    <n v="41397"/>
    <n v="1708"/>
    <n v="2581.4499999999998"/>
    <n v="299"/>
    <s v="No"/>
    <s v="Email"/>
    <n v="15"/>
    <n v="4.1259028432011985E-2"/>
    <n v="0.17505854800936768"/>
    <n v="1.511387587822014"/>
    <n v="8.6336120401337784"/>
    <n v="10"/>
    <x v="1"/>
    <s v="October"/>
  </r>
  <r>
    <s v="CMP-00508"/>
    <s v="Q4_Summer_CMP-00508"/>
    <x v="2"/>
    <s v="Summer"/>
    <d v="2023-10-04T00:00:00"/>
    <d v="2023-10-17T00:00:00"/>
    <x v="4"/>
    <n v="57573"/>
    <n v="936"/>
    <n v="754.76"/>
    <n v="0"/>
    <s v="Yes"/>
    <s v="Google Ads"/>
    <n v="13"/>
    <n v="1.6257620759731126E-2"/>
    <n v="0"/>
    <n v="0.80636752136752132"/>
    <s v="0"/>
    <n v="10"/>
    <x v="1"/>
    <s v="October"/>
  </r>
  <r>
    <s v="CMP-01166"/>
    <s v="Q4_Summer_CMP-01166"/>
    <x v="2"/>
    <s v="Summer"/>
    <d v="2023-10-04T00:00:00"/>
    <d v="2023-10-29T00:00:00"/>
    <x v="3"/>
    <n v="41631"/>
    <n v="1425"/>
    <n v="1130.93"/>
    <n v="154"/>
    <s v="No"/>
    <s v="FB"/>
    <n v="25"/>
    <n v="3.422930028104057E-2"/>
    <n v="0.1080701754385965"/>
    <n v="0.79363508771929825"/>
    <n v="7.3437012987012995"/>
    <n v="10"/>
    <x v="1"/>
    <s v="October"/>
  </r>
  <r>
    <s v="CMP-00747"/>
    <s v="Q1_Winstagramter_CMP-00747"/>
    <x v="3"/>
    <s v="Winstagramter"/>
    <d v="2023-10-05T00:00:00"/>
    <d v="2023-10-27T00:00:00"/>
    <x v="3"/>
    <n v="47427"/>
    <n v="780"/>
    <n v="396.32"/>
    <n v="63"/>
    <s v="Yes"/>
    <s v="FB"/>
    <n v="22"/>
    <n v="1.6446328040989309E-2"/>
    <n v="8.0769230769230774E-2"/>
    <n v="0.50810256410256405"/>
    <n v="6.2907936507936508"/>
    <n v="10"/>
    <x v="1"/>
    <s v="October"/>
  </r>
  <r>
    <s v="CMP-01603"/>
    <s v="Q3_Launch_CMP-01603"/>
    <x v="1"/>
    <s v="Launch"/>
    <d v="2023-10-05T00:00:00"/>
    <d v="2023-10-23T00:00:00"/>
    <x v="1"/>
    <n v="33733"/>
    <n v="539"/>
    <n v="828.51"/>
    <n v="79"/>
    <s v="Yes"/>
    <s v="Email"/>
    <n v="18"/>
    <n v="1.5978418759078648E-2"/>
    <n v="0.14656771799628943"/>
    <n v="1.5371243042671614"/>
    <n v="10.48746835443038"/>
    <n v="10"/>
    <x v="1"/>
    <s v="October"/>
  </r>
  <r>
    <s v="CMP-00308"/>
    <s v="Q1_Launch_CMP-00308"/>
    <x v="3"/>
    <s v="Launch"/>
    <d v="2023-10-06T00:00:00"/>
    <d v="2023-10-20T00:00:00"/>
    <x v="0"/>
    <n v="47975"/>
    <n v="709"/>
    <n v="606.64"/>
    <n v="136"/>
    <s v="No"/>
    <s v="TikTok"/>
    <n v="14"/>
    <n v="1.4778530484627411E-2"/>
    <n v="0.1918194640338505"/>
    <n v="0.85562764456981666"/>
    <n v="4.460588235294118"/>
    <n v="10"/>
    <x v="1"/>
    <s v="October"/>
  </r>
  <r>
    <s v="CMP-01486"/>
    <s v="Q1_BlackFriday_CMP-01486"/>
    <x v="3"/>
    <s v="BlackFriday"/>
    <d v="2023-10-06T00:00:00"/>
    <d v="2023-10-29T00:00:00"/>
    <x v="0"/>
    <n v="52474"/>
    <n v="2540"/>
    <n v="1710.28"/>
    <n v="434"/>
    <s v="Yes"/>
    <s v="TikTok"/>
    <n v="23"/>
    <n v="4.8404924343484396E-2"/>
    <n v="0.17086614173228346"/>
    <n v="0.6733385826771654"/>
    <n v="3.9407373271889399"/>
    <n v="10"/>
    <x v="1"/>
    <s v="October"/>
  </r>
  <r>
    <s v="CMP-00103"/>
    <s v="Q3_Summer_CMP-00103"/>
    <x v="1"/>
    <s v="Summer"/>
    <d v="2023-10-06T00:00:00"/>
    <d v="2023-11-04T00:00:00"/>
    <x v="5"/>
    <n v="3695"/>
    <n v="74"/>
    <n v="44.7"/>
    <n v="7"/>
    <s v="No"/>
    <s v="Not specified"/>
    <n v="29"/>
    <n v="2.0027063599458727E-2"/>
    <n v="9.45945945945946E-2"/>
    <n v="0.6040540540540541"/>
    <n v="6.3857142857142861"/>
    <n v="10"/>
    <x v="1"/>
    <s v="October"/>
  </r>
  <r>
    <s v="CMP-00688"/>
    <s v="Q3_BlackFriday_CMP-00688"/>
    <x v="1"/>
    <s v="BlackFriday"/>
    <d v="2023-10-06T00:00:00"/>
    <d v="2023-11-04T00:00:00"/>
    <x v="2"/>
    <n v="56129"/>
    <n v="2294"/>
    <n v="2333.52"/>
    <n v="412"/>
    <s v="Yes"/>
    <s v="IG"/>
    <n v="29"/>
    <n v="4.0870138431114041E-2"/>
    <n v="0.17959895379250218"/>
    <n v="1.0172275501307759"/>
    <n v="5.6638834951456314"/>
    <n v="10"/>
    <x v="1"/>
    <s v="October"/>
  </r>
  <r>
    <s v="CMP-00711"/>
    <s v="Q3_BlackFriday_CMP-00711"/>
    <x v="1"/>
    <s v="BlackFriday"/>
    <d v="2023-10-06T00:00:00"/>
    <d v="2023-10-29T00:00:00"/>
    <x v="0"/>
    <n v="24960"/>
    <n v="666"/>
    <n v="1093.9100000000001"/>
    <n v="71"/>
    <s v="Yes"/>
    <s v="TikTok"/>
    <n v="23"/>
    <n v="2.6682692307692307E-2"/>
    <n v="0.1066066066066066"/>
    <n v="1.6425075075075077"/>
    <n v="15.407183098591551"/>
    <n v="10"/>
    <x v="1"/>
    <s v="October"/>
  </r>
  <r>
    <s v="CMP-01106"/>
    <s v="Q3_Summer_CMP-01106"/>
    <x v="1"/>
    <s v="Summer"/>
    <d v="2023-10-06T00:00:00"/>
    <d v="2023-10-20T00:00:00"/>
    <x v="3"/>
    <n v="76046"/>
    <n v="2606"/>
    <n v="4358.3999999999996"/>
    <n v="159"/>
    <s v="Yes"/>
    <s v="FB"/>
    <n v="14"/>
    <n v="3.4268732083212794E-2"/>
    <n v="6.1013046815042209E-2"/>
    <n v="1.6724481964696851"/>
    <n v="27.411320754716979"/>
    <n v="10"/>
    <x v="1"/>
    <s v="October"/>
  </r>
  <r>
    <s v="CMP-01177"/>
    <s v="Q3_BlackFriday_CMP-01177"/>
    <x v="1"/>
    <s v="BlackFriday"/>
    <d v="2023-10-06T00:00:00"/>
    <d v="2023-10-17T00:00:00"/>
    <x v="0"/>
    <n v="78834"/>
    <n v="3929"/>
    <n v="7315.89"/>
    <n v="584"/>
    <s v="No"/>
    <s v="TikTok"/>
    <n v="11"/>
    <n v="4.9838901996600453E-2"/>
    <n v="0.14863833036396029"/>
    <n v="1.8620234156273863"/>
    <n v="12.527208904109589"/>
    <n v="10"/>
    <x v="1"/>
    <s v="October"/>
  </r>
  <r>
    <s v="CMP-00007"/>
    <s v="Q3_Launch_CMP-00007"/>
    <x v="1"/>
    <s v="Launch"/>
    <d v="2023-10-07T00:00:00"/>
    <d v="2023-10-23T00:00:00"/>
    <x v="3"/>
    <n v="38194"/>
    <n v="1135"/>
    <n v="1232.76"/>
    <n v="178"/>
    <s v="Yes"/>
    <s v="FB"/>
    <n v="16"/>
    <n v="2.9716709430800649E-2"/>
    <n v="0.15682819383259911"/>
    <n v="1.0861321585903083"/>
    <n v="6.9256179775280895"/>
    <n v="10"/>
    <x v="1"/>
    <s v="October"/>
  </r>
  <r>
    <s v="CMP-01809"/>
    <s v="Q3_Winstagramter_CMP-01809"/>
    <x v="1"/>
    <s v="Winstagramter"/>
    <d v="2023-10-07T00:00:00"/>
    <d v="2023-10-18T00:00:00"/>
    <x v="3"/>
    <n v="8813"/>
    <n v="177"/>
    <n v="273"/>
    <n v="14"/>
    <s v="Yes"/>
    <s v="FB"/>
    <n v="11"/>
    <n v="2.0083966867128107E-2"/>
    <n v="7.909604519774012E-2"/>
    <n v="1.5423728813559323"/>
    <n v="19.5"/>
    <n v="10"/>
    <x v="1"/>
    <s v="October"/>
  </r>
  <r>
    <s v="CMP-01153"/>
    <s v="Q4_Winstagramter_CMP-01153"/>
    <x v="2"/>
    <s v="Winstagramter"/>
    <d v="2023-10-07T00:00:00"/>
    <d v="2023-11-01T00:00:00"/>
    <x v="0"/>
    <n v="3336"/>
    <n v="95"/>
    <n v="140.97"/>
    <n v="13"/>
    <s v="Yes"/>
    <s v="TikTok"/>
    <n v="25"/>
    <n v="2.8477218225419664E-2"/>
    <n v="0.1368421052631579"/>
    <n v="1.4838947368421052"/>
    <n v="10.843846153846155"/>
    <n v="10"/>
    <x v="1"/>
    <s v="October"/>
  </r>
  <r>
    <s v="CMP-01298"/>
    <s v="Q2_Winstagramter_CMP-01298"/>
    <x v="0"/>
    <s v="Winstagramter"/>
    <d v="2023-10-08T00:00:00"/>
    <d v="2023-10-23T00:00:00"/>
    <x v="0"/>
    <n v="12485"/>
    <n v="462"/>
    <n v="458.41"/>
    <n v="42"/>
    <s v="No"/>
    <s v="TikTok"/>
    <n v="15"/>
    <n v="3.7004405286343613E-2"/>
    <n v="9.0909090909090912E-2"/>
    <n v="0.99222943722943724"/>
    <n v="10.914523809523811"/>
    <n v="10"/>
    <x v="1"/>
    <s v="October"/>
  </r>
  <r>
    <s v="CMP-01673"/>
    <s v="Q2_Summer_CMP-01673"/>
    <x v="0"/>
    <s v="Summer"/>
    <d v="2023-10-08T00:00:00"/>
    <d v="2023-10-16T00:00:00"/>
    <x v="0"/>
    <n v="76758"/>
    <n v="2307"/>
    <n v="1817"/>
    <n v="344"/>
    <s v="Yes"/>
    <s v="TikTok"/>
    <n v="8"/>
    <n v="3.0055499101070898E-2"/>
    <n v="0.14911140008669269"/>
    <n v="0.78760294755093196"/>
    <n v="5.2819767441860463"/>
    <n v="10"/>
    <x v="1"/>
    <s v="October"/>
  </r>
  <r>
    <s v="CMP-00944"/>
    <s v="Q1_Launch_CMP-00944"/>
    <x v="3"/>
    <s v="Launch"/>
    <d v="2023-10-09T00:00:00"/>
    <d v="2023-10-22T00:00:00"/>
    <x v="2"/>
    <n v="29699"/>
    <n v="1231"/>
    <n v="980.44"/>
    <n v="184"/>
    <s v="No"/>
    <s v="IG"/>
    <n v="13"/>
    <n v="4.1449207044008216E-2"/>
    <n v="0.14947197400487408"/>
    <n v="0.79645816409423242"/>
    <n v="5.3284782608695656"/>
    <n v="10"/>
    <x v="1"/>
    <s v="October"/>
  </r>
  <r>
    <s v="CMP-00700"/>
    <s v="Q3_Summer_CMP-00700"/>
    <x v="1"/>
    <s v="Summer"/>
    <d v="2023-10-09T00:00:00"/>
    <d v="2023-11-05T00:00:00"/>
    <x v="1"/>
    <n v="58799"/>
    <n v="2891"/>
    <n v="4291.92"/>
    <n v="188"/>
    <s v="Yes"/>
    <s v="Email"/>
    <n v="27"/>
    <n v="4.91675028486879E-2"/>
    <n v="6.5029401591144939E-2"/>
    <n v="1.4845797301971637"/>
    <n v="22.82936170212766"/>
    <n v="10"/>
    <x v="1"/>
    <s v="October"/>
  </r>
  <r>
    <s v="CMP-01884"/>
    <s v="Q3_Summer_CMP-01884"/>
    <x v="1"/>
    <s v="Summer"/>
    <d v="2023-10-09T00:00:00"/>
    <d v="2023-10-17T00:00:00"/>
    <x v="1"/>
    <n v="69760"/>
    <n v="1844"/>
    <n v="2729.82"/>
    <n v="0"/>
    <s v="No"/>
    <s v="Email"/>
    <n v="8"/>
    <n v="2.643348623853211E-2"/>
    <n v="0"/>
    <n v="1.4803796095444686"/>
    <s v="0"/>
    <n v="10"/>
    <x v="1"/>
    <s v="October"/>
  </r>
  <r>
    <s v="CMP-00234"/>
    <s v="Q4_Summer_CMP-00234"/>
    <x v="2"/>
    <s v="Summer"/>
    <d v="2023-10-09T00:00:00"/>
    <d v="2023-11-01T00:00:00"/>
    <x v="0"/>
    <n v="68863"/>
    <n v="1392"/>
    <n v="2189.31"/>
    <n v="166"/>
    <s v="No"/>
    <s v="TikTok"/>
    <n v="23"/>
    <n v="2.021404818262347E-2"/>
    <n v="0.11925287356321838"/>
    <n v="1.5727801724137931"/>
    <n v="13.188614457831324"/>
    <n v="10"/>
    <x v="1"/>
    <s v="October"/>
  </r>
  <r>
    <s v="CMP-00598"/>
    <s v="Q4_Summer_CMP-00598"/>
    <x v="2"/>
    <s v="Summer"/>
    <d v="2023-10-09T00:00:00"/>
    <d v="2023-10-19T00:00:00"/>
    <x v="1"/>
    <n v="21150"/>
    <n v="551"/>
    <n v="1100.04"/>
    <n v="67"/>
    <s v="Yes"/>
    <s v="Email"/>
    <n v="10"/>
    <n v="2.6052009456264777E-2"/>
    <n v="0.12159709618874773"/>
    <n v="1.996442831215971"/>
    <n v="16.418507462686566"/>
    <n v="10"/>
    <x v="1"/>
    <s v="October"/>
  </r>
  <r>
    <s v="CMP-01465"/>
    <s v="Q4_BlackFriday_CMP-01465"/>
    <x v="2"/>
    <s v="BlackFriday"/>
    <d v="2023-10-09T00:00:00"/>
    <d v="2023-10-23T00:00:00"/>
    <x v="2"/>
    <n v="2524"/>
    <n v="47"/>
    <n v="73.48"/>
    <n v="3"/>
    <s v="Yes"/>
    <s v="IG"/>
    <n v="14"/>
    <n v="1.862123613312203E-2"/>
    <n v="6.3829787234042548E-2"/>
    <n v="1.5634042553191489"/>
    <n v="24.493333333333336"/>
    <n v="10"/>
    <x v="1"/>
    <s v="October"/>
  </r>
  <r>
    <s v="CMP-01702"/>
    <s v="Q4_Summer_CMP-01702"/>
    <x v="2"/>
    <s v="Summer"/>
    <d v="2023-10-09T00:00:00"/>
    <d v="2023-10-29T00:00:00"/>
    <x v="3"/>
    <n v="42873"/>
    <n v="627"/>
    <n v="1058.27"/>
    <n v="32"/>
    <s v="No"/>
    <s v="FB"/>
    <n v="20"/>
    <n v="1.462458890210622E-2"/>
    <n v="5.1036682615629984E-2"/>
    <n v="1.6878309409888357"/>
    <n v="33.070937499999999"/>
    <n v="10"/>
    <x v="1"/>
    <s v="October"/>
  </r>
  <r>
    <s v="CMP-00866"/>
    <s v="Q1_Summer_CMP-00866"/>
    <x v="3"/>
    <s v="Summer"/>
    <d v="2023-10-09T00:00:00"/>
    <d v="2023-10-14T00:00:00"/>
    <x v="0"/>
    <n v="76745"/>
    <n v="1286"/>
    <n v="821.43"/>
    <n v="64"/>
    <s v="Yes"/>
    <s v="TikTok"/>
    <n v="5"/>
    <n v="1.6756791973418464E-2"/>
    <n v="4.9766718506998445E-2"/>
    <n v="0.63874805598755824"/>
    <n v="12.834843749999999"/>
    <n v="10"/>
    <x v="1"/>
    <s v="October"/>
  </r>
  <r>
    <s v="CMP-00300"/>
    <s v="Q1_Launch_CMP-00300"/>
    <x v="3"/>
    <s v="Launch"/>
    <d v="2023-10-10T00:00:00"/>
    <d v="2023-10-21T00:00:00"/>
    <x v="4"/>
    <n v="54351"/>
    <n v="1433"/>
    <n v="2006.8"/>
    <n v="184"/>
    <s v="Yes"/>
    <s v="Google Ads"/>
    <n v="11"/>
    <n v="2.6365660245441666E-2"/>
    <n v="0.1284019539427774"/>
    <n v="1.4004187020237264"/>
    <n v="10.906521739130435"/>
    <n v="10"/>
    <x v="1"/>
    <s v="October"/>
  </r>
  <r>
    <s v="CMP-00604"/>
    <s v="Q1_Launch_CMP-00604"/>
    <x v="3"/>
    <s v="Launch"/>
    <d v="2023-10-10T00:00:00"/>
    <d v="2023-10-11T00:00:00"/>
    <x v="0"/>
    <n v="15397"/>
    <n v="586"/>
    <n v="350.74"/>
    <n v="31"/>
    <s v="Yes"/>
    <s v="TikTok"/>
    <n v="1"/>
    <n v="3.8059362213418199E-2"/>
    <n v="5.2901023890784986E-2"/>
    <n v="0.59853242320819111"/>
    <n v="11.314193548387097"/>
    <n v="10"/>
    <x v="1"/>
    <s v="October"/>
  </r>
  <r>
    <s v="CMP-00413"/>
    <s v="Q3_Winstagramter_CMP-00413"/>
    <x v="1"/>
    <s v="Winstagramter"/>
    <d v="2023-10-10T00:00:00"/>
    <d v="2023-10-14T00:00:00"/>
    <x v="0"/>
    <n v="88922"/>
    <n v="1518"/>
    <n v="1429.05"/>
    <n v="0"/>
    <s v="No"/>
    <s v="TikTok"/>
    <n v="4"/>
    <n v="1.7071140999977509E-2"/>
    <n v="0"/>
    <n v="0.94140316205533592"/>
    <s v="0"/>
    <n v="10"/>
    <x v="1"/>
    <s v="October"/>
  </r>
  <r>
    <s v="CMP-00610"/>
    <s v="Q4_Summer_CMP-00610"/>
    <x v="2"/>
    <s v="Summer"/>
    <d v="2023-10-10T00:00:00"/>
    <d v="2023-11-02T00:00:00"/>
    <x v="0"/>
    <n v="40954"/>
    <n v="937"/>
    <n v="651.91999999999996"/>
    <n v="165"/>
    <s v="No"/>
    <s v="TikTok"/>
    <n v="23"/>
    <n v="2.2879328026566392E-2"/>
    <n v="0.17609391675560299"/>
    <n v="0.69575240128068294"/>
    <n v="3.9510303030303029"/>
    <n v="10"/>
    <x v="1"/>
    <s v="October"/>
  </r>
  <r>
    <s v="CMP-01730"/>
    <s v="Q4_Launch_CMP-01730"/>
    <x v="2"/>
    <s v="Launch"/>
    <d v="2023-10-10T00:00:00"/>
    <d v="2023-10-23T00:00:00"/>
    <x v="2"/>
    <n v="87206"/>
    <n v="1472"/>
    <n v="2513.6999999999998"/>
    <n v="196"/>
    <s v="No"/>
    <s v="IG"/>
    <n v="13"/>
    <n v="1.6879572506478913E-2"/>
    <n v="0.13315217391304349"/>
    <n v="1.7076766304347826"/>
    <n v="12.824999999999999"/>
    <n v="10"/>
    <x v="1"/>
    <s v="October"/>
  </r>
  <r>
    <s v="CMP-00694"/>
    <s v="Q2_Summer_CMP-00694"/>
    <x v="0"/>
    <s v="Summer"/>
    <d v="2023-10-10T00:00:00"/>
    <d v="2023-10-15T00:00:00"/>
    <x v="4"/>
    <n v="5748"/>
    <n v="260"/>
    <n v="471.3"/>
    <n v="13"/>
    <s v="No"/>
    <s v="Google Ads"/>
    <n v="5"/>
    <n v="4.5233124565066112E-2"/>
    <n v="0.05"/>
    <n v="1.8126923076923078"/>
    <n v="36.253846153846155"/>
    <n v="10"/>
    <x v="1"/>
    <s v="October"/>
  </r>
  <r>
    <s v="CMP-00650"/>
    <s v="Q1_BlackFriday_CMP-00650"/>
    <x v="3"/>
    <s v="BlackFriday"/>
    <d v="2023-10-11T00:00:00"/>
    <d v="2023-11-01T00:00:00"/>
    <x v="2"/>
    <n v="73267"/>
    <n v="1393"/>
    <n v="1102.8"/>
    <n v="148"/>
    <s v="No"/>
    <s v="IG"/>
    <n v="21"/>
    <n v="1.9012652353719954E-2"/>
    <n v="0.10624551328068917"/>
    <n v="0.79167264895908107"/>
    <n v="7.4513513513513514"/>
    <n v="10"/>
    <x v="1"/>
    <s v="October"/>
  </r>
  <r>
    <s v="CMP-01594"/>
    <s v="Q1_Summer_CMP-01594"/>
    <x v="3"/>
    <s v="Summer"/>
    <d v="2023-10-11T00:00:00"/>
    <d v="2023-10-30T00:00:00"/>
    <x v="3"/>
    <n v="86431"/>
    <n v="1738"/>
    <n v="2389.21"/>
    <n v="0"/>
    <s v="No"/>
    <s v="FB"/>
    <n v="19"/>
    <n v="2.0108525876132405E-2"/>
    <n v="0"/>
    <n v="1.3746892980437284"/>
    <s v="0"/>
    <n v="10"/>
    <x v="1"/>
    <s v="October"/>
  </r>
  <r>
    <s v="CMP-01456"/>
    <s v="Q2_Winstagramter_CMP-01456"/>
    <x v="0"/>
    <s v="Winstagramter"/>
    <d v="2023-10-11T00:00:00"/>
    <d v="2023-10-24T00:00:00"/>
    <x v="2"/>
    <n v="32987"/>
    <n v="1025"/>
    <n v="856.78"/>
    <n v="93"/>
    <s v="No"/>
    <s v="IG"/>
    <n v="13"/>
    <n v="3.1072846879073576E-2"/>
    <n v="9.0731707317073168E-2"/>
    <n v="0.83588292682926824"/>
    <n v="9.2126881720430109"/>
    <n v="10"/>
    <x v="1"/>
    <s v="October"/>
  </r>
  <r>
    <s v="CMP-01722"/>
    <s v="Q2_Launch_CMP-01722"/>
    <x v="0"/>
    <s v="Launch"/>
    <d v="2023-10-11T00:00:00"/>
    <d v="2023-10-31T00:00:00"/>
    <x v="0"/>
    <n v="68675"/>
    <n v="2350"/>
    <n v="3741.24"/>
    <n v="275"/>
    <s v="No"/>
    <s v="TikTok"/>
    <n v="20"/>
    <n v="3.4219148161630873E-2"/>
    <n v="0.11702127659574468"/>
    <n v="1.5920170212765956"/>
    <n v="13.60450909090909"/>
    <n v="10"/>
    <x v="1"/>
    <s v="October"/>
  </r>
  <r>
    <s v="CMP-00105"/>
    <s v="Q4_BlackFriday_CMP-00105"/>
    <x v="2"/>
    <s v="BlackFriday"/>
    <d v="2023-10-11T00:00:00"/>
    <d v="2023-10-22T00:00:00"/>
    <x v="0"/>
    <n v="6258"/>
    <n v="148"/>
    <n v="236.73"/>
    <n v="7"/>
    <s v="Yes"/>
    <s v="TikTok"/>
    <n v="11"/>
    <n v="2.3649728347714925E-2"/>
    <n v="4.72972972972973E-2"/>
    <n v="1.599527027027027"/>
    <n v="33.818571428571424"/>
    <n v="10"/>
    <x v="1"/>
    <s v="October"/>
  </r>
  <r>
    <s v="CMP-00107"/>
    <s v="Q4_Winstagramter_CMP-00107"/>
    <x v="2"/>
    <s v="Winstagramter"/>
    <d v="2023-10-11T00:00:00"/>
    <d v="2023-11-01T00:00:00"/>
    <x v="4"/>
    <n v="40504"/>
    <n v="608"/>
    <n v="430.25"/>
    <n v="120"/>
    <s v="No"/>
    <s v="Google Ads"/>
    <n v="21"/>
    <n v="1.5010863124629667E-2"/>
    <n v="0.19736842105263158"/>
    <n v="0.70764802631578949"/>
    <n v="3.5854166666666667"/>
    <n v="10"/>
    <x v="1"/>
    <s v="October"/>
  </r>
  <r>
    <s v="CMP-00390"/>
    <s v="Q4_Launch_CMP-00390"/>
    <x v="2"/>
    <s v="Launch"/>
    <d v="2023-10-11T00:00:00"/>
    <d v="2023-10-12T00:00:00"/>
    <x v="5"/>
    <n v="11729"/>
    <n v="256"/>
    <n v="248.25"/>
    <n v="44"/>
    <s v="Yes"/>
    <s v="Not specified"/>
    <n v="1"/>
    <n v="2.1826242646431921E-2"/>
    <n v="0.171875"/>
    <n v="0.9697265625"/>
    <n v="5.6420454545454541"/>
    <n v="10"/>
    <x v="1"/>
    <s v="October"/>
  </r>
  <r>
    <s v="CMP-00428"/>
    <s v="Q1_Winstagramter_CMP-00428"/>
    <x v="3"/>
    <s v="Winstagramter"/>
    <d v="2023-10-12T00:00:00"/>
    <d v="2023-10-14T00:00:00"/>
    <x v="4"/>
    <n v="71313"/>
    <n v="897"/>
    <n v="1430.33"/>
    <n v="105"/>
    <s v="No"/>
    <s v="Google Ads"/>
    <n v="2"/>
    <n v="1.2578351773168987E-2"/>
    <n v="0.11705685618729098"/>
    <n v="1.5945707915273133"/>
    <n v="13.622190476190475"/>
    <n v="10"/>
    <x v="1"/>
    <s v="October"/>
  </r>
  <r>
    <s v="CMP-01086"/>
    <s v="Q1_Winstagramter_CMP-01086"/>
    <x v="3"/>
    <s v="Winstagramter"/>
    <d v="2023-10-12T00:00:00"/>
    <d v="2023-11-09T00:00:00"/>
    <x v="0"/>
    <n v="44925"/>
    <n v="2205"/>
    <n v="2197.77"/>
    <n v="151"/>
    <s v="Yes"/>
    <s v="TikTok"/>
    <n v="28"/>
    <n v="4.9081803005008348E-2"/>
    <n v="6.8480725623582761E-2"/>
    <n v="0.9967210884353741"/>
    <n v="14.55476821192053"/>
    <n v="10"/>
    <x v="1"/>
    <s v="October"/>
  </r>
  <r>
    <s v="CMP-01197"/>
    <s v="Q1_Launch_CMP-01197"/>
    <x v="3"/>
    <s v="Launch"/>
    <d v="2023-10-12T00:00:00"/>
    <d v="2023-11-11T00:00:00"/>
    <x v="4"/>
    <n v="81879"/>
    <n v="1910"/>
    <n v="3271.05"/>
    <n v="355"/>
    <s v="Yes"/>
    <s v="Google Ads"/>
    <n v="30"/>
    <n v="2.3327104630002808E-2"/>
    <n v="0.18586387434554974"/>
    <n v="1.7125916230366494"/>
    <n v="9.2142253521126758"/>
    <n v="10"/>
    <x v="1"/>
    <s v="October"/>
  </r>
  <r>
    <s v="CMP-00084"/>
    <s v="Q2_Winstagramter_CMP-00084"/>
    <x v="0"/>
    <s v="Winstagramter"/>
    <d v="2023-10-12T00:00:00"/>
    <d v="2023-11-04T00:00:00"/>
    <x v="2"/>
    <n v="24247"/>
    <n v="275"/>
    <n v="533.98"/>
    <n v="18"/>
    <s v="No"/>
    <s v="IG"/>
    <n v="23"/>
    <n v="1.1341609271250051E-2"/>
    <n v="6.545454545454546E-2"/>
    <n v="1.9417454545454547"/>
    <n v="29.665555555555557"/>
    <n v="10"/>
    <x v="1"/>
    <s v="October"/>
  </r>
  <r>
    <s v="CMP-01621"/>
    <s v="Q2_Launch_CMP-01621"/>
    <x v="0"/>
    <s v="Launch"/>
    <d v="2023-10-12T00:00:00"/>
    <d v="2023-10-18T00:00:00"/>
    <x v="1"/>
    <n v="98419"/>
    <n v="4812"/>
    <n v="2702.43"/>
    <n v="943"/>
    <s v="No"/>
    <s v="Email"/>
    <n v="6"/>
    <n v="4.8892998303173167E-2"/>
    <n v="0.19596841230257689"/>
    <n v="0.56160224438902739"/>
    <n v="2.8657794273594908"/>
    <n v="10"/>
    <x v="1"/>
    <s v="October"/>
  </r>
  <r>
    <s v="CMP-00976"/>
    <s v="Q4_Launch_CMP-00976"/>
    <x v="2"/>
    <s v="Launch"/>
    <d v="2023-10-12T00:00:00"/>
    <d v="2023-10-17T00:00:00"/>
    <x v="1"/>
    <n v="8561"/>
    <n v="100"/>
    <n v="125.37"/>
    <n v="7"/>
    <s v="Yes"/>
    <s v="Email"/>
    <n v="5"/>
    <n v="1.1680878402055835E-2"/>
    <n v="7.0000000000000007E-2"/>
    <n v="1.2537"/>
    <n v="17.91"/>
    <n v="10"/>
    <x v="1"/>
    <s v="October"/>
  </r>
  <r>
    <s v="CMP-00363"/>
    <s v="Q1_Winstagramter_CMP-00363"/>
    <x v="3"/>
    <s v="Winstagramter"/>
    <d v="2023-10-13T00:00:00"/>
    <d v="2023-11-05T00:00:00"/>
    <x v="0"/>
    <n v="34828"/>
    <n v="790"/>
    <n v="905.87"/>
    <n v="0"/>
    <s v="No"/>
    <s v="TikTok"/>
    <n v="23"/>
    <n v="2.2682898817043759E-2"/>
    <n v="0"/>
    <n v="1.1466708860759494"/>
    <s v="0"/>
    <n v="10"/>
    <x v="1"/>
    <s v="October"/>
  </r>
  <r>
    <s v="CMP-00784"/>
    <s v="Q2_BlackFriday_CMP-00784"/>
    <x v="0"/>
    <s v="BlackFriday"/>
    <d v="2023-10-13T00:00:00"/>
    <d v="2023-10-23T00:00:00"/>
    <x v="3"/>
    <n v="24833"/>
    <n v="281"/>
    <n v="293.39999999999998"/>
    <n v="27"/>
    <s v="No"/>
    <s v="FB"/>
    <n v="10"/>
    <n v="1.1315588128699714E-2"/>
    <n v="9.6085409252669035E-2"/>
    <n v="1.0441281138790035"/>
    <n v="10.866666666666665"/>
    <n v="10"/>
    <x v="1"/>
    <s v="October"/>
  </r>
  <r>
    <s v="CMP-01715"/>
    <s v="Q3_Summer_CMP-01715"/>
    <x v="1"/>
    <s v="Summer"/>
    <d v="2023-10-13T00:00:00"/>
    <d v="2023-11-10T00:00:00"/>
    <x v="3"/>
    <n v="12303"/>
    <n v="604"/>
    <n v="599.52"/>
    <n v="31"/>
    <s v="Yes"/>
    <s v="FB"/>
    <n v="28"/>
    <n v="4.9093716979598474E-2"/>
    <n v="5.1324503311258277E-2"/>
    <n v="0.99258278145695367"/>
    <n v="19.339354838709678"/>
    <n v="10"/>
    <x v="1"/>
    <s v="October"/>
  </r>
  <r>
    <s v="CMP-00494"/>
    <s v="Q4_BlackFriday_CMP-00494"/>
    <x v="2"/>
    <s v="BlackFriday"/>
    <d v="2023-10-13T00:00:00"/>
    <d v="2023-10-17T00:00:00"/>
    <x v="3"/>
    <n v="55340"/>
    <n v="1118"/>
    <n v="824.48"/>
    <n v="66"/>
    <s v="No"/>
    <s v="FB"/>
    <n v="4"/>
    <n v="2.0202385254788579E-2"/>
    <n v="5.9033989266547404E-2"/>
    <n v="0.73745974955277283"/>
    <n v="12.492121212121212"/>
    <n v="10"/>
    <x v="1"/>
    <s v="October"/>
  </r>
  <r>
    <s v="CMP-01341"/>
    <s v="Q4_Winstagramter_CMP-01341"/>
    <x v="2"/>
    <s v="Winstagramter"/>
    <d v="2023-10-13T00:00:00"/>
    <d v="2023-10-18T00:00:00"/>
    <x v="0"/>
    <n v="18327"/>
    <n v="723"/>
    <n v="1126.76"/>
    <n v="122"/>
    <s v="Yes"/>
    <s v="TikTok"/>
    <n v="5"/>
    <n v="3.9449991815354392E-2"/>
    <n v="0.16874135546334718"/>
    <n v="1.5584508990318118"/>
    <n v="9.2357377049180336"/>
    <n v="10"/>
    <x v="1"/>
    <s v="October"/>
  </r>
  <r>
    <s v="CMP-01749"/>
    <s v="Q4_Launch_CMP-01749"/>
    <x v="2"/>
    <s v="Launch"/>
    <d v="2023-10-13T00:00:00"/>
    <d v="2023-11-08T00:00:00"/>
    <x v="0"/>
    <n v="93241"/>
    <n v="1369"/>
    <n v="1262.25"/>
    <n v="257"/>
    <s v="Yes"/>
    <s v="TikTok"/>
    <n v="26"/>
    <n v="1.4682382213832971E-2"/>
    <n v="0.1877282688093499"/>
    <n v="0.92202337472607743"/>
    <n v="4.9114785992217902"/>
    <n v="10"/>
    <x v="1"/>
    <s v="October"/>
  </r>
  <r>
    <s v="CMP-00169"/>
    <s v="Q2_Launch_CMP-00169"/>
    <x v="0"/>
    <s v="Launch"/>
    <d v="2023-10-14T00:00:00"/>
    <d v="2023-10-25T00:00:00"/>
    <x v="4"/>
    <n v="26939"/>
    <n v="1087"/>
    <n v="2135.17"/>
    <n v="172"/>
    <s v="Yes"/>
    <s v="Google Ads"/>
    <n v="11"/>
    <n v="4.035042132224656E-2"/>
    <n v="0.15823367065317387"/>
    <n v="1.9642778288868445"/>
    <n v="12.413779069767441"/>
    <n v="10"/>
    <x v="1"/>
    <s v="October"/>
  </r>
  <r>
    <s v="CMP-00500"/>
    <s v="Q3_Summer_CMP-00500"/>
    <x v="1"/>
    <s v="Summer"/>
    <d v="2023-10-14T00:00:00"/>
    <d v="2023-10-16T00:00:00"/>
    <x v="0"/>
    <n v="61403"/>
    <n v="1405"/>
    <n v="2626.42"/>
    <n v="97"/>
    <s v="Yes"/>
    <s v="TikTok"/>
    <n v="2"/>
    <n v="2.2881618161979058E-2"/>
    <n v="6.9039145907473315E-2"/>
    <n v="1.869338078291815"/>
    <n v="27.076494845360827"/>
    <n v="10"/>
    <x v="1"/>
    <s v="October"/>
  </r>
  <r>
    <s v="CMP-00914"/>
    <s v="Q3_Launch_CMP-00914"/>
    <x v="1"/>
    <s v="Launch"/>
    <d v="2023-10-14T00:00:00"/>
    <d v="2023-11-04T00:00:00"/>
    <x v="3"/>
    <n v="80252"/>
    <n v="2180"/>
    <n v="4133.2"/>
    <n v="181"/>
    <s v="No"/>
    <s v="FB"/>
    <n v="21"/>
    <n v="2.7164432039076907E-2"/>
    <n v="8.3027522935779821E-2"/>
    <n v="1.8959633027522935"/>
    <n v="22.835359116022097"/>
    <n v="10"/>
    <x v="1"/>
    <s v="October"/>
  </r>
  <r>
    <s v="CMP-01577"/>
    <s v="Q3_Summer_CMP-01577"/>
    <x v="1"/>
    <s v="Summer"/>
    <d v="2023-10-14T00:00:00"/>
    <d v="2023-11-11T00:00:00"/>
    <x v="2"/>
    <n v="76532"/>
    <n v="1874"/>
    <n v="1250.3900000000001"/>
    <n v="308"/>
    <s v="Yes"/>
    <s v="IG"/>
    <n v="28"/>
    <n v="2.4486489311660482E-2"/>
    <n v="0.16435432230522945"/>
    <n v="0.66723052294557106"/>
    <n v="4.0597077922077922"/>
    <n v="10"/>
    <x v="1"/>
    <s v="October"/>
  </r>
  <r>
    <s v="CMP-00122"/>
    <s v="Q4_Launch_CMP-00122"/>
    <x v="2"/>
    <s v="Launch"/>
    <d v="2023-10-14T00:00:00"/>
    <d v="2023-10-15T00:00:00"/>
    <x v="2"/>
    <n v="90135"/>
    <n v="964"/>
    <n v="1854.54"/>
    <n v="61"/>
    <s v="Yes"/>
    <s v="IG"/>
    <n v="1"/>
    <n v="1.0695068508348587E-2"/>
    <n v="6.3278008298755184E-2"/>
    <n v="1.9237966804979252"/>
    <n v="30.402295081967214"/>
    <n v="10"/>
    <x v="1"/>
    <s v="October"/>
  </r>
  <r>
    <s v="CMP-01259"/>
    <s v="Q4_Summer_CMP-01259"/>
    <x v="2"/>
    <s v="Summer"/>
    <d v="2023-10-14T00:00:00"/>
    <d v="2023-11-05T00:00:00"/>
    <x v="1"/>
    <n v="71480"/>
    <n v="2536"/>
    <n v="1475.19"/>
    <n v="400"/>
    <s v="Yes"/>
    <s v="Email"/>
    <n v="22"/>
    <n v="3.547845551203134E-2"/>
    <n v="0.15772870662460567"/>
    <n v="0.58169952681388015"/>
    <n v="3.6879750000000002"/>
    <n v="10"/>
    <x v="1"/>
    <s v="October"/>
  </r>
  <r>
    <s v="CMP-01581"/>
    <s v="Q4_BlackFriday_CMP-01581"/>
    <x v="2"/>
    <s v="BlackFriday"/>
    <d v="2023-10-14T00:00:00"/>
    <d v="2023-11-13T00:00:00"/>
    <x v="3"/>
    <n v="14919"/>
    <n v="155"/>
    <n v="133.35"/>
    <n v="16"/>
    <s v="No"/>
    <s v="FB"/>
    <n v="30"/>
    <n v="1.0389436289295529E-2"/>
    <n v="0.1032258064516129"/>
    <n v="0.86032258064516121"/>
    <n v="8.3343749999999996"/>
    <n v="10"/>
    <x v="1"/>
    <s v="October"/>
  </r>
  <r>
    <s v="CMP-01136"/>
    <s v="Q1_BlackFriday_CMP-01136"/>
    <x v="3"/>
    <s v="BlackFriday"/>
    <d v="2023-10-15T00:00:00"/>
    <d v="2023-10-20T00:00:00"/>
    <x v="4"/>
    <n v="57819"/>
    <n v="2411"/>
    <n v="3494.03"/>
    <n v="296"/>
    <s v="Yes"/>
    <s v="Google Ads"/>
    <n v="5"/>
    <n v="4.1699095453051768E-2"/>
    <n v="0.12277063459145583"/>
    <n v="1.4492036499377852"/>
    <n v="11.804155405405407"/>
    <n v="10"/>
    <x v="1"/>
    <s v="October"/>
  </r>
  <r>
    <s v="CMP-01387"/>
    <s v="Q1_Launch_CMP-01387"/>
    <x v="3"/>
    <s v="Launch"/>
    <d v="2023-10-15T00:00:00"/>
    <d v="2023-10-27T00:00:00"/>
    <x v="0"/>
    <n v="24752"/>
    <n v="809"/>
    <n v="1206.3800000000001"/>
    <n v="41"/>
    <s v="Yes"/>
    <s v="TikTok"/>
    <n v="12"/>
    <n v="3.2684227537168715E-2"/>
    <n v="5.0679851668726822E-2"/>
    <n v="1.4911990111248457"/>
    <n v="29.423902439024392"/>
    <n v="10"/>
    <x v="1"/>
    <s v="October"/>
  </r>
  <r>
    <s v="CMP-00430"/>
    <s v="Q2_Summer_CMP-00430"/>
    <x v="0"/>
    <s v="Summer"/>
    <d v="2023-10-15T00:00:00"/>
    <d v="2023-11-10T00:00:00"/>
    <x v="3"/>
    <n v="96285"/>
    <n v="2393"/>
    <n v="3363.83"/>
    <n v="197"/>
    <s v="Yes"/>
    <s v="FB"/>
    <n v="26"/>
    <n v="2.4853300098665421E-2"/>
    <n v="8.2323443376514829E-2"/>
    <n v="1.4056957793564564"/>
    <n v="17.075279187817259"/>
    <n v="10"/>
    <x v="1"/>
    <s v="October"/>
  </r>
  <r>
    <s v="CMP-01354"/>
    <s v="Q2_Winstagramter_CMP-01354"/>
    <x v="0"/>
    <s v="Winstagramter"/>
    <d v="2023-10-15T00:00:00"/>
    <d v="2023-11-02T00:00:00"/>
    <x v="5"/>
    <n v="32419"/>
    <n v="1216"/>
    <n v="1756.44"/>
    <n v="198"/>
    <s v="Yes"/>
    <s v="Not specified"/>
    <n v="18"/>
    <n v="3.7508868256269472E-2"/>
    <n v="0.16282894736842105"/>
    <n v="1.4444407894736842"/>
    <n v="8.8709090909090911"/>
    <n v="10"/>
    <x v="1"/>
    <s v="October"/>
  </r>
  <r>
    <s v="CMP-00422"/>
    <s v="Q3_BlackFriday_CMP-00422"/>
    <x v="1"/>
    <s v="BlackFriday"/>
    <d v="2023-10-15T00:00:00"/>
    <d v="2023-11-01T00:00:00"/>
    <x v="0"/>
    <n v="51300"/>
    <n v="902"/>
    <n v="933.71"/>
    <n v="62"/>
    <s v="No"/>
    <s v="TikTok"/>
    <n v="17"/>
    <n v="1.7582846003898634E-2"/>
    <n v="6.8736141906873618E-2"/>
    <n v="1.0351552106430155"/>
    <n v="15.05983870967742"/>
    <n v="10"/>
    <x v="1"/>
    <s v="October"/>
  </r>
  <r>
    <s v="CMP-00591"/>
    <s v="Q3_Summer_CMP-00591"/>
    <x v="1"/>
    <s v="Summer"/>
    <d v="2023-10-15T00:00:00"/>
    <d v="2023-10-17T00:00:00"/>
    <x v="5"/>
    <n v="60031"/>
    <n v="2192"/>
    <n v="3793.56"/>
    <n v="317"/>
    <s v="Yes"/>
    <s v="Not specified"/>
    <n v="2"/>
    <n v="3.6514467525112025E-2"/>
    <n v="0.14461678832116789"/>
    <n v="1.7306386861313869"/>
    <n v="11.967066246056783"/>
    <n v="10"/>
    <x v="1"/>
    <s v="October"/>
  </r>
  <r>
    <s v="CMP-00677"/>
    <s v="Q3_BlackFriday_CMP-00677"/>
    <x v="1"/>
    <s v="BlackFriday"/>
    <d v="2023-10-15T00:00:00"/>
    <d v="2023-10-26T00:00:00"/>
    <x v="0"/>
    <n v="41262"/>
    <n v="1025"/>
    <n v="1640.88"/>
    <n v="64"/>
    <s v="No"/>
    <s v="TikTok"/>
    <n v="11"/>
    <n v="2.4841258300615579E-2"/>
    <n v="6.2439024390243902E-2"/>
    <n v="1.600858536585366"/>
    <n v="25.638750000000002"/>
    <n v="10"/>
    <x v="1"/>
    <s v="October"/>
  </r>
  <r>
    <s v="CMP-00006"/>
    <s v="Q4_BlackFriday_CMP-00006"/>
    <x v="2"/>
    <s v="BlackFriday"/>
    <d v="2023-10-15T00:00:00"/>
    <d v="2023-10-28T00:00:00"/>
    <x v="2"/>
    <n v="83386"/>
    <n v="2643"/>
    <n v="2697.03"/>
    <n v="0"/>
    <s v="Yes"/>
    <s v="IG"/>
    <n v="13"/>
    <n v="3.1695968148130381E-2"/>
    <n v="0"/>
    <n v="1.0204426787741203"/>
    <s v="0"/>
    <n v="10"/>
    <x v="1"/>
    <s v="October"/>
  </r>
  <r>
    <s v="CMP-00634"/>
    <s v="Q4_BlackFriday_CMP-00634"/>
    <x v="2"/>
    <s v="BlackFriday"/>
    <d v="2023-10-15T00:00:00"/>
    <d v="2023-10-27T00:00:00"/>
    <x v="0"/>
    <n v="61566"/>
    <n v="3056"/>
    <n v="5460.87"/>
    <n v="216"/>
    <s v="No"/>
    <s v="TikTok"/>
    <n v="12"/>
    <n v="4.9637787090277101E-2"/>
    <n v="7.0680628272251314E-2"/>
    <n v="1.7869339005235603"/>
    <n v="25.281805555555554"/>
    <n v="10"/>
    <x v="1"/>
    <s v="October"/>
  </r>
  <r>
    <s v="CMP-01243"/>
    <s v="Q4_Launch_CMP-01243"/>
    <x v="2"/>
    <s v="Launch"/>
    <d v="2023-10-15T00:00:00"/>
    <d v="2023-10-24T00:00:00"/>
    <x v="1"/>
    <n v="42914"/>
    <n v="886"/>
    <n v="996.21"/>
    <n v="117"/>
    <s v="Yes"/>
    <s v="Email"/>
    <n v="9"/>
    <n v="2.0645943048888473E-2"/>
    <n v="0.13205417607223477"/>
    <n v="1.1243905191873589"/>
    <n v="8.5146153846153858"/>
    <n v="10"/>
    <x v="1"/>
    <s v="October"/>
  </r>
  <r>
    <s v="CMP-01674"/>
    <s v="Q4_Summer_CMP-01674"/>
    <x v="2"/>
    <s v="Summer"/>
    <d v="2023-10-15T00:00:00"/>
    <d v="2023-10-21T00:00:00"/>
    <x v="5"/>
    <n v="61504"/>
    <n v="789"/>
    <n v="1051.93"/>
    <n v="85"/>
    <s v="Yes"/>
    <s v="Not specified"/>
    <n v="6"/>
    <n v="1.2828433922996879E-2"/>
    <n v="0.10773130544993663"/>
    <n v="1.3332446134347276"/>
    <n v="12.37564705882353"/>
    <n v="10"/>
    <x v="1"/>
    <s v="October"/>
  </r>
  <r>
    <s v="CMP-01121"/>
    <s v="Q1_BlackFriday_CMP-01121"/>
    <x v="3"/>
    <s v="BlackFriday"/>
    <d v="2023-10-16T00:00:00"/>
    <d v="2023-10-29T00:00:00"/>
    <x v="2"/>
    <n v="46558"/>
    <n v="1410"/>
    <n v="2419.14"/>
    <n v="131"/>
    <s v="Yes"/>
    <s v="IG"/>
    <n v="13"/>
    <n v="3.0284806048369774E-2"/>
    <n v="9.2907801418439712E-2"/>
    <n v="1.7157021276595743"/>
    <n v="18.466717557251908"/>
    <n v="10"/>
    <x v="1"/>
    <s v="October"/>
  </r>
  <r>
    <s v="CMP-01663"/>
    <s v="Q1_Winstagramter_CMP-01663"/>
    <x v="3"/>
    <s v="Winstagramter"/>
    <d v="2023-10-16T00:00:00"/>
    <d v="2023-11-04T00:00:00"/>
    <x v="3"/>
    <n v="85386"/>
    <n v="4137"/>
    <n v="4664.21"/>
    <n v="704"/>
    <s v="Yes"/>
    <s v="FB"/>
    <n v="19"/>
    <n v="4.8450565666502708E-2"/>
    <n v="0.17017162194827171"/>
    <n v="1.1274377568286198"/>
    <n v="6.6252982954545452"/>
    <n v="10"/>
    <x v="1"/>
    <s v="October"/>
  </r>
  <r>
    <s v="CMP-00801"/>
    <s v="Q3_Summer_CMP-00801"/>
    <x v="1"/>
    <s v="Summer"/>
    <d v="2023-10-16T00:00:00"/>
    <d v="2023-11-07T00:00:00"/>
    <x v="3"/>
    <n v="13763"/>
    <n v="677"/>
    <n v="596.07000000000005"/>
    <n v="93"/>
    <s v="Yes"/>
    <s v="FB"/>
    <n v="22"/>
    <n v="4.9189856862602632E-2"/>
    <n v="0.13737075332348597"/>
    <n v="0.88045790251107836"/>
    <n v="6.4093548387096781"/>
    <n v="10"/>
    <x v="1"/>
    <s v="October"/>
  </r>
  <r>
    <s v="CMP-01521"/>
    <s v="Q3_Summer_CMP-01521"/>
    <x v="1"/>
    <s v="Summer"/>
    <d v="2023-10-16T00:00:00"/>
    <d v="2023-10-28T00:00:00"/>
    <x v="4"/>
    <n v="57276"/>
    <n v="1887"/>
    <n v="3290.41"/>
    <n v="207"/>
    <s v="No"/>
    <s v="Google Ads"/>
    <n v="12"/>
    <n v="3.294573643410853E-2"/>
    <n v="0.10969793322734499"/>
    <n v="1.7437254901960784"/>
    <n v="15.895700483091787"/>
    <n v="10"/>
    <x v="1"/>
    <s v="October"/>
  </r>
  <r>
    <s v="CMP-01919"/>
    <s v="Q3_Launch_CMP-01919"/>
    <x v="1"/>
    <s v="Launch"/>
    <d v="2023-10-16T00:00:00"/>
    <d v="2023-11-15T00:00:00"/>
    <x v="1"/>
    <n v="76304"/>
    <n v="1762"/>
    <n v="2776.99"/>
    <n v="214"/>
    <s v="Yes"/>
    <s v="Email"/>
    <n v="30"/>
    <n v="2.3091843153700987E-2"/>
    <n v="0.12145289443813848"/>
    <n v="1.5760442678774118"/>
    <n v="12.976588785046728"/>
    <n v="10"/>
    <x v="1"/>
    <s v="October"/>
  </r>
  <r>
    <s v="CMP-00736"/>
    <s v="Q4_Winstagramter_CMP-00736"/>
    <x v="2"/>
    <s v="Winstagramter"/>
    <d v="2023-10-16T00:00:00"/>
    <d v="2023-11-01T00:00:00"/>
    <x v="3"/>
    <n v="25504"/>
    <n v="1252"/>
    <n v="1757.44"/>
    <n v="234"/>
    <s v="No"/>
    <s v="FB"/>
    <n v="16"/>
    <n v="4.9090338770388958E-2"/>
    <n v="0.18690095846645369"/>
    <n v="1.4037060702875399"/>
    <n v="7.5104273504273511"/>
    <n v="10"/>
    <x v="1"/>
    <s v="October"/>
  </r>
  <r>
    <s v="CMP-01186"/>
    <s v="Q1_BlackFriday_CMP-01186"/>
    <x v="3"/>
    <s v="BlackFriday"/>
    <d v="2023-10-16T00:00:00"/>
    <d v="2023-10-21T00:00:00"/>
    <x v="3"/>
    <n v="76993"/>
    <n v="3761"/>
    <n v="5910.87"/>
    <n v="239"/>
    <s v="Yes"/>
    <s v="FB"/>
    <n v="5"/>
    <n v="4.8848596625667269E-2"/>
    <n v="6.3546929008242492E-2"/>
    <n v="1.5716219090667376"/>
    <n v="24.731673640167365"/>
    <n v="10"/>
    <x v="1"/>
    <s v="October"/>
  </r>
  <r>
    <s v="CMP-00212"/>
    <s v="Q2_Launch_CMP-00212"/>
    <x v="0"/>
    <s v="Launch"/>
    <d v="2023-10-17T00:00:00"/>
    <d v="2023-10-31T00:00:00"/>
    <x v="3"/>
    <n v="68172"/>
    <n v="1185"/>
    <n v="2326.23"/>
    <n v="0"/>
    <s v="No"/>
    <s v="FB"/>
    <n v="14"/>
    <n v="1.7382503080443583E-2"/>
    <n v="0"/>
    <n v="1.9630632911392405"/>
    <s v="0"/>
    <n v="10"/>
    <x v="1"/>
    <s v="October"/>
  </r>
  <r>
    <s v="CMP-00389"/>
    <s v="Q3_Winstagramter_CMP-00389"/>
    <x v="1"/>
    <s v="Winstagramter"/>
    <d v="2023-10-17T00:00:00"/>
    <d v="2023-11-04T00:00:00"/>
    <x v="4"/>
    <n v="83074"/>
    <n v="2889"/>
    <n v="2060.96"/>
    <n v="175"/>
    <s v="No"/>
    <s v="Google Ads"/>
    <n v="18"/>
    <n v="3.4776223607867682E-2"/>
    <n v="6.0574593284873655E-2"/>
    <n v="0.71338179300796123"/>
    <n v="11.776914285714286"/>
    <n v="10"/>
    <x v="1"/>
    <s v="October"/>
  </r>
  <r>
    <s v="CMP-00943"/>
    <s v="Q3_Summer_CMP-00943"/>
    <x v="1"/>
    <s v="Summer"/>
    <d v="2023-10-17T00:00:00"/>
    <d v="2023-10-18T00:00:00"/>
    <x v="0"/>
    <n v="9717"/>
    <n v="188"/>
    <n v="132.16999999999999"/>
    <n v="28"/>
    <s v="No"/>
    <s v="TikTok"/>
    <n v="1"/>
    <n v="1.9347535247504374E-2"/>
    <n v="0.14893617021276595"/>
    <n v="0.70303191489361694"/>
    <n v="4.720357142857142"/>
    <n v="10"/>
    <x v="1"/>
    <s v="October"/>
  </r>
  <r>
    <s v="CMP-01336"/>
    <s v="Q3_BlackFriday_CMP-01336"/>
    <x v="1"/>
    <s v="BlackFriday"/>
    <d v="2023-10-17T00:00:00"/>
    <d v="2023-11-02T00:00:00"/>
    <x v="0"/>
    <n v="85458"/>
    <n v="3432"/>
    <n v="6767.43"/>
    <n v="581"/>
    <s v="No"/>
    <s v="TikTok"/>
    <n v="16"/>
    <n v="4.0160078635119008E-2"/>
    <n v="0.16928904428904429"/>
    <n v="1.9718618881118881"/>
    <n v="11.647900172117041"/>
    <n v="10"/>
    <x v="1"/>
    <s v="October"/>
  </r>
  <r>
    <s v="CMP-01494"/>
    <s v="Q4_Summer_CMP-01494"/>
    <x v="2"/>
    <s v="Summer"/>
    <d v="2023-10-17T00:00:00"/>
    <d v="2023-10-28T00:00:00"/>
    <x v="0"/>
    <n v="95006"/>
    <n v="4008"/>
    <n v="7285.04"/>
    <n v="760"/>
    <s v="Yes"/>
    <s v="TikTok"/>
    <n v="11"/>
    <n v="4.2186809254152371E-2"/>
    <n v="0.18962075848303392"/>
    <n v="1.817624750499002"/>
    <n v="9.5855789473684219"/>
    <n v="10"/>
    <x v="1"/>
    <s v="October"/>
  </r>
  <r>
    <s v="CMP-01141"/>
    <s v="Q1_Launch_CMP-01141"/>
    <x v="3"/>
    <s v="Launch"/>
    <d v="2023-10-18T00:00:00"/>
    <d v="2023-11-16T00:00:00"/>
    <x v="3"/>
    <n v="26053"/>
    <n v="1001"/>
    <n v="1359.04"/>
    <n v="192"/>
    <s v="No"/>
    <s v="FB"/>
    <n v="29"/>
    <n v="3.8421678885349093E-2"/>
    <n v="0.19180819180819181"/>
    <n v="1.3576823176823176"/>
    <n v="7.0783333333333331"/>
    <n v="10"/>
    <x v="1"/>
    <s v="October"/>
  </r>
  <r>
    <s v="CMP-00052"/>
    <s v="Q2_Launch_CMP-00052"/>
    <x v="0"/>
    <s v="Launch"/>
    <d v="2023-10-18T00:00:00"/>
    <d v="2023-11-08T00:00:00"/>
    <x v="0"/>
    <n v="69148"/>
    <n v="954"/>
    <n v="1547.16"/>
    <n v="74"/>
    <s v="No"/>
    <s v="TikTok"/>
    <n v="21"/>
    <n v="1.3796494475617515E-2"/>
    <n v="7.7568134171907763E-2"/>
    <n v="1.6217610062893082"/>
    <n v="20.907567567567568"/>
    <n v="10"/>
    <x v="1"/>
    <s v="October"/>
  </r>
  <r>
    <s v="CMP-00441"/>
    <s v="Q3_Summer_CMP-00441"/>
    <x v="1"/>
    <s v="Summer"/>
    <d v="2023-10-18T00:00:00"/>
    <d v="2023-10-28T00:00:00"/>
    <x v="2"/>
    <n v="67412"/>
    <n v="2329"/>
    <n v="3203.32"/>
    <n v="211"/>
    <s v="Yes"/>
    <s v="IG"/>
    <n v="10"/>
    <n v="3.454874503055836E-2"/>
    <n v="9.0596822670674107E-2"/>
    <n v="1.375405753542293"/>
    <n v="15.181611374407584"/>
    <n v="10"/>
    <x v="1"/>
    <s v="October"/>
  </r>
  <r>
    <s v="CMP-00709"/>
    <s v="Q3_Winstagramter_CMP-00709"/>
    <x v="1"/>
    <s v="Winstagramter"/>
    <d v="2023-10-18T00:00:00"/>
    <d v="2023-10-25T00:00:00"/>
    <x v="1"/>
    <n v="67040"/>
    <n v="729"/>
    <n v="549.37"/>
    <n v="119"/>
    <s v="Yes"/>
    <s v="Email"/>
    <n v="7"/>
    <n v="1.0874105011933173E-2"/>
    <n v="0.16323731138545952"/>
    <n v="0.75359396433470505"/>
    <n v="4.6165546218487394"/>
    <n v="10"/>
    <x v="1"/>
    <s v="October"/>
  </r>
  <r>
    <s v="CMP-00716"/>
    <s v="Q3_Winstagramter_CMP-00716"/>
    <x v="1"/>
    <s v="Winstagramter"/>
    <d v="2023-10-18T00:00:00"/>
    <d v="2023-11-16T00:00:00"/>
    <x v="0"/>
    <n v="23700"/>
    <n v="452"/>
    <n v="520.5"/>
    <n v="30"/>
    <s v="No"/>
    <s v="TikTok"/>
    <n v="29"/>
    <n v="1.9071729957805907E-2"/>
    <n v="6.637168141592921E-2"/>
    <n v="1.1515486725663717"/>
    <n v="17.350000000000001"/>
    <n v="10"/>
    <x v="1"/>
    <s v="October"/>
  </r>
  <r>
    <s v="CMP-01720"/>
    <s v="Q3_Winstagramter_CMP-01720"/>
    <x v="1"/>
    <s v="Winstagramter"/>
    <d v="2023-10-18T00:00:00"/>
    <d v="2023-10-25T00:00:00"/>
    <x v="1"/>
    <n v="8314"/>
    <n v="255"/>
    <n v="234.46"/>
    <n v="43"/>
    <s v="No"/>
    <s v="Email"/>
    <n v="7"/>
    <n v="3.067115708443589E-2"/>
    <n v="0.16862745098039217"/>
    <n v="0.91945098039215689"/>
    <n v="5.4525581395348839"/>
    <n v="10"/>
    <x v="1"/>
    <s v="October"/>
  </r>
  <r>
    <s v="CMP-00029"/>
    <s v="Q4_BlackFriday_CMP-00029"/>
    <x v="2"/>
    <s v="BlackFriday"/>
    <d v="2023-10-18T00:00:00"/>
    <d v="2023-11-15T00:00:00"/>
    <x v="2"/>
    <n v="19431"/>
    <n v="810"/>
    <n v="567.39"/>
    <n v="47"/>
    <s v="Yes"/>
    <s v="IG"/>
    <n v="28"/>
    <n v="4.1685965724872626E-2"/>
    <n v="5.802469135802469E-2"/>
    <n v="0.70048148148148148"/>
    <n v="12.072127659574468"/>
    <n v="10"/>
    <x v="1"/>
    <s v="October"/>
  </r>
  <r>
    <s v="CMP-00837"/>
    <s v="Q4_Winstagramter_CMP-00837"/>
    <x v="2"/>
    <s v="Winstagramter"/>
    <d v="2023-10-18T00:00:00"/>
    <d v="2023-11-10T00:00:00"/>
    <x v="1"/>
    <n v="38131"/>
    <n v="1668"/>
    <n v="3308.07"/>
    <n v="0"/>
    <s v="Yes"/>
    <s v="Email"/>
    <n v="23"/>
    <n v="4.3743935380661403E-2"/>
    <n v="0"/>
    <n v="1.9832553956834533"/>
    <s v="0"/>
    <n v="10"/>
    <x v="1"/>
    <s v="October"/>
  </r>
  <r>
    <s v="CMP-01070"/>
    <s v="Q4_BlackFriday_CMP-01070"/>
    <x v="2"/>
    <s v="BlackFriday"/>
    <d v="2023-10-18T00:00:00"/>
    <d v="2023-11-03T00:00:00"/>
    <x v="0"/>
    <n v="37258"/>
    <n v="1143"/>
    <n v="2177.86"/>
    <n v="133"/>
    <s v="Yes"/>
    <s v="TikTok"/>
    <n v="16"/>
    <n v="3.0677975199957058E-2"/>
    <n v="0.1163604549431321"/>
    <n v="1.9053893263342083"/>
    <n v="16.374887218045114"/>
    <n v="10"/>
    <x v="1"/>
    <s v="October"/>
  </r>
  <r>
    <s v="CMP-01627"/>
    <s v="Q4_Winstagramter_CMP-01627"/>
    <x v="2"/>
    <s v="Winstagramter"/>
    <d v="2023-10-18T00:00:00"/>
    <d v="2023-11-12T00:00:00"/>
    <x v="2"/>
    <n v="1806"/>
    <n v="26"/>
    <n v="35.75"/>
    <n v="4"/>
    <s v="Yes"/>
    <s v="IG"/>
    <n v="25"/>
    <n v="1.4396456256921373E-2"/>
    <n v="0.15384615384615385"/>
    <n v="1.375"/>
    <n v="8.9375"/>
    <n v="10"/>
    <x v="1"/>
    <s v="October"/>
  </r>
  <r>
    <s v="CMP-00269"/>
    <s v="Q1_BlackFriday_CMP-00269"/>
    <x v="3"/>
    <s v="BlackFriday"/>
    <d v="2023-10-19T00:00:00"/>
    <d v="2023-10-29T00:00:00"/>
    <x v="2"/>
    <n v="48254"/>
    <n v="1973"/>
    <n v="3857.91"/>
    <n v="340"/>
    <s v="No"/>
    <s v="IG"/>
    <n v="10"/>
    <n v="4.0887802047498652E-2"/>
    <n v="0.17232640648758235"/>
    <n v="1.9553522554485554"/>
    <n v="11.346794117647059"/>
    <n v="10"/>
    <x v="1"/>
    <s v="October"/>
  </r>
  <r>
    <s v="CMP-00956"/>
    <s v="Q1_Winstagramter_CMP-00956"/>
    <x v="3"/>
    <s v="Winstagramter"/>
    <d v="2023-10-19T00:00:00"/>
    <d v="2023-10-27T00:00:00"/>
    <x v="4"/>
    <n v="56658"/>
    <n v="2622"/>
    <n v="2156.27"/>
    <n v="282"/>
    <s v="No"/>
    <s v="Google Ads"/>
    <n v="8"/>
    <n v="4.6277665995975853E-2"/>
    <n v="0.10755148741418764"/>
    <n v="0.82237604881769644"/>
    <n v="7.6463475177304963"/>
    <n v="10"/>
    <x v="1"/>
    <s v="October"/>
  </r>
  <r>
    <s v="CMP-01329"/>
    <s v="Q2_Launch_CMP-01329"/>
    <x v="0"/>
    <s v="Launch"/>
    <d v="2023-10-19T00:00:00"/>
    <d v="2023-10-28T00:00:00"/>
    <x v="3"/>
    <n v="65929"/>
    <n v="1755"/>
    <n v="2658.77"/>
    <n v="0"/>
    <s v="Yes"/>
    <s v="FB"/>
    <n v="9"/>
    <n v="2.6619545268394787E-2"/>
    <n v="0"/>
    <n v="1.514968660968661"/>
    <s v="0"/>
    <n v="10"/>
    <x v="1"/>
    <s v="October"/>
  </r>
  <r>
    <s v="CMP-01931"/>
    <s v="Q4_Launch_CMP-01931"/>
    <x v="2"/>
    <s v="Launch"/>
    <d v="2023-10-19T00:00:00"/>
    <d v="2023-10-31T00:00:00"/>
    <x v="5"/>
    <n v="23431"/>
    <n v="951"/>
    <n v="1512.39"/>
    <n v="179"/>
    <s v="No"/>
    <s v="Not specified"/>
    <n v="12"/>
    <n v="4.058725619905254E-2"/>
    <n v="0.1882229232386961"/>
    <n v="1.5903154574132494"/>
    <n v="8.4491061452513971"/>
    <n v="10"/>
    <x v="1"/>
    <s v="October"/>
  </r>
  <r>
    <s v="CMP-00803"/>
    <s v="Q3_Winstagramter_CMP-00803"/>
    <x v="1"/>
    <s v="Winstagramter"/>
    <d v="2023-10-19T00:00:00"/>
    <d v="2023-10-24T00:00:00"/>
    <x v="0"/>
    <n v="61100"/>
    <n v="928"/>
    <n v="577.67999999999995"/>
    <n v="74"/>
    <s v="Yes"/>
    <s v="TikTok"/>
    <n v="5"/>
    <n v="1.5188216039279868E-2"/>
    <n v="7.9741379310344834E-2"/>
    <n v="0.62249999999999994"/>
    <n v="7.8064864864864862"/>
    <n v="10"/>
    <x v="1"/>
    <s v="October"/>
  </r>
  <r>
    <s v="CMP-00067"/>
    <s v="Q1_BlackFriday_CMP-00067"/>
    <x v="3"/>
    <s v="BlackFriday"/>
    <d v="2023-10-20T00:00:00"/>
    <d v="2023-11-13T00:00:00"/>
    <x v="4"/>
    <n v="41757"/>
    <n v="1535"/>
    <n v="1772.36"/>
    <n v="0"/>
    <s v="Yes"/>
    <s v="Google Ads"/>
    <n v="24"/>
    <n v="3.6760303661661518E-2"/>
    <n v="0"/>
    <n v="1.1546319218241041"/>
    <s v="0"/>
    <n v="10"/>
    <x v="1"/>
    <s v="October"/>
  </r>
  <r>
    <s v="CMP-00867"/>
    <s v="Q1_Launch_CMP-00867"/>
    <x v="3"/>
    <s v="Launch"/>
    <d v="2023-10-20T00:00:00"/>
    <d v="2023-11-13T00:00:00"/>
    <x v="1"/>
    <n v="84251"/>
    <n v="2156"/>
    <n v="3601.64"/>
    <n v="314"/>
    <s v="Yes"/>
    <s v="Email"/>
    <n v="24"/>
    <n v="2.5590200709783861E-2"/>
    <n v="0.1456400742115028"/>
    <n v="1.6705194805194805"/>
    <n v="11.470191082802547"/>
    <n v="10"/>
    <x v="1"/>
    <s v="October"/>
  </r>
  <r>
    <s v="CMP-01789"/>
    <s v="Q2_BlackFriday_CMP-01789"/>
    <x v="0"/>
    <s v="BlackFriday"/>
    <d v="2023-10-20T00:00:00"/>
    <d v="2023-11-02T00:00:00"/>
    <x v="3"/>
    <n v="51192"/>
    <n v="2378"/>
    <n v="2223.59"/>
    <n v="235"/>
    <s v="No"/>
    <s v="FB"/>
    <n v="13"/>
    <n v="4.6452570714174087E-2"/>
    <n v="9.8822539949537422E-2"/>
    <n v="0.93506728343145507"/>
    <n v="9.4620851063829789"/>
    <n v="10"/>
    <x v="1"/>
    <s v="October"/>
  </r>
  <r>
    <s v="CMP-01943"/>
    <s v="Q2_Summer_CMP-01943"/>
    <x v="0"/>
    <s v="Summer"/>
    <d v="2023-10-20T00:00:00"/>
    <d v="2023-11-10T00:00:00"/>
    <x v="0"/>
    <n v="82061"/>
    <n v="3714"/>
    <n v="2835.67"/>
    <n v="255"/>
    <s v="Yes"/>
    <s v="TikTok"/>
    <n v="21"/>
    <n v="4.5259014635454113E-2"/>
    <n v="6.8659127625201932E-2"/>
    <n v="0.7635083467959074"/>
    <n v="11.120274509803922"/>
    <n v="10"/>
    <x v="1"/>
    <s v="October"/>
  </r>
  <r>
    <s v="CMP-01253"/>
    <s v="Q3_Summer_CMP-01253"/>
    <x v="1"/>
    <s v="Summer"/>
    <d v="2023-10-20T00:00:00"/>
    <d v="2023-10-25T00:00:00"/>
    <x v="2"/>
    <n v="95270"/>
    <n v="1668"/>
    <n v="1799.62"/>
    <n v="249"/>
    <s v="Yes"/>
    <s v="IG"/>
    <n v="5"/>
    <n v="1.7508134774850425E-2"/>
    <n v="0.14928057553956833"/>
    <n v="1.0789088729016787"/>
    <n v="7.2273895582329315"/>
    <n v="10"/>
    <x v="1"/>
    <s v="October"/>
  </r>
  <r>
    <s v="CMP-01914"/>
    <s v="Q3_Winstagramter_CMP-01914"/>
    <x v="1"/>
    <s v="Winstagramter"/>
    <d v="2023-10-20T00:00:00"/>
    <d v="2023-10-23T00:00:00"/>
    <x v="1"/>
    <n v="31087"/>
    <n v="1394"/>
    <n v="1772.8"/>
    <n v="74"/>
    <s v="No"/>
    <s v="Email"/>
    <n v="3"/>
    <n v="4.4841895326020523E-2"/>
    <n v="5.308464849354376E-2"/>
    <n v="1.2717360114777618"/>
    <n v="23.956756756756757"/>
    <n v="10"/>
    <x v="1"/>
    <s v="October"/>
  </r>
  <r>
    <s v="CMP-01189"/>
    <s v="Q4_Summer_CMP-01189"/>
    <x v="2"/>
    <s v="Summer"/>
    <d v="2023-10-20T00:00:00"/>
    <d v="2023-11-02T00:00:00"/>
    <x v="2"/>
    <n v="18368"/>
    <n v="743"/>
    <n v="654.15"/>
    <n v="120"/>
    <s v="No"/>
    <s v="IG"/>
    <n v="13"/>
    <n v="4.0450783972125433E-2"/>
    <n v="0.16150740242261102"/>
    <n v="0.88041722745625839"/>
    <n v="5.4512499999999999"/>
    <n v="10"/>
    <x v="1"/>
    <s v="October"/>
  </r>
  <r>
    <s v="CMP-01231"/>
    <s v="Q4_Summer_CMP-01231"/>
    <x v="2"/>
    <s v="Summer"/>
    <d v="2023-10-20T00:00:00"/>
    <d v="2023-10-28T00:00:00"/>
    <x v="5"/>
    <n v="14224"/>
    <n v="206"/>
    <n v="108.85"/>
    <n v="19"/>
    <s v="No"/>
    <s v="Not specified"/>
    <n v="8"/>
    <n v="1.4482564679415073E-2"/>
    <n v="9.2233009708737865E-2"/>
    <n v="0.52839805825242714"/>
    <n v="5.7289473684210526"/>
    <n v="10"/>
    <x v="1"/>
    <s v="October"/>
  </r>
  <r>
    <s v="CMP-01735"/>
    <s v="Q4_Winstagramter_CMP-01735"/>
    <x v="2"/>
    <s v="Winstagramter"/>
    <d v="2023-10-20T00:00:00"/>
    <d v="2023-10-31T00:00:00"/>
    <x v="0"/>
    <n v="64620"/>
    <n v="1830"/>
    <n v="1705.23"/>
    <n v="211"/>
    <s v="No"/>
    <s v="TikTok"/>
    <n v="11"/>
    <n v="2.8319405756731662E-2"/>
    <n v="0.11530054644808743"/>
    <n v="0.93181967213114758"/>
    <n v="8.0816587677725114"/>
    <n v="10"/>
    <x v="1"/>
    <s v="October"/>
  </r>
  <r>
    <s v="CMP-01863"/>
    <s v="Q4_BlackFriday_CMP-01863"/>
    <x v="2"/>
    <s v="BlackFriday"/>
    <d v="2023-10-20T00:00:00"/>
    <d v="2023-11-19T00:00:00"/>
    <x v="1"/>
    <n v="86530"/>
    <n v="1613"/>
    <n v="1327.07"/>
    <n v="0"/>
    <s v="Yes"/>
    <s v="Email"/>
    <n v="30"/>
    <n v="1.864093378019184E-2"/>
    <n v="0"/>
    <n v="0.82273403595784245"/>
    <s v="0"/>
    <n v="10"/>
    <x v="1"/>
    <s v="October"/>
  </r>
  <r>
    <s v="CMP-01519"/>
    <s v="Q1_Winstagramter_CMP-01519"/>
    <x v="3"/>
    <s v="Winstagramter"/>
    <d v="2023-10-21T00:00:00"/>
    <d v="2023-11-03T00:00:00"/>
    <x v="5"/>
    <n v="13182"/>
    <n v="655"/>
    <n v="1021.1"/>
    <n v="63"/>
    <s v="No"/>
    <s v="Not specified"/>
    <n v="13"/>
    <n v="4.9688969807313001E-2"/>
    <n v="9.6183206106870228E-2"/>
    <n v="1.5589312977099237"/>
    <n v="16.207936507936509"/>
    <n v="10"/>
    <x v="1"/>
    <s v="October"/>
  </r>
  <r>
    <s v="CMP-00723"/>
    <s v="Q2_Launch_CMP-00723"/>
    <x v="0"/>
    <s v="Launch"/>
    <d v="2023-10-21T00:00:00"/>
    <d v="2023-11-09T00:00:00"/>
    <x v="0"/>
    <n v="22732"/>
    <n v="997"/>
    <n v="1141"/>
    <n v="103"/>
    <s v="Yes"/>
    <s v="TikTok"/>
    <n v="19"/>
    <n v="4.3858877353510468E-2"/>
    <n v="0.10330992978936811"/>
    <n v="1.1444332998996991"/>
    <n v="11.077669902912621"/>
    <n v="10"/>
    <x v="1"/>
    <s v="October"/>
  </r>
  <r>
    <s v="CMP-01043"/>
    <s v="Q2_Summer_CMP-01043"/>
    <x v="0"/>
    <s v="Summer"/>
    <d v="2023-10-21T00:00:00"/>
    <d v="2023-10-26T00:00:00"/>
    <x v="5"/>
    <n v="37976"/>
    <n v="482"/>
    <n v="417.53"/>
    <n v="68"/>
    <s v="Yes"/>
    <s v="Not specified"/>
    <n v="5"/>
    <n v="1.2692226669475459E-2"/>
    <n v="0.14107883817427386"/>
    <n v="0.86624481327800829"/>
    <n v="6.140147058823529"/>
    <n v="10"/>
    <x v="1"/>
    <s v="October"/>
  </r>
  <r>
    <s v="CMP-00458"/>
    <s v="Q3_Winstagramter_CMP-00458"/>
    <x v="1"/>
    <s v="Winstagramter"/>
    <d v="2023-10-21T00:00:00"/>
    <d v="2023-11-19T00:00:00"/>
    <x v="3"/>
    <n v="29251"/>
    <n v="819"/>
    <n v="530.79999999999995"/>
    <n v="153"/>
    <s v="Yes"/>
    <s v="FB"/>
    <n v="29"/>
    <n v="2.7999042767768625E-2"/>
    <n v="0.18681318681318682"/>
    <n v="0.64810744810744803"/>
    <n v="3.4692810457516337"/>
    <n v="10"/>
    <x v="1"/>
    <s v="October"/>
  </r>
  <r>
    <s v="CMP-00587"/>
    <s v="Q3_Summer_CMP-00587"/>
    <x v="1"/>
    <s v="Summer"/>
    <d v="2023-10-21T00:00:00"/>
    <d v="2023-10-27T00:00:00"/>
    <x v="4"/>
    <n v="38841"/>
    <n v="1387"/>
    <n v="1368.3"/>
    <n v="148"/>
    <s v="No"/>
    <s v="Google Ads"/>
    <n v="6"/>
    <n v="3.5709688216060347E-2"/>
    <n v="0.10670511896178803"/>
    <n v="0.98651766402307139"/>
    <n v="9.2452702702702698"/>
    <n v="10"/>
    <x v="1"/>
    <s v="October"/>
  </r>
  <r>
    <s v="CMP-00429"/>
    <s v="Q4_BlackFriday_CMP-00429"/>
    <x v="2"/>
    <s v="BlackFriday"/>
    <d v="2023-10-21T00:00:00"/>
    <d v="2023-11-03T00:00:00"/>
    <x v="5"/>
    <n v="54006"/>
    <n v="632"/>
    <n v="1207.33"/>
    <n v="77"/>
    <s v="No"/>
    <s v="Not specified"/>
    <n v="13"/>
    <n v="1.1702403436655186E-2"/>
    <n v="0.12183544303797468"/>
    <n v="1.9103322784810126"/>
    <n v="15.679610389610389"/>
    <n v="10"/>
    <x v="1"/>
    <s v="October"/>
  </r>
  <r>
    <s v="CMP-01835"/>
    <s v="Q4_BlackFriday_CMP-01835"/>
    <x v="2"/>
    <s v="BlackFriday"/>
    <d v="2023-10-21T00:00:00"/>
    <d v="2023-11-05T00:00:00"/>
    <x v="0"/>
    <n v="23042"/>
    <n v="774"/>
    <n v="909.77"/>
    <n v="0"/>
    <s v="Yes"/>
    <s v="TikTok"/>
    <n v="15"/>
    <n v="3.359083412898186E-2"/>
    <n v="0"/>
    <n v="1.1754134366925064"/>
    <s v="0"/>
    <n v="10"/>
    <x v="1"/>
    <s v="October"/>
  </r>
  <r>
    <s v="CMP-01786"/>
    <s v="Q1_Winstagramter_CMP-01786"/>
    <x v="3"/>
    <s v="Winstagramter"/>
    <d v="2023-10-22T00:00:00"/>
    <d v="2023-11-03T00:00:00"/>
    <x v="1"/>
    <n v="84807"/>
    <n v="3066"/>
    <n v="3911.65"/>
    <n v="226"/>
    <s v="No"/>
    <s v="Email"/>
    <n v="12"/>
    <n v="3.6152676076267286E-2"/>
    <n v="7.3711676451402475E-2"/>
    <n v="1.2758153946510111"/>
    <n v="17.308185840707964"/>
    <n v="10"/>
    <x v="1"/>
    <s v="October"/>
  </r>
  <r>
    <s v="CMP-00183"/>
    <s v="Q2_Winstagramter_CMP-00183"/>
    <x v="0"/>
    <s v="Winstagramter"/>
    <d v="2023-10-22T00:00:00"/>
    <d v="2023-10-26T00:00:00"/>
    <x v="1"/>
    <n v="7776"/>
    <n v="310"/>
    <n v="316.58999999999997"/>
    <n v="29"/>
    <s v="Yes"/>
    <s v="Email"/>
    <n v="4"/>
    <n v="3.9866255144032921E-2"/>
    <n v="9.3548387096774197E-2"/>
    <n v="1.0212580645161289"/>
    <n v="10.916896551724138"/>
    <n v="10"/>
    <x v="1"/>
    <s v="October"/>
  </r>
  <r>
    <s v="CMP-01988"/>
    <s v="Q2_Summer_CMP-01988"/>
    <x v="0"/>
    <s v="Summer"/>
    <d v="2023-10-22T00:00:00"/>
    <d v="2023-10-30T00:00:00"/>
    <x v="1"/>
    <n v="11326"/>
    <n v="494"/>
    <n v="652.54999999999995"/>
    <n v="96"/>
    <s v="No"/>
    <s v="Email"/>
    <n v="8"/>
    <n v="4.3616457707928658E-2"/>
    <n v="0.19433198380566802"/>
    <n v="1.3209514170040484"/>
    <n v="6.7973958333333329"/>
    <n v="10"/>
    <x v="1"/>
    <s v="October"/>
  </r>
  <r>
    <s v="CMP-00607"/>
    <s v="Q3_Winstagramter_CMP-00607"/>
    <x v="1"/>
    <s v="Winstagramter"/>
    <d v="2023-10-22T00:00:00"/>
    <d v="2023-11-19T00:00:00"/>
    <x v="5"/>
    <n v="1728"/>
    <n v="58"/>
    <n v="72.23"/>
    <n v="7"/>
    <s v="No"/>
    <s v="Not specified"/>
    <n v="28"/>
    <n v="3.3564814814814818E-2"/>
    <n v="0.1206896551724138"/>
    <n v="1.2453448275862069"/>
    <n v="10.318571428571429"/>
    <n v="10"/>
    <x v="1"/>
    <s v="October"/>
  </r>
  <r>
    <s v="CMP-01605"/>
    <s v="Q3_Launch_CMP-01605"/>
    <x v="1"/>
    <s v="Launch"/>
    <d v="2023-10-22T00:00:00"/>
    <d v="2023-11-05T00:00:00"/>
    <x v="4"/>
    <n v="3050"/>
    <n v="81"/>
    <n v="116.35"/>
    <n v="0"/>
    <s v="No"/>
    <s v="Google Ads"/>
    <n v="14"/>
    <n v="2.6557377049180327E-2"/>
    <n v="0"/>
    <n v="1.4364197530864198"/>
    <s v="0"/>
    <n v="10"/>
    <x v="1"/>
    <s v="October"/>
  </r>
  <r>
    <s v="CMP-00275"/>
    <s v="Q4_Winstagramter_CMP-00275"/>
    <x v="2"/>
    <s v="Winstagramter"/>
    <d v="2023-10-22T00:00:00"/>
    <d v="2023-11-20T00:00:00"/>
    <x v="0"/>
    <n v="47843"/>
    <n v="1135"/>
    <n v="848.93"/>
    <n v="0"/>
    <s v="No"/>
    <s v="TikTok"/>
    <n v="29"/>
    <n v="2.372342871475451E-2"/>
    <n v="0"/>
    <n v="0.74795594713656388"/>
    <s v="0"/>
    <n v="10"/>
    <x v="1"/>
    <s v="October"/>
  </r>
  <r>
    <s v="CMP-01116"/>
    <s v="Q4_Launch_CMP-01116"/>
    <x v="2"/>
    <s v="Launch"/>
    <d v="2023-10-22T00:00:00"/>
    <d v="2023-11-05T00:00:00"/>
    <x v="4"/>
    <n v="10184"/>
    <n v="443"/>
    <n v="640.61"/>
    <n v="0"/>
    <s v="Yes"/>
    <s v="Google Ads"/>
    <n v="14"/>
    <n v="4.3499607227022778E-2"/>
    <n v="0"/>
    <n v="1.4460722347629797"/>
    <s v="0"/>
    <n v="10"/>
    <x v="1"/>
    <s v="October"/>
  </r>
  <r>
    <s v="CMP-01584"/>
    <s v="Q4_BlackFriday_CMP-01584"/>
    <x v="2"/>
    <s v="BlackFriday"/>
    <d v="2023-10-22T00:00:00"/>
    <d v="2023-11-05T00:00:00"/>
    <x v="1"/>
    <n v="40974"/>
    <n v="494"/>
    <n v="306.99"/>
    <n v="29"/>
    <s v="Yes"/>
    <s v="Email"/>
    <n v="14"/>
    <n v="1.2056426026260555E-2"/>
    <n v="5.8704453441295545E-2"/>
    <n v="0.62143724696356273"/>
    <n v="10.585862068965518"/>
    <n v="10"/>
    <x v="1"/>
    <s v="October"/>
  </r>
  <r>
    <s v="CMP-00426"/>
    <s v="Q2_Winstagramter_CMP-00426"/>
    <x v="0"/>
    <s v="Winstagramter"/>
    <d v="2023-10-23T00:00:00"/>
    <d v="2023-10-29T00:00:00"/>
    <x v="4"/>
    <n v="57661"/>
    <n v="2028"/>
    <n v="1339.67"/>
    <n v="362"/>
    <s v="No"/>
    <s v="Google Ads"/>
    <n v="6"/>
    <n v="3.517108617609823E-2"/>
    <n v="0.17850098619329388"/>
    <n v="0.66058678500986201"/>
    <n v="3.7007458563535915"/>
    <n v="10"/>
    <x v="1"/>
    <s v="October"/>
  </r>
  <r>
    <s v="CMP-01154"/>
    <s v="Q2_Summer_CMP-01154"/>
    <x v="0"/>
    <s v="Summer"/>
    <d v="2023-10-23T00:00:00"/>
    <d v="2023-10-26T00:00:00"/>
    <x v="2"/>
    <n v="68779"/>
    <n v="782"/>
    <n v="624.21"/>
    <n v="81"/>
    <s v="No"/>
    <s v="IG"/>
    <n v="3"/>
    <n v="1.1369749487488914E-2"/>
    <n v="0.10358056265984655"/>
    <n v="0.79822250639386194"/>
    <n v="7.7062962962962969"/>
    <n v="10"/>
    <x v="1"/>
    <s v="October"/>
  </r>
  <r>
    <s v="CMP-01275"/>
    <s v="Q3_Summer_CMP-01275"/>
    <x v="1"/>
    <s v="Summer"/>
    <d v="2023-10-23T00:00:00"/>
    <d v="2023-11-21T00:00:00"/>
    <x v="3"/>
    <n v="25442"/>
    <n v="663"/>
    <n v="1152.17"/>
    <n v="54"/>
    <s v="No"/>
    <s v="FB"/>
    <n v="29"/>
    <n v="2.6059272069805833E-2"/>
    <n v="8.1447963800904979E-2"/>
    <n v="1.7378129713423831"/>
    <n v="21.336481481481481"/>
    <n v="10"/>
    <x v="1"/>
    <s v="October"/>
  </r>
  <r>
    <s v="CMP-01777"/>
    <s v="Q3_Launch_CMP-01777"/>
    <x v="1"/>
    <s v="Launch"/>
    <d v="2023-10-23T00:00:00"/>
    <d v="2023-10-31T00:00:00"/>
    <x v="0"/>
    <n v="62246"/>
    <n v="2657"/>
    <n v="3788.43"/>
    <n v="257"/>
    <s v="No"/>
    <s v="TikTok"/>
    <n v="8"/>
    <n v="4.2685473765382516E-2"/>
    <n v="9.6725630410237115E-2"/>
    <n v="1.4258298833270606"/>
    <n v="14.740972762645914"/>
    <n v="10"/>
    <x v="1"/>
    <s v="October"/>
  </r>
  <r>
    <s v="CMP-01607"/>
    <s v="Q4_Launch_CMP-01607"/>
    <x v="2"/>
    <s v="Launch"/>
    <d v="2023-10-23T00:00:00"/>
    <d v="2023-10-29T00:00:00"/>
    <x v="1"/>
    <n v="25951"/>
    <n v="280"/>
    <n v="219.94"/>
    <n v="32"/>
    <s v="Yes"/>
    <s v="Email"/>
    <n v="6"/>
    <n v="1.0789564949327578E-2"/>
    <n v="0.11428571428571428"/>
    <n v="0.78549999999999998"/>
    <n v="6.8731249999999999"/>
    <n v="10"/>
    <x v="1"/>
    <s v="October"/>
  </r>
  <r>
    <s v="CMP-00086"/>
    <s v="Q1_Winstagramter_CMP-00086"/>
    <x v="3"/>
    <s v="Winstagramter"/>
    <d v="2023-10-24T00:00:00"/>
    <d v="2023-11-23T00:00:00"/>
    <x v="5"/>
    <n v="75065"/>
    <n v="1119"/>
    <n v="1984.85"/>
    <n v="73"/>
    <s v="Yes"/>
    <s v="Not specified"/>
    <n v="30"/>
    <n v="1.4907080530207154E-2"/>
    <n v="6.523681858802502E-2"/>
    <n v="1.7737712243074173"/>
    <n v="27.18972602739726"/>
    <n v="10"/>
    <x v="1"/>
    <s v="October"/>
  </r>
  <r>
    <s v="CMP-00093"/>
    <s v="Q2_Winstagramter_CMP-00093"/>
    <x v="0"/>
    <s v="Winstagramter"/>
    <d v="2023-10-24T00:00:00"/>
    <d v="2023-11-09T00:00:00"/>
    <x v="4"/>
    <n v="40099"/>
    <n v="566"/>
    <n v="1061.2"/>
    <n v="28"/>
    <s v="No"/>
    <s v="Google Ads"/>
    <n v="16"/>
    <n v="1.4115065213596348E-2"/>
    <n v="4.9469964664310952E-2"/>
    <n v="1.8749116607773852"/>
    <n v="37.9"/>
    <n v="10"/>
    <x v="1"/>
    <s v="October"/>
  </r>
  <r>
    <s v="CMP-00153"/>
    <s v="Q2_Winstagramter_CMP-00153"/>
    <x v="0"/>
    <s v="Winstagramter"/>
    <d v="2023-10-24T00:00:00"/>
    <d v="2023-11-18T00:00:00"/>
    <x v="0"/>
    <n v="68214"/>
    <n v="1707"/>
    <n v="2350.11"/>
    <n v="306"/>
    <s v="Yes"/>
    <s v="TikTok"/>
    <n v="25"/>
    <n v="2.502418858298883E-2"/>
    <n v="0.17926186291739896"/>
    <n v="1.3767486818980668"/>
    <n v="7.6800980392156868"/>
    <n v="10"/>
    <x v="1"/>
    <s v="October"/>
  </r>
  <r>
    <s v="CMP-00668"/>
    <s v="Q4_Launch_CMP-00668"/>
    <x v="2"/>
    <s v="Launch"/>
    <d v="2023-10-24T00:00:00"/>
    <d v="2023-11-11T00:00:00"/>
    <x v="2"/>
    <n v="55693"/>
    <n v="1608"/>
    <n v="2558.8000000000002"/>
    <n v="110"/>
    <s v="Yes"/>
    <s v="IG"/>
    <n v="18"/>
    <n v="2.8872569263641751E-2"/>
    <n v="6.8407960199004969E-2"/>
    <n v="1.5912935323383086"/>
    <n v="23.261818181818182"/>
    <n v="10"/>
    <x v="1"/>
    <s v="October"/>
  </r>
  <r>
    <s v="CMP-00482"/>
    <s v="Q1_Launch_CMP-00482"/>
    <x v="3"/>
    <s v="Launch"/>
    <d v="2023-10-25T00:00:00"/>
    <d v="2023-11-24T00:00:00"/>
    <x v="4"/>
    <n v="17964"/>
    <n v="574"/>
    <n v="310.45999999999998"/>
    <n v="89"/>
    <s v="Yes"/>
    <s v="Google Ads"/>
    <n v="30"/>
    <n v="3.1952794477844576E-2"/>
    <n v="0.15505226480836237"/>
    <n v="0.5408710801393728"/>
    <n v="3.4883146067415729"/>
    <n v="10"/>
    <x v="1"/>
    <s v="October"/>
  </r>
  <r>
    <s v="CMP-00554"/>
    <s v="Q1_BlackFriday_CMP-00554"/>
    <x v="3"/>
    <s v="BlackFriday"/>
    <d v="2023-10-25T00:00:00"/>
    <d v="2023-10-26T00:00:00"/>
    <x v="0"/>
    <n v="98532"/>
    <n v="3260"/>
    <n v="2912.86"/>
    <n v="608"/>
    <s v="Yes"/>
    <s v="TikTok"/>
    <n v="1"/>
    <n v="3.3085698047334876E-2"/>
    <n v="0.18650306748466258"/>
    <n v="0.89351533742331291"/>
    <n v="4.7908881578947371"/>
    <n v="10"/>
    <x v="1"/>
    <s v="October"/>
  </r>
  <r>
    <s v="CMP-00901"/>
    <s v="Q2_Winstagramter_CMP-00901"/>
    <x v="0"/>
    <s v="Winstagramter"/>
    <d v="2023-10-25T00:00:00"/>
    <d v="2023-11-11T00:00:00"/>
    <x v="3"/>
    <n v="42240"/>
    <n v="804"/>
    <n v="1603.86"/>
    <n v="83"/>
    <s v="No"/>
    <s v="FB"/>
    <n v="17"/>
    <n v="1.903409090909091E-2"/>
    <n v="0.10323383084577115"/>
    <n v="1.9948507462686567"/>
    <n v="19.323614457831326"/>
    <n v="10"/>
    <x v="1"/>
    <s v="October"/>
  </r>
  <r>
    <s v="CMP-01484"/>
    <s v="Q3_BlackFriday_CMP-01484"/>
    <x v="1"/>
    <s v="BlackFriday"/>
    <d v="2023-10-25T00:00:00"/>
    <d v="2023-11-14T00:00:00"/>
    <x v="2"/>
    <n v="89929"/>
    <n v="2547"/>
    <n v="3118.23"/>
    <n v="148"/>
    <s v="No"/>
    <s v="IG"/>
    <n v="20"/>
    <n v="2.8322343181843453E-2"/>
    <n v="5.8107577542206516E-2"/>
    <n v="1.2242756183745582"/>
    <n v="21.069121621621623"/>
    <n v="10"/>
    <x v="1"/>
    <s v="October"/>
  </r>
  <r>
    <s v="CMP-00970"/>
    <s v="Q4_Launch_CMP-00970"/>
    <x v="2"/>
    <s v="Launch"/>
    <d v="2023-10-25T00:00:00"/>
    <d v="2023-10-29T00:00:00"/>
    <x v="4"/>
    <n v="7229"/>
    <n v="316"/>
    <n v="570.35"/>
    <n v="49"/>
    <s v="No"/>
    <s v="Google Ads"/>
    <n v="4"/>
    <n v="4.3712823350394246E-2"/>
    <n v="0.1550632911392405"/>
    <n v="1.8049050632911394"/>
    <n v="11.639795918367348"/>
    <n v="10"/>
    <x v="1"/>
    <s v="October"/>
  </r>
  <r>
    <s v="CMP-00335"/>
    <s v="Q2_Winstagramter_CMP-00335"/>
    <x v="0"/>
    <s v="Winstagramter"/>
    <d v="2023-10-26T00:00:00"/>
    <d v="2023-11-22T00:00:00"/>
    <x v="1"/>
    <n v="4436"/>
    <n v="183"/>
    <n v="263.43"/>
    <n v="25"/>
    <s v="No"/>
    <s v="Email"/>
    <n v="27"/>
    <n v="4.1253381424706942E-2"/>
    <n v="0.13661202185792351"/>
    <n v="1.4395081967213115"/>
    <n v="10.5372"/>
    <n v="10"/>
    <x v="1"/>
    <s v="October"/>
  </r>
  <r>
    <s v="CMP-00669"/>
    <s v="Q3_Winstagramter_CMP-00669"/>
    <x v="1"/>
    <s v="Winstagramter"/>
    <d v="2023-10-26T00:00:00"/>
    <d v="2023-11-09T00:00:00"/>
    <x v="0"/>
    <n v="27962"/>
    <n v="294"/>
    <n v="360.62"/>
    <n v="48"/>
    <s v="No"/>
    <s v="TikTok"/>
    <n v="14"/>
    <n v="1.0514269365567557E-2"/>
    <n v="0.16326530612244897"/>
    <n v="1.2265986394557824"/>
    <n v="7.5129166666666665"/>
    <n v="10"/>
    <x v="1"/>
    <s v="October"/>
  </r>
  <r>
    <s v="CMP-00665"/>
    <s v="Q4_Launch_CMP-00665"/>
    <x v="2"/>
    <s v="Launch"/>
    <d v="2023-10-26T00:00:00"/>
    <d v="2023-11-24T00:00:00"/>
    <x v="0"/>
    <n v="20065"/>
    <n v="306"/>
    <n v="457.22"/>
    <n v="48"/>
    <s v="Yes"/>
    <s v="TikTok"/>
    <n v="29"/>
    <n v="1.5250436082731123E-2"/>
    <n v="0.15686274509803921"/>
    <n v="1.4941830065359478"/>
    <n v="9.5254166666666666"/>
    <n v="10"/>
    <x v="1"/>
    <s v="October"/>
  </r>
  <r>
    <s v="CMP-01265"/>
    <s v="Q4_Winstagramter_CMP-01265"/>
    <x v="2"/>
    <s v="Winstagramter"/>
    <d v="2023-10-26T00:00:00"/>
    <d v="2023-11-06T00:00:00"/>
    <x v="0"/>
    <n v="97731"/>
    <n v="3179"/>
    <n v="3339.36"/>
    <n v="0"/>
    <s v="Yes"/>
    <s v="TikTok"/>
    <n v="11"/>
    <n v="3.2528061720436707E-2"/>
    <n v="0"/>
    <n v="1.0504435357030513"/>
    <s v="0"/>
    <n v="10"/>
    <x v="1"/>
    <s v="October"/>
  </r>
  <r>
    <s v="CMP-01812"/>
    <s v="Q4_Launch_CMP-01812"/>
    <x v="2"/>
    <s v="Launch"/>
    <d v="2023-10-26T00:00:00"/>
    <d v="2023-11-25T00:00:00"/>
    <x v="0"/>
    <n v="28082"/>
    <n v="1146"/>
    <n v="2035.79"/>
    <n v="190"/>
    <s v="No"/>
    <s v="TikTok"/>
    <n v="30"/>
    <n v="4.0809059183818816E-2"/>
    <n v="0.16579406631762653"/>
    <n v="1.7764310645724257"/>
    <n v="10.714684210526316"/>
    <n v="10"/>
    <x v="1"/>
    <s v="October"/>
  </r>
  <r>
    <s v="CMP-00366"/>
    <s v="Q1_Launch_CMP-00366"/>
    <x v="3"/>
    <s v="Launch"/>
    <d v="2023-10-27T00:00:00"/>
    <d v="2023-10-30T00:00:00"/>
    <x v="0"/>
    <n v="97752"/>
    <n v="3582"/>
    <n v="4040.04"/>
    <n v="626"/>
    <s v="Yes"/>
    <s v="TikTok"/>
    <n v="3"/>
    <n v="3.6643751534495457E-2"/>
    <n v="0.17476270240089337"/>
    <n v="1.1278726968174204"/>
    <n v="6.4537380191693288"/>
    <n v="10"/>
    <x v="1"/>
    <s v="October"/>
  </r>
  <r>
    <s v="CMP-00033"/>
    <s v="Q2_BlackFriday_CMP-00033"/>
    <x v="0"/>
    <s v="BlackFriday"/>
    <d v="2023-10-27T00:00:00"/>
    <d v="2023-10-29T00:00:00"/>
    <x v="2"/>
    <n v="85654"/>
    <n v="2087"/>
    <n v="2393.02"/>
    <n v="122"/>
    <s v="No"/>
    <s v="IG"/>
    <n v="2"/>
    <n v="2.436547038083452E-2"/>
    <n v="5.8457115476760899E-2"/>
    <n v="1.1466315285098228"/>
    <n v="19.614918032786886"/>
    <n v="10"/>
    <x v="1"/>
    <s v="October"/>
  </r>
  <r>
    <s v="CMP-00088"/>
    <s v="Q2_BlackFriday_CMP-00088"/>
    <x v="0"/>
    <s v="BlackFriday"/>
    <d v="2023-10-27T00:00:00"/>
    <d v="2023-11-25T00:00:00"/>
    <x v="2"/>
    <n v="10268"/>
    <n v="123"/>
    <n v="64.03"/>
    <n v="8"/>
    <s v="No"/>
    <s v="IG"/>
    <n v="29"/>
    <n v="1.1978963770938839E-2"/>
    <n v="6.5040650406504072E-2"/>
    <n v="0.52056910569105697"/>
    <n v="8.0037500000000001"/>
    <n v="10"/>
    <x v="1"/>
    <s v="October"/>
  </r>
  <r>
    <s v="CMP-01446"/>
    <s v="Q2_Launch_CMP-01446"/>
    <x v="0"/>
    <s v="Launch"/>
    <d v="2023-10-27T00:00:00"/>
    <d v="2023-11-19T00:00:00"/>
    <x v="3"/>
    <n v="54302"/>
    <n v="1730"/>
    <n v="912.42"/>
    <n v="243"/>
    <s v="Yes"/>
    <s v="FB"/>
    <n v="23"/>
    <n v="3.1858863393613497E-2"/>
    <n v="0.14046242774566475"/>
    <n v="0.52741040462427746"/>
    <n v="3.7548148148148148"/>
    <n v="10"/>
    <x v="1"/>
    <s v="October"/>
  </r>
  <r>
    <s v="CMP-01874"/>
    <s v="Q3_Launch_CMP-01874"/>
    <x v="1"/>
    <s v="Launch"/>
    <d v="2023-10-27T00:00:00"/>
    <d v="2023-11-01T00:00:00"/>
    <x v="0"/>
    <n v="40110"/>
    <n v="960"/>
    <n v="1802.67"/>
    <n v="173"/>
    <s v="No"/>
    <s v="TikTok"/>
    <n v="5"/>
    <n v="2.3934181002243829E-2"/>
    <n v="0.18020833333333333"/>
    <n v="1.8777812500000002"/>
    <n v="10.420057803468209"/>
    <n v="10"/>
    <x v="1"/>
    <s v="October"/>
  </r>
  <r>
    <s v="CMP-00182"/>
    <s v="Q4_BlackFriday_CMP-00182"/>
    <x v="2"/>
    <s v="BlackFriday"/>
    <d v="2023-10-27T00:00:00"/>
    <d v="2023-11-16T00:00:00"/>
    <x v="1"/>
    <n v="62373"/>
    <n v="1994"/>
    <n v="1379.66"/>
    <n v="265"/>
    <s v="Yes"/>
    <s v="Email"/>
    <n v="20"/>
    <n v="3.1968960928606932E-2"/>
    <n v="0.13289869608826479"/>
    <n v="0.69190571715145444"/>
    <n v="5.2062641509433965"/>
    <n v="10"/>
    <x v="1"/>
    <s v="October"/>
  </r>
  <r>
    <s v="CMP-00903"/>
    <s v="Q1_Winstagramter_CMP-00903"/>
    <x v="3"/>
    <s v="Winstagramter"/>
    <d v="2023-10-29T00:00:00"/>
    <d v="2023-11-01T00:00:00"/>
    <x v="0"/>
    <n v="34434"/>
    <n v="1169"/>
    <n v="1935.48"/>
    <n v="144"/>
    <s v="Yes"/>
    <s v="TikTok"/>
    <n v="3"/>
    <n v="3.3949003891502585E-2"/>
    <n v="0.12318220701454234"/>
    <n v="1.6556715141146279"/>
    <n v="13.440833333333334"/>
    <n v="10"/>
    <x v="1"/>
    <s v="October"/>
  </r>
  <r>
    <s v="CMP-01183"/>
    <s v="Q1_Winstagramter_CMP-01183"/>
    <x v="3"/>
    <s v="Winstagramter"/>
    <d v="2023-10-29T00:00:00"/>
    <d v="2023-11-28T00:00:00"/>
    <x v="1"/>
    <n v="77077"/>
    <n v="1732"/>
    <n v="2356.86"/>
    <n v="140"/>
    <s v="Yes"/>
    <s v="Email"/>
    <n v="30"/>
    <n v="2.2471035458048447E-2"/>
    <n v="8.0831408775981523E-2"/>
    <n v="1.3607736720554273"/>
    <n v="16.834714285714288"/>
    <n v="10"/>
    <x v="1"/>
    <s v="October"/>
  </r>
  <r>
    <s v="CMP-01405"/>
    <s v="Q4_Launch_CMP-01405"/>
    <x v="2"/>
    <s v="Launch"/>
    <d v="2023-10-29T00:00:00"/>
    <d v="2023-11-04T00:00:00"/>
    <x v="2"/>
    <n v="98432"/>
    <n v="3276"/>
    <n v="5189.76"/>
    <n v="0"/>
    <s v="Yes"/>
    <s v="IG"/>
    <n v="6"/>
    <n v="3.328185955786736E-2"/>
    <n v="0"/>
    <n v="1.5841758241758241"/>
    <s v="0"/>
    <n v="10"/>
    <x v="1"/>
    <s v="October"/>
  </r>
  <r>
    <s v="CMP-00004"/>
    <s v="Q1_BlackFriday_CMP-00004"/>
    <x v="3"/>
    <s v="BlackFriday"/>
    <d v="2023-10-30T00:00:00"/>
    <d v="2023-11-03T00:00:00"/>
    <x v="0"/>
    <n v="55886"/>
    <n v="2019"/>
    <n v="2180.38"/>
    <n v="135"/>
    <s v="Yes"/>
    <s v="TikTok"/>
    <n v="4"/>
    <n v="3.6127115914540313E-2"/>
    <n v="6.6864784546805348E-2"/>
    <n v="1.0799306587419515"/>
    <n v="16.150962962962964"/>
    <n v="10"/>
    <x v="1"/>
    <s v="October"/>
  </r>
  <r>
    <s v="CMP-00775"/>
    <s v="Q3_Winstagramter_CMP-00775"/>
    <x v="1"/>
    <s v="Winstagramter"/>
    <d v="2023-10-30T00:00:00"/>
    <d v="2023-11-15T00:00:00"/>
    <x v="0"/>
    <n v="24793"/>
    <n v="691"/>
    <n v="1096.19"/>
    <n v="54"/>
    <s v="No"/>
    <s v="TikTok"/>
    <n v="16"/>
    <n v="2.7870769975396281E-2"/>
    <n v="7.8147612156295218E-2"/>
    <n v="1.5863820549927641"/>
    <n v="20.299814814814816"/>
    <n v="10"/>
    <x v="1"/>
    <s v="October"/>
  </r>
  <r>
    <s v="CMP-00220"/>
    <s v="Q1_Summer_CMP-00220"/>
    <x v="3"/>
    <s v="Summer"/>
    <d v="2023-10-31T00:00:00"/>
    <d v="2023-11-21T00:00:00"/>
    <x v="2"/>
    <n v="8392"/>
    <n v="209"/>
    <n v="364.49"/>
    <n v="17"/>
    <s v="Yes"/>
    <s v="IG"/>
    <n v="21"/>
    <n v="2.490467111534795E-2"/>
    <n v="8.1339712918660281E-2"/>
    <n v="1.7439712918660288"/>
    <n v="21.440588235294118"/>
    <n v="10"/>
    <x v="1"/>
    <s v="October"/>
  </r>
  <r>
    <s v="CMP-00989"/>
    <s v="Q1_BlackFriday_CMP-00989"/>
    <x v="3"/>
    <s v="BlackFriday"/>
    <d v="2023-10-31T00:00:00"/>
    <d v="2023-11-12T00:00:00"/>
    <x v="0"/>
    <n v="82449"/>
    <n v="1369"/>
    <n v="1923.45"/>
    <n v="183"/>
    <s v="Yes"/>
    <s v="TikTok"/>
    <n v="12"/>
    <n v="1.6604203810840643E-2"/>
    <n v="0.13367421475529584"/>
    <n v="1.4050036523009497"/>
    <n v="10.510655737704917"/>
    <n v="10"/>
    <x v="1"/>
    <s v="October"/>
  </r>
  <r>
    <s v="CMP-01975"/>
    <s v="Q1_Summer_CMP-01975"/>
    <x v="3"/>
    <s v="Summer"/>
    <d v="2023-10-31T00:00:00"/>
    <d v="2023-11-10T00:00:00"/>
    <x v="4"/>
    <n v="12653"/>
    <n v="148"/>
    <n v="209.31"/>
    <n v="15"/>
    <s v="No"/>
    <s v="Google Ads"/>
    <n v="10"/>
    <n v="1.1696830791116731E-2"/>
    <n v="0.10135135135135136"/>
    <n v="1.4142567567567568"/>
    <n v="13.954000000000001"/>
    <n v="10"/>
    <x v="1"/>
    <s v="October"/>
  </r>
  <r>
    <s v="CMP-01999"/>
    <s v="Q1_Launch_CMP-01999"/>
    <x v="3"/>
    <s v="Launch"/>
    <d v="2023-10-31T00:00:00"/>
    <d v="2023-11-24T00:00:00"/>
    <x v="2"/>
    <n v="3356"/>
    <n v="124"/>
    <n v="145.24"/>
    <n v="18"/>
    <s v="No"/>
    <s v="IG"/>
    <n v="24"/>
    <n v="3.6948748510131108E-2"/>
    <n v="0.14516129032258066"/>
    <n v="1.1712903225806452"/>
    <n v="8.068888888888889"/>
    <n v="10"/>
    <x v="1"/>
    <s v="October"/>
  </r>
  <r>
    <s v="CMP-00400"/>
    <s v="Q3_Summer_CMP-00400"/>
    <x v="1"/>
    <s v="Summer"/>
    <d v="2023-10-31T00:00:00"/>
    <d v="2023-11-13T00:00:00"/>
    <x v="0"/>
    <n v="30592"/>
    <n v="586"/>
    <n v="503.95"/>
    <n v="77"/>
    <s v="Yes"/>
    <s v="TikTok"/>
    <n v="13"/>
    <n v="1.9155334728033473E-2"/>
    <n v="0.13139931740614336"/>
    <n v="0.85998293515358359"/>
    <n v="6.5448051948051944"/>
    <n v="10"/>
    <x v="1"/>
    <s v="October"/>
  </r>
  <r>
    <s v="CMP-00191"/>
    <s v="Q4_Summer_CMP-00191"/>
    <x v="2"/>
    <s v="Summer"/>
    <d v="2023-10-31T00:00:00"/>
    <d v="2023-11-26T00:00:00"/>
    <x v="5"/>
    <n v="4748"/>
    <n v="171"/>
    <n v="192.26"/>
    <n v="19"/>
    <s v="Yes"/>
    <s v="Not specified"/>
    <n v="26"/>
    <n v="3.6015164279696713E-2"/>
    <n v="0.1111111111111111"/>
    <n v="1.1243274853801168"/>
    <n v="10.118947368421052"/>
    <n v="10"/>
    <x v="1"/>
    <s v="October"/>
  </r>
  <r>
    <s v="CMP-00765"/>
    <s v="Q1_Winstagramter_CMP-00765"/>
    <x v="3"/>
    <s v="Winstagramter"/>
    <d v="2023-11-01T00:00:00"/>
    <d v="2023-11-30T00:00:00"/>
    <x v="0"/>
    <n v="46445"/>
    <n v="811"/>
    <n v="1128.27"/>
    <n v="128"/>
    <s v="No"/>
    <s v="TikTok"/>
    <n v="29"/>
    <n v="1.7461513618258154E-2"/>
    <n v="0.15782983970406905"/>
    <n v="1.3912083847102343"/>
    <n v="8.8146093749999999"/>
    <n v="11"/>
    <x v="1"/>
    <s v="November"/>
  </r>
  <r>
    <s v="CMP-01799"/>
    <s v="Q2_Summer_CMP-01799"/>
    <x v="0"/>
    <s v="Summer"/>
    <d v="2023-11-01T00:00:00"/>
    <d v="2023-11-18T00:00:00"/>
    <x v="0"/>
    <n v="25860"/>
    <n v="873"/>
    <n v="520.15"/>
    <n v="52"/>
    <s v="Yes"/>
    <s v="TikTok"/>
    <n v="17"/>
    <n v="3.3758700696055688E-2"/>
    <n v="5.9564719358533788E-2"/>
    <n v="0.59581901489117983"/>
    <n v="10.002884615384614"/>
    <n v="11"/>
    <x v="1"/>
    <s v="November"/>
  </r>
  <r>
    <s v="CMP-00392"/>
    <s v="Q2_BlackFriday_CMP-00392"/>
    <x v="0"/>
    <s v="BlackFriday"/>
    <d v="2023-11-02T00:00:00"/>
    <d v="2023-11-23T00:00:00"/>
    <x v="0"/>
    <n v="67320"/>
    <n v="1132"/>
    <n v="717.1"/>
    <n v="154"/>
    <s v="No"/>
    <s v="TikTok"/>
    <n v="21"/>
    <n v="1.6815210932857993E-2"/>
    <n v="0.13604240282685512"/>
    <n v="0.63348056537102471"/>
    <n v="4.6564935064935069"/>
    <n v="11"/>
    <x v="1"/>
    <s v="November"/>
  </r>
  <r>
    <s v="CMP-01566"/>
    <s v="Q2_Winstagramter_CMP-01566"/>
    <x v="0"/>
    <s v="Winstagramter"/>
    <d v="2023-11-02T00:00:00"/>
    <d v="2023-11-20T00:00:00"/>
    <x v="0"/>
    <n v="16317"/>
    <n v="701"/>
    <n v="442.06"/>
    <n v="114"/>
    <s v="No"/>
    <s v="TikTok"/>
    <n v="18"/>
    <n v="4.2961328675614391E-2"/>
    <n v="0.16262482168330955"/>
    <n v="0.63061340941512123"/>
    <n v="3.8777192982456139"/>
    <n v="11"/>
    <x v="1"/>
    <s v="November"/>
  </r>
  <r>
    <s v="CMP-00924"/>
    <s v="Q4_Winstagramter_CMP-00924"/>
    <x v="2"/>
    <s v="Winstagramter"/>
    <d v="2023-11-02T00:00:00"/>
    <d v="2023-12-01T00:00:00"/>
    <x v="5"/>
    <n v="11488"/>
    <n v="129"/>
    <n v="154.81"/>
    <n v="12"/>
    <s v="Yes"/>
    <s v="Not specified"/>
    <n v="29"/>
    <n v="1.1229108635097493E-2"/>
    <n v="9.3023255813953487E-2"/>
    <n v="1.200077519379845"/>
    <n v="12.900833333333333"/>
    <n v="11"/>
    <x v="1"/>
    <s v="November"/>
  </r>
  <r>
    <s v="CMP-01458"/>
    <s v="Q4_BlackFriday_CMP-01458"/>
    <x v="2"/>
    <s v="BlackFriday"/>
    <d v="2023-11-02T00:00:00"/>
    <d v="2023-11-20T00:00:00"/>
    <x v="2"/>
    <n v="13112"/>
    <n v="476"/>
    <n v="551.19000000000005"/>
    <n v="79"/>
    <s v="No"/>
    <s v="IG"/>
    <n v="18"/>
    <n v="3.6302623550945698E-2"/>
    <n v="0.16596638655462184"/>
    <n v="1.1579621848739496"/>
    <n v="6.9770886075949372"/>
    <n v="11"/>
    <x v="1"/>
    <s v="November"/>
  </r>
  <r>
    <s v="CMP-00347"/>
    <s v="Q1_Summer_CMP-00347"/>
    <x v="3"/>
    <s v="Summer"/>
    <d v="2023-11-02T00:00:00"/>
    <d v="2023-11-07T00:00:00"/>
    <x v="4"/>
    <n v="95660"/>
    <n v="1767"/>
    <n v="1384.81"/>
    <n v="0"/>
    <s v="No"/>
    <s v="Google Ads"/>
    <n v="5"/>
    <n v="1.8471670499686389E-2"/>
    <n v="0"/>
    <n v="0.78370684776457267"/>
    <s v="0"/>
    <n v="11"/>
    <x v="1"/>
    <s v="November"/>
  </r>
  <r>
    <s v="CMP-00766"/>
    <s v="Q1_BlackFriday_CMP-00766"/>
    <x v="3"/>
    <s v="BlackFriday"/>
    <d v="2023-11-03T00:00:00"/>
    <d v="2023-11-28T00:00:00"/>
    <x v="2"/>
    <n v="6713"/>
    <n v="92"/>
    <n v="102.77"/>
    <n v="17"/>
    <s v="No"/>
    <s v="IG"/>
    <n v="25"/>
    <n v="1.3704751973782214E-2"/>
    <n v="0.18478260869565216"/>
    <n v="1.1170652173913043"/>
    <n v="6.0452941176470585"/>
    <n v="11"/>
    <x v="1"/>
    <s v="November"/>
  </r>
  <r>
    <s v="CMP-01570"/>
    <s v="Q1_Winstagramter_CMP-01570"/>
    <x v="3"/>
    <s v="Winstagramter"/>
    <d v="2023-11-03T00:00:00"/>
    <d v="2023-11-20T00:00:00"/>
    <x v="2"/>
    <n v="80273"/>
    <n v="1733"/>
    <n v="2280.56"/>
    <n v="295"/>
    <s v="No"/>
    <s v="IG"/>
    <n v="17"/>
    <n v="2.1588828124026758E-2"/>
    <n v="0.17022504327755339"/>
    <n v="1.3159607616849394"/>
    <n v="7.7307118644067794"/>
    <n v="11"/>
    <x v="1"/>
    <s v="November"/>
  </r>
  <r>
    <s v="CMP-00890"/>
    <s v="Q3_Winstagramter_CMP-00890"/>
    <x v="1"/>
    <s v="Winstagramter"/>
    <d v="2023-11-03T00:00:00"/>
    <d v="2023-11-17T00:00:00"/>
    <x v="3"/>
    <n v="46002"/>
    <n v="1628"/>
    <n v="1477.7"/>
    <n v="219"/>
    <s v="No"/>
    <s v="FB"/>
    <n v="14"/>
    <n v="3.5389765662362509E-2"/>
    <n v="0.13452088452088451"/>
    <n v="0.90767813267813269"/>
    <n v="6.747488584474886"/>
    <n v="11"/>
    <x v="1"/>
    <s v="November"/>
  </r>
  <r>
    <s v="CMP-00301"/>
    <s v="Q4_Summer_CMP-00301"/>
    <x v="2"/>
    <s v="Summer"/>
    <d v="2023-11-03T00:00:00"/>
    <d v="2023-11-28T00:00:00"/>
    <x v="1"/>
    <n v="62267"/>
    <n v="1675"/>
    <n v="971.96"/>
    <n v="230"/>
    <s v="Yes"/>
    <s v="Email"/>
    <n v="25"/>
    <n v="2.6900284259720238E-2"/>
    <n v="0.1373134328358209"/>
    <n v="0.58027462686567166"/>
    <n v="4.2259130434782612"/>
    <n v="11"/>
    <x v="1"/>
    <s v="November"/>
  </r>
  <r>
    <s v="CMP-01249"/>
    <s v="Q1_Summer_CMP-01249"/>
    <x v="3"/>
    <s v="Summer"/>
    <d v="2023-11-04T00:00:00"/>
    <d v="2023-11-29T00:00:00"/>
    <x v="0"/>
    <n v="20956"/>
    <n v="237"/>
    <n v="449.72"/>
    <n v="13"/>
    <s v="No"/>
    <s v="TikTok"/>
    <n v="25"/>
    <n v="1.1309410192784882E-2"/>
    <n v="5.4852320675105488E-2"/>
    <n v="1.8975527426160339"/>
    <n v="34.593846153846158"/>
    <n v="11"/>
    <x v="1"/>
    <s v="November"/>
  </r>
  <r>
    <s v="CMP-01533"/>
    <s v="Q1_BlackFriday_CMP-01533"/>
    <x v="3"/>
    <s v="BlackFriday"/>
    <d v="2023-11-04T00:00:00"/>
    <d v="2023-11-13T00:00:00"/>
    <x v="0"/>
    <n v="84441"/>
    <n v="3139"/>
    <n v="4849.26"/>
    <n v="263"/>
    <s v="No"/>
    <s v="TikTok"/>
    <n v="9"/>
    <n v="3.7173884724245328E-2"/>
    <n v="8.3784644791334822E-2"/>
    <n v="1.5448423064670278"/>
    <n v="18.438250950570342"/>
    <n v="11"/>
    <x v="1"/>
    <s v="November"/>
  </r>
  <r>
    <s v="CMP-01525"/>
    <s v="Q2_Launch_CMP-01525"/>
    <x v="0"/>
    <s v="Launch"/>
    <d v="2023-11-04T00:00:00"/>
    <d v="2023-11-20T00:00:00"/>
    <x v="3"/>
    <n v="45813"/>
    <n v="2065"/>
    <n v="2513.6"/>
    <n v="316"/>
    <s v="No"/>
    <s v="FB"/>
    <n v="16"/>
    <n v="4.5074542160522126E-2"/>
    <n v="0.15302663438256658"/>
    <n v="1.2172397094430993"/>
    <n v="7.9544303797468352"/>
    <n v="11"/>
    <x v="1"/>
    <s v="November"/>
  </r>
  <r>
    <s v="CMP-00572"/>
    <s v="Q2_Launch_CMP-00572"/>
    <x v="0"/>
    <s v="Launch"/>
    <d v="2023-11-05T00:00:00"/>
    <d v="2023-11-29T00:00:00"/>
    <x v="2"/>
    <n v="12338"/>
    <n v="389"/>
    <n v="332.87"/>
    <n v="74"/>
    <s v="Yes"/>
    <s v="IG"/>
    <n v="24"/>
    <n v="3.1528610795915062E-2"/>
    <n v="0.19023136246786632"/>
    <n v="0.85570694087403598"/>
    <n v="4.4982432432432429"/>
    <n v="11"/>
    <x v="1"/>
    <s v="November"/>
  </r>
  <r>
    <s v="CMP-00186"/>
    <s v="Q3_Summer_CMP-00186"/>
    <x v="1"/>
    <s v="Summer"/>
    <d v="2023-11-05T00:00:00"/>
    <d v="2023-11-07T00:00:00"/>
    <x v="2"/>
    <n v="10474"/>
    <n v="449"/>
    <n v="675.28"/>
    <n v="42"/>
    <s v="Yes"/>
    <s v="IG"/>
    <n v="2"/>
    <n v="4.2868054229520718E-2"/>
    <n v="9.3541202672605794E-2"/>
    <n v="1.5039643652561248"/>
    <n v="16.078095238095237"/>
    <n v="11"/>
    <x v="1"/>
    <s v="November"/>
  </r>
  <r>
    <s v="CMP-01142"/>
    <s v="Q4_BlackFriday_CMP-01142"/>
    <x v="2"/>
    <s v="BlackFriday"/>
    <d v="2023-11-05T00:00:00"/>
    <d v="2023-11-19T00:00:00"/>
    <x v="4"/>
    <n v="10446"/>
    <n v="483"/>
    <n v="555.97"/>
    <n v="0"/>
    <s v="Yes"/>
    <s v="Google Ads"/>
    <n v="14"/>
    <n v="4.6237794371051119E-2"/>
    <n v="0"/>
    <n v="1.1510766045548655"/>
    <s v="0"/>
    <n v="11"/>
    <x v="1"/>
    <s v="November"/>
  </r>
  <r>
    <s v="CMP-00621"/>
    <s v="Q1_Winstagramter_CMP-00621"/>
    <x v="3"/>
    <s v="Winstagramter"/>
    <d v="2023-11-06T00:00:00"/>
    <d v="2023-11-24T00:00:00"/>
    <x v="4"/>
    <n v="83637"/>
    <n v="3296"/>
    <n v="2027.74"/>
    <n v="589"/>
    <s v="Yes"/>
    <s v="Google Ads"/>
    <n v="18"/>
    <n v="3.9408395805684088E-2"/>
    <n v="0.1787014563106796"/>
    <n v="0.61521237864077671"/>
    <n v="3.4426825127334464"/>
    <n v="11"/>
    <x v="1"/>
    <s v="November"/>
  </r>
  <r>
    <s v="CMP-00849"/>
    <s v="Q2_BlackFriday_CMP-00849"/>
    <x v="0"/>
    <s v="BlackFriday"/>
    <d v="2023-11-06T00:00:00"/>
    <d v="2023-11-26T00:00:00"/>
    <x v="3"/>
    <n v="2252"/>
    <n v="29"/>
    <n v="34.68"/>
    <n v="5"/>
    <s v="Yes"/>
    <s v="FB"/>
    <n v="20"/>
    <n v="1.2877442273534635E-2"/>
    <n v="0.17241379310344829"/>
    <n v="1.1958620689655173"/>
    <n v="6.9359999999999999"/>
    <n v="11"/>
    <x v="1"/>
    <s v="November"/>
  </r>
  <r>
    <s v="CMP-01509"/>
    <s v="Q2_Winstagramter_CMP-01509"/>
    <x v="0"/>
    <s v="Winstagramter"/>
    <d v="2023-11-06T00:00:00"/>
    <d v="2023-12-06T00:00:00"/>
    <x v="3"/>
    <n v="71855"/>
    <n v="2140"/>
    <n v="1777.83"/>
    <n v="141"/>
    <s v="Yes"/>
    <s v="FB"/>
    <n v="30"/>
    <n v="2.9782200264421403E-2"/>
    <n v="6.5887850467289719E-2"/>
    <n v="0.83076168224299063"/>
    <n v="12.608723404255318"/>
    <n v="11"/>
    <x v="1"/>
    <s v="November"/>
  </r>
  <r>
    <s v="CMP-01836"/>
    <s v="Q3_Launch_CMP-01836"/>
    <x v="1"/>
    <s v="Launch"/>
    <d v="2023-11-06T00:00:00"/>
    <d v="2023-11-18T00:00:00"/>
    <x v="3"/>
    <n v="53930"/>
    <n v="1418"/>
    <n v="1246.1300000000001"/>
    <n v="164"/>
    <s v="Yes"/>
    <s v="FB"/>
    <n v="12"/>
    <n v="2.6293343222696088E-2"/>
    <n v="0.1156558533145275"/>
    <n v="0.87879407616361083"/>
    <n v="7.5983536585365856"/>
    <n v="11"/>
    <x v="1"/>
    <s v="November"/>
  </r>
  <r>
    <s v="CMP-00585"/>
    <s v="Q4_BlackFriday_CMP-00585"/>
    <x v="2"/>
    <s v="BlackFriday"/>
    <d v="2023-11-06T00:00:00"/>
    <d v="2023-11-21T00:00:00"/>
    <x v="2"/>
    <n v="86999"/>
    <n v="1303"/>
    <n v="2044.76"/>
    <n v="247"/>
    <s v="Yes"/>
    <s v="IG"/>
    <n v="15"/>
    <n v="1.4977183645789031E-2"/>
    <n v="0.18956254796623176"/>
    <n v="1.569270913277053"/>
    <n v="8.2783805668016193"/>
    <n v="11"/>
    <x v="1"/>
    <s v="November"/>
  </r>
  <r>
    <s v="CMP-00253"/>
    <s v="Q1_Winstagramter_CMP-00253"/>
    <x v="3"/>
    <s v="Winstagramter"/>
    <d v="2023-11-07T00:00:00"/>
    <d v="2023-12-01T00:00:00"/>
    <x v="3"/>
    <n v="96742"/>
    <n v="1961"/>
    <n v="3001.43"/>
    <n v="160"/>
    <s v="No"/>
    <s v="FB"/>
    <n v="24"/>
    <n v="2.0270409956378823E-2"/>
    <n v="8.1591024987251404E-2"/>
    <n v="1.5305609382967873"/>
    <n v="18.758937499999998"/>
    <n v="11"/>
    <x v="1"/>
    <s v="November"/>
  </r>
  <r>
    <s v="CMP-01375"/>
    <s v="Q2_Launch_CMP-01375"/>
    <x v="0"/>
    <s v="Launch"/>
    <d v="2023-11-07T00:00:00"/>
    <d v="2023-11-17T00:00:00"/>
    <x v="4"/>
    <n v="68642"/>
    <n v="2266"/>
    <n v="4087.33"/>
    <n v="190"/>
    <s v="No"/>
    <s v="Google Ads"/>
    <n v="10"/>
    <n v="3.3011858628827828E-2"/>
    <n v="8.3848190644307152E-2"/>
    <n v="1.8037643424536629"/>
    <n v="21.512263157894736"/>
    <n v="11"/>
    <x v="1"/>
    <s v="November"/>
  </r>
  <r>
    <s v="CMP-00731"/>
    <s v="Q3_Summer_CMP-00731"/>
    <x v="1"/>
    <s v="Summer"/>
    <d v="2023-11-07T00:00:00"/>
    <d v="2023-11-15T00:00:00"/>
    <x v="3"/>
    <n v="53638"/>
    <n v="2143"/>
    <n v="2653.78"/>
    <n v="124"/>
    <s v="Yes"/>
    <s v="FB"/>
    <n v="8"/>
    <n v="3.9953018382490026E-2"/>
    <n v="5.7862809146056932E-2"/>
    <n v="1.2383481101259917"/>
    <n v="21.401451612903227"/>
    <n v="11"/>
    <x v="1"/>
    <s v="November"/>
  </r>
  <r>
    <s v="CMP-00432"/>
    <s v="Q1_BlackFriday_CMP-00432"/>
    <x v="3"/>
    <s v="BlackFriday"/>
    <d v="2023-11-08T00:00:00"/>
    <d v="2023-12-02T00:00:00"/>
    <x v="4"/>
    <n v="69027"/>
    <n v="2474"/>
    <n v="4289.28"/>
    <n v="336"/>
    <s v="Yes"/>
    <s v="Google Ads"/>
    <n v="24"/>
    <n v="3.584104770597013E-2"/>
    <n v="0.13581244947453516"/>
    <n v="1.7337429264349231"/>
    <n v="12.765714285714285"/>
    <n v="11"/>
    <x v="1"/>
    <s v="November"/>
  </r>
  <r>
    <s v="CMP-01305"/>
    <s v="Q1_BlackFriday_CMP-01305"/>
    <x v="3"/>
    <s v="BlackFriday"/>
    <d v="2023-11-08T00:00:00"/>
    <d v="2023-11-17T00:00:00"/>
    <x v="1"/>
    <n v="41806"/>
    <n v="650"/>
    <n v="497.7"/>
    <n v="123"/>
    <s v="No"/>
    <s v="Email"/>
    <n v="9"/>
    <n v="1.5548007463043582E-2"/>
    <n v="0.18923076923076923"/>
    <n v="0.76569230769230767"/>
    <n v="4.0463414634146337"/>
    <n v="11"/>
    <x v="1"/>
    <s v="November"/>
  </r>
  <r>
    <s v="CMP-01006"/>
    <s v="Q3_Winstagramter_CMP-01006"/>
    <x v="1"/>
    <s v="Winstagramter"/>
    <d v="2023-11-08T00:00:00"/>
    <d v="2023-11-30T00:00:00"/>
    <x v="0"/>
    <n v="73303"/>
    <n v="1485"/>
    <n v="796.21"/>
    <n v="168"/>
    <s v="Yes"/>
    <s v="TikTok"/>
    <n v="22"/>
    <n v="2.025837960247193E-2"/>
    <n v="0.11313131313131314"/>
    <n v="0.53616835016835018"/>
    <n v="4.7393452380952379"/>
    <n v="11"/>
    <x v="1"/>
    <s v="November"/>
  </r>
  <r>
    <s v="CMP-01758"/>
    <s v="Q3_Summer_CMP-01758"/>
    <x v="1"/>
    <s v="Summer"/>
    <d v="2023-11-08T00:00:00"/>
    <d v="2023-11-13T00:00:00"/>
    <x v="1"/>
    <n v="96756"/>
    <n v="1162"/>
    <n v="2024.16"/>
    <n v="160"/>
    <s v="Yes"/>
    <s v="Email"/>
    <n v="5"/>
    <n v="1.2009591136466989E-2"/>
    <n v="0.13769363166953527"/>
    <n v="1.741962134251291"/>
    <n v="12.651"/>
    <n v="11"/>
    <x v="1"/>
    <s v="November"/>
  </r>
  <r>
    <s v="CMP-00023"/>
    <s v="Q4_Winstagramter_CMP-00023"/>
    <x v="2"/>
    <s v="Winstagramter"/>
    <d v="2023-11-08T00:00:00"/>
    <d v="2023-11-24T00:00:00"/>
    <x v="4"/>
    <n v="86305"/>
    <n v="2637"/>
    <n v="4726.22"/>
    <n v="216"/>
    <s v="No"/>
    <s v="Google Ads"/>
    <n v="16"/>
    <n v="3.0554429059730027E-2"/>
    <n v="8.191126279863481E-2"/>
    <n v="1.7922715206674251"/>
    <n v="21.880648148148151"/>
    <n v="11"/>
    <x v="1"/>
    <s v="November"/>
  </r>
  <r>
    <s v="CMP-00538"/>
    <s v="Q4_Winstagramter_CMP-00538"/>
    <x v="2"/>
    <s v="Winstagramter"/>
    <d v="2023-11-08T00:00:00"/>
    <d v="2023-12-07T00:00:00"/>
    <x v="4"/>
    <n v="12938"/>
    <n v="408"/>
    <n v="663.02"/>
    <n v="74"/>
    <s v="Yes"/>
    <s v="Google Ads"/>
    <n v="29"/>
    <n v="3.1535013139588806E-2"/>
    <n v="0.18137254901960784"/>
    <n v="1.6250490196078431"/>
    <n v="8.9597297297297303"/>
    <n v="11"/>
    <x v="1"/>
    <s v="November"/>
  </r>
  <r>
    <s v="CMP-00490"/>
    <s v="Q1_Summer_CMP-00490"/>
    <x v="3"/>
    <s v="Summer"/>
    <d v="2023-11-09T00:00:00"/>
    <d v="2023-12-07T00:00:00"/>
    <x v="1"/>
    <n v="85664"/>
    <n v="1637"/>
    <n v="2648.29"/>
    <n v="274"/>
    <s v="Yes"/>
    <s v="Email"/>
    <n v="28"/>
    <n v="1.9109544265969367E-2"/>
    <n v="0.16737935247403787"/>
    <n v="1.61777031154551"/>
    <n v="9.6652919708029188"/>
    <n v="11"/>
    <x v="1"/>
    <s v="November"/>
  </r>
  <r>
    <s v="CMP-00717"/>
    <s v="Q1_Summer_CMP-00717"/>
    <x v="3"/>
    <s v="Summer"/>
    <d v="2023-11-09T00:00:00"/>
    <d v="2023-11-13T00:00:00"/>
    <x v="5"/>
    <n v="35620"/>
    <n v="931"/>
    <n v="1088.96"/>
    <n v="109"/>
    <s v="Yes"/>
    <s v="Not specified"/>
    <n v="4"/>
    <n v="2.613700168444694E-2"/>
    <n v="0.11707841031149302"/>
    <n v="1.1696670247046188"/>
    <n v="9.9904587155963309"/>
    <n v="11"/>
    <x v="1"/>
    <s v="November"/>
  </r>
  <r>
    <s v="CMP-01921"/>
    <s v="Q1_BlackFriday_CMP-01921"/>
    <x v="3"/>
    <s v="BlackFriday"/>
    <d v="2023-11-09T00:00:00"/>
    <d v="2023-11-25T00:00:00"/>
    <x v="4"/>
    <n v="40499"/>
    <n v="1337"/>
    <n v="2551.42"/>
    <n v="100"/>
    <s v="Yes"/>
    <s v="Google Ads"/>
    <n v="16"/>
    <n v="3.301316081878565E-2"/>
    <n v="7.4794315632011971E-2"/>
    <n v="1.9083171278982798"/>
    <n v="25.514200000000002"/>
    <n v="11"/>
    <x v="1"/>
    <s v="November"/>
  </r>
  <r>
    <s v="CMP-00682"/>
    <s v="Q4_Summer_CMP-00682"/>
    <x v="2"/>
    <s v="Summer"/>
    <d v="2023-11-09T00:00:00"/>
    <d v="2023-11-24T00:00:00"/>
    <x v="4"/>
    <n v="90339"/>
    <n v="3986"/>
    <n v="6939.76"/>
    <n v="218"/>
    <s v="Yes"/>
    <s v="Google Ads"/>
    <n v="15"/>
    <n v="4.4122693410376473E-2"/>
    <n v="5.4691419969894628E-2"/>
    <n v="1.7410336176618164"/>
    <n v="31.833761467889911"/>
    <n v="11"/>
    <x v="1"/>
    <s v="November"/>
  </r>
  <r>
    <s v="CMP-01143"/>
    <s v="Q1_BlackFriday_CMP-01143"/>
    <x v="3"/>
    <s v="BlackFriday"/>
    <d v="2023-11-10T00:00:00"/>
    <d v="2023-12-01T00:00:00"/>
    <x v="5"/>
    <n v="1922"/>
    <n v="29"/>
    <n v="20.05"/>
    <n v="2"/>
    <s v="Yes"/>
    <s v="Not specified"/>
    <n v="21"/>
    <n v="1.5088449531737774E-2"/>
    <n v="6.8965517241379309E-2"/>
    <n v="0.69137931034482758"/>
    <n v="10.025"/>
    <n v="11"/>
    <x v="1"/>
    <s v="November"/>
  </r>
  <r>
    <s v="CMP-01913"/>
    <s v="Q2_BlackFriday_CMP-01913"/>
    <x v="0"/>
    <s v="BlackFriday"/>
    <d v="2023-11-10T00:00:00"/>
    <d v="2023-12-06T00:00:00"/>
    <x v="3"/>
    <n v="53648"/>
    <n v="2154"/>
    <n v="2080.92"/>
    <n v="359"/>
    <s v="No"/>
    <s v="FB"/>
    <n v="26"/>
    <n v="4.015061139278258E-2"/>
    <n v="0.16666666666666666"/>
    <n v="0.96607242339832877"/>
    <n v="5.7964345403899724"/>
    <n v="11"/>
    <x v="1"/>
    <s v="November"/>
  </r>
  <r>
    <s v="CMP-01031"/>
    <s v="Q3_Summer_CMP-01031"/>
    <x v="1"/>
    <s v="Summer"/>
    <d v="2023-11-10T00:00:00"/>
    <d v="2023-11-26T00:00:00"/>
    <x v="0"/>
    <n v="80239"/>
    <n v="3983"/>
    <n v="2117.09"/>
    <n v="385"/>
    <s v="No"/>
    <s v="TikTok"/>
    <n v="16"/>
    <n v="4.9639202881391842E-2"/>
    <n v="9.6660808435852369E-2"/>
    <n v="0.53153150891287981"/>
    <n v="5.4989350649350657"/>
    <n v="11"/>
    <x v="1"/>
    <s v="November"/>
  </r>
  <r>
    <s v="CMP-01678"/>
    <s v="Q3_BlackFriday_CMP-01678"/>
    <x v="1"/>
    <s v="BlackFriday"/>
    <d v="2023-11-10T00:00:00"/>
    <d v="2023-11-12T00:00:00"/>
    <x v="3"/>
    <n v="18674"/>
    <n v="920"/>
    <n v="576.28"/>
    <n v="93"/>
    <s v="No"/>
    <s v="FB"/>
    <n v="2"/>
    <n v="4.9266359644425405E-2"/>
    <n v="0.10108695652173913"/>
    <n v="0.62639130434782608"/>
    <n v="6.196559139784946"/>
    <n v="11"/>
    <x v="1"/>
    <s v="November"/>
  </r>
  <r>
    <s v="CMP-01848"/>
    <s v="Q3_Winstagramter_CMP-01848"/>
    <x v="1"/>
    <s v="Winstagramter"/>
    <d v="2023-11-10T00:00:00"/>
    <d v="2023-12-05T00:00:00"/>
    <x v="2"/>
    <n v="33196"/>
    <n v="1583"/>
    <n v="1508.15"/>
    <n v="0"/>
    <s v="No"/>
    <s v="IG"/>
    <n v="25"/>
    <n v="4.7686468249186646E-2"/>
    <n v="0"/>
    <n v="0.95271636133922932"/>
    <s v="0"/>
    <n v="11"/>
    <x v="1"/>
    <s v="November"/>
  </r>
  <r>
    <s v="CMP-01871"/>
    <s v="Q3_Winstagramter_CMP-01871"/>
    <x v="1"/>
    <s v="Winstagramter"/>
    <d v="2023-11-10T00:00:00"/>
    <d v="2023-12-04T00:00:00"/>
    <x v="0"/>
    <n v="83970"/>
    <n v="3874"/>
    <n v="3344.76"/>
    <n v="347"/>
    <s v="No"/>
    <s v="TikTok"/>
    <n v="24"/>
    <n v="4.6135524592116235E-2"/>
    <n v="8.9571502323180174E-2"/>
    <n v="0.8633866804336604"/>
    <n v="9.6390778097982714"/>
    <n v="11"/>
    <x v="1"/>
    <s v="November"/>
  </r>
  <r>
    <s v="CMP-01849"/>
    <s v="Q4_Launch_CMP-01849"/>
    <x v="2"/>
    <s v="Launch"/>
    <d v="2023-11-10T00:00:00"/>
    <d v="2023-11-26T00:00:00"/>
    <x v="0"/>
    <n v="6626"/>
    <n v="264"/>
    <n v="146.81"/>
    <n v="39"/>
    <s v="Yes"/>
    <s v="TikTok"/>
    <n v="16"/>
    <n v="3.9843042559613642E-2"/>
    <n v="0.14772727272727273"/>
    <n v="0.5560984848484849"/>
    <n v="3.7643589743589745"/>
    <n v="11"/>
    <x v="1"/>
    <s v="November"/>
  </r>
  <r>
    <s v="CMP-00917"/>
    <s v="Q1_Launch_CMP-00917"/>
    <x v="3"/>
    <s v="Launch"/>
    <d v="2023-11-11T00:00:00"/>
    <d v="2023-11-20T00:00:00"/>
    <x v="2"/>
    <n v="19777"/>
    <n v="651"/>
    <n v="686.83"/>
    <n v="73"/>
    <s v="Yes"/>
    <s v="IG"/>
    <n v="9"/>
    <n v="3.2917024826819033E-2"/>
    <n v="0.11213517665130568"/>
    <n v="1.0550384024577573"/>
    <n v="9.4086301369863019"/>
    <n v="11"/>
    <x v="1"/>
    <s v="November"/>
  </r>
  <r>
    <s v="CMP-01126"/>
    <s v="Q1_Launch_CMP-01126"/>
    <x v="3"/>
    <s v="Launch"/>
    <d v="2023-11-11T00:00:00"/>
    <d v="2023-12-11T00:00:00"/>
    <x v="0"/>
    <n v="12302"/>
    <n v="204"/>
    <n v="122.8"/>
    <n v="25"/>
    <s v="Yes"/>
    <s v="TikTok"/>
    <n v="30"/>
    <n v="1.6582669484636645E-2"/>
    <n v="0.12254901960784313"/>
    <n v="0.60196078431372546"/>
    <n v="4.9119999999999999"/>
    <n v="11"/>
    <x v="1"/>
    <s v="November"/>
  </r>
  <r>
    <s v="CMP-01492"/>
    <s v="Q1_BlackFriday_CMP-01492"/>
    <x v="3"/>
    <s v="BlackFriday"/>
    <d v="2023-11-11T00:00:00"/>
    <d v="2023-11-18T00:00:00"/>
    <x v="1"/>
    <n v="50481"/>
    <n v="1266"/>
    <n v="1783.65"/>
    <n v="217"/>
    <s v="Yes"/>
    <s v="Email"/>
    <n v="7"/>
    <n v="2.5078742497177155E-2"/>
    <n v="0.17140600315955767"/>
    <n v="1.4088862559241706"/>
    <n v="8.2195852534562217"/>
    <n v="11"/>
    <x v="1"/>
    <s v="November"/>
  </r>
  <r>
    <s v="CMP-01602"/>
    <s v="Q1_Winstagramter_CMP-01602"/>
    <x v="3"/>
    <s v="Winstagramter"/>
    <d v="2023-11-11T00:00:00"/>
    <d v="2023-11-21T00:00:00"/>
    <x v="4"/>
    <n v="11816"/>
    <n v="374"/>
    <n v="460.42"/>
    <n v="67"/>
    <s v="No"/>
    <s v="Google Ads"/>
    <n v="10"/>
    <n v="3.1651997291807718E-2"/>
    <n v="0.17914438502673796"/>
    <n v="1.2310695187165777"/>
    <n v="6.8719402985074627"/>
    <n v="11"/>
    <x v="1"/>
    <s v="November"/>
  </r>
  <r>
    <s v="CMP-00401"/>
    <s v="Q2_Winstagramter_CMP-00401"/>
    <x v="0"/>
    <s v="Winstagramter"/>
    <d v="2023-11-11T00:00:00"/>
    <d v="2023-11-17T00:00:00"/>
    <x v="0"/>
    <n v="11647"/>
    <n v="224"/>
    <n v="350.6"/>
    <n v="14"/>
    <s v="Yes"/>
    <s v="TikTok"/>
    <n v="6"/>
    <n v="1.9232420365759423E-2"/>
    <n v="6.25E-2"/>
    <n v="1.5651785714285715"/>
    <n v="25.042857142857144"/>
    <n v="11"/>
    <x v="1"/>
    <s v="November"/>
  </r>
  <r>
    <s v="CMP-00431"/>
    <s v="Q2_Launch_CMP-00431"/>
    <x v="0"/>
    <s v="Launch"/>
    <d v="2023-11-11T00:00:00"/>
    <d v="2023-11-15T00:00:00"/>
    <x v="1"/>
    <n v="16338"/>
    <n v="337"/>
    <n v="604.82000000000005"/>
    <n v="20"/>
    <s v="Yes"/>
    <s v="Email"/>
    <n v="4"/>
    <n v="2.0626759701309831E-2"/>
    <n v="5.9347181008902079E-2"/>
    <n v="1.7947181008902078"/>
    <n v="30.241000000000003"/>
    <n v="11"/>
    <x v="1"/>
    <s v="November"/>
  </r>
  <r>
    <s v="CMP-00729"/>
    <s v="Q2_BlackFriday_CMP-00729"/>
    <x v="0"/>
    <s v="BlackFriday"/>
    <d v="2023-11-11T00:00:00"/>
    <d v="2023-11-17T00:00:00"/>
    <x v="0"/>
    <n v="53528"/>
    <n v="2380"/>
    <n v="2095.3000000000002"/>
    <n v="406"/>
    <s v="Yes"/>
    <s v="TikTok"/>
    <n v="6"/>
    <n v="4.4462711104468693E-2"/>
    <n v="0.17058823529411765"/>
    <n v="0.88037815126050423"/>
    <n v="5.1608374384236457"/>
    <n v="11"/>
    <x v="1"/>
    <s v="November"/>
  </r>
  <r>
    <s v="CMP-01571"/>
    <s v="Q2_Launch_CMP-01571"/>
    <x v="0"/>
    <s v="Launch"/>
    <d v="2023-11-11T00:00:00"/>
    <d v="2023-12-11T00:00:00"/>
    <x v="1"/>
    <n v="75859"/>
    <n v="3583"/>
    <n v="3036.23"/>
    <n v="0"/>
    <s v="Yes"/>
    <s v="Email"/>
    <n v="30"/>
    <n v="4.7232365309323877E-2"/>
    <n v="0"/>
    <n v="0.84739882779793474"/>
    <s v="0"/>
    <n v="11"/>
    <x v="1"/>
    <s v="November"/>
  </r>
  <r>
    <s v="CMP-00481"/>
    <s v="Q4_Summer_CMP-00481"/>
    <x v="2"/>
    <s v="Summer"/>
    <d v="2023-11-11T00:00:00"/>
    <d v="2023-11-17T00:00:00"/>
    <x v="2"/>
    <n v="10662"/>
    <n v="282"/>
    <n v="189.94"/>
    <n v="35"/>
    <s v="Yes"/>
    <s v="IG"/>
    <n v="6"/>
    <n v="2.6449071468767585E-2"/>
    <n v="0.12411347517730496"/>
    <n v="0.67354609929078013"/>
    <n v="5.426857142857143"/>
    <n v="11"/>
    <x v="1"/>
    <s v="November"/>
  </r>
  <r>
    <s v="CMP-00151"/>
    <s v="Q1_Launch_CMP-00151"/>
    <x v="3"/>
    <s v="Launch"/>
    <d v="2023-11-12T00:00:00"/>
    <d v="2023-11-24T00:00:00"/>
    <x v="4"/>
    <n v="72910"/>
    <n v="1654"/>
    <n v="3192.72"/>
    <n v="192"/>
    <s v="Yes"/>
    <s v="Google Ads"/>
    <n v="12"/>
    <n v="2.2685502674530244E-2"/>
    <n v="0.11608222490931076"/>
    <n v="1.9303022974607011"/>
    <n v="16.62875"/>
    <n v="11"/>
    <x v="1"/>
    <s v="November"/>
  </r>
  <r>
    <s v="CMP-00695"/>
    <s v="Q2_Summer_CMP-00695"/>
    <x v="0"/>
    <s v="Summer"/>
    <d v="2023-11-12T00:00:00"/>
    <d v="2023-11-17T00:00:00"/>
    <x v="2"/>
    <n v="87769"/>
    <n v="2258"/>
    <n v="3806.49"/>
    <n v="439"/>
    <s v="Yes"/>
    <s v="IG"/>
    <n v="5"/>
    <n v="2.5726623295240916E-2"/>
    <n v="0.19441984056687334"/>
    <n v="1.6857794508414525"/>
    <n v="8.6708200455580862"/>
    <n v="11"/>
    <x v="1"/>
    <s v="November"/>
  </r>
  <r>
    <s v="CMP-01471"/>
    <s v="Q2_Summer_CMP-01471"/>
    <x v="0"/>
    <s v="Summer"/>
    <d v="2023-11-12T00:00:00"/>
    <d v="2023-11-13T00:00:00"/>
    <x v="5"/>
    <n v="1060"/>
    <n v="11"/>
    <n v="17.350000000000001"/>
    <n v="0"/>
    <s v="No"/>
    <s v="Not specified"/>
    <n v="1"/>
    <n v="1.0377358490566037E-2"/>
    <n v="0"/>
    <n v="1.5772727272727274"/>
    <s v="0"/>
    <n v="11"/>
    <x v="1"/>
    <s v="November"/>
  </r>
  <r>
    <s v="CMP-01794"/>
    <s v="Q2_Summer_CMP-01794"/>
    <x v="0"/>
    <s v="Summer"/>
    <d v="2023-11-12T00:00:00"/>
    <d v="2023-11-15T00:00:00"/>
    <x v="3"/>
    <n v="21953"/>
    <n v="1019"/>
    <n v="1150.1500000000001"/>
    <n v="126"/>
    <s v="Yes"/>
    <s v="FB"/>
    <n v="3"/>
    <n v="4.6417346148590173E-2"/>
    <n v="0.12365063788027478"/>
    <n v="1.1287046123650639"/>
    <n v="9.1281746031746032"/>
    <n v="11"/>
    <x v="1"/>
    <s v="November"/>
  </r>
  <r>
    <s v="CMP-01462"/>
    <s v="Q4_Summer_CMP-01462"/>
    <x v="2"/>
    <s v="Summer"/>
    <d v="2023-11-12T00:00:00"/>
    <d v="2023-12-11T00:00:00"/>
    <x v="0"/>
    <n v="67017"/>
    <n v="1760"/>
    <n v="2297.79"/>
    <n v="0"/>
    <s v="Yes"/>
    <s v="TikTok"/>
    <n v="29"/>
    <n v="2.6261993225599474E-2"/>
    <n v="0"/>
    <n v="1.3055625"/>
    <s v="0"/>
    <n v="11"/>
    <x v="1"/>
    <s v="November"/>
  </r>
  <r>
    <s v="CMP-01983"/>
    <s v="Q4_BlackFriday_CMP-01983"/>
    <x v="2"/>
    <s v="BlackFriday"/>
    <d v="2023-11-12T00:00:00"/>
    <d v="2023-11-20T00:00:00"/>
    <x v="3"/>
    <n v="96081"/>
    <n v="1134"/>
    <n v="1396.08"/>
    <n v="131"/>
    <s v="No"/>
    <s v="FB"/>
    <n v="8"/>
    <n v="1.1802541605520342E-2"/>
    <n v="0.11552028218694885"/>
    <n v="1.231111111111111"/>
    <n v="10.657099236641221"/>
    <n v="11"/>
    <x v="1"/>
    <s v="November"/>
  </r>
  <r>
    <s v="CMP-00926"/>
    <s v="Q1_BlackFriday_CMP-00926"/>
    <x v="3"/>
    <s v="BlackFriday"/>
    <d v="2023-11-13T00:00:00"/>
    <d v="2023-11-23T00:00:00"/>
    <x v="0"/>
    <n v="6240"/>
    <n v="78"/>
    <n v="58.43"/>
    <n v="0"/>
    <s v="Yes"/>
    <s v="TikTok"/>
    <n v="10"/>
    <n v="1.2500000000000001E-2"/>
    <n v="0"/>
    <n v="0.74910256410256415"/>
    <s v="0"/>
    <n v="11"/>
    <x v="1"/>
    <s v="November"/>
  </r>
  <r>
    <s v="CMP-01338"/>
    <s v="Q1_Winstagramter_CMP-01338"/>
    <x v="3"/>
    <s v="Winstagramter"/>
    <d v="2023-11-13T00:00:00"/>
    <d v="2023-11-26T00:00:00"/>
    <x v="1"/>
    <n v="55771"/>
    <n v="1438"/>
    <n v="2733.35"/>
    <n v="87"/>
    <s v="Yes"/>
    <s v="Email"/>
    <n v="13"/>
    <n v="2.5784009610729592E-2"/>
    <n v="6.0500695410292071E-2"/>
    <n v="1.9007997218358832"/>
    <n v="31.417816091954023"/>
    <n v="11"/>
    <x v="1"/>
    <s v="November"/>
  </r>
  <r>
    <s v="CMP-01422"/>
    <s v="Q1_Launch_CMP-01422"/>
    <x v="3"/>
    <s v="Launch"/>
    <d v="2023-11-13T00:00:00"/>
    <d v="2023-11-19T00:00:00"/>
    <x v="0"/>
    <n v="60052"/>
    <n v="2777"/>
    <n v="3272.15"/>
    <n v="440"/>
    <s v="Yes"/>
    <s v="TikTok"/>
    <n v="6"/>
    <n v="4.624325584493439E-2"/>
    <n v="0.15844436442203816"/>
    <n v="1.1783039250990277"/>
    <n v="7.4367045454545453"/>
    <n v="11"/>
    <x v="1"/>
    <s v="November"/>
  </r>
  <r>
    <s v="CMP-00016"/>
    <s v="Q2_BlackFriday_CMP-00016"/>
    <x v="0"/>
    <s v="BlackFriday"/>
    <d v="2023-11-13T00:00:00"/>
    <d v="2023-11-23T00:00:00"/>
    <x v="1"/>
    <n v="60735"/>
    <n v="1617"/>
    <n v="1552.9"/>
    <n v="228"/>
    <s v="Yes"/>
    <s v="Email"/>
    <n v="10"/>
    <n v="2.6623857742652506E-2"/>
    <n v="0.14100185528756956"/>
    <n v="0.96035868893011755"/>
    <n v="6.8109649122807019"/>
    <n v="11"/>
    <x v="1"/>
    <s v="November"/>
  </r>
  <r>
    <s v="CMP-01207"/>
    <s v="Q2_Launch_CMP-01207"/>
    <x v="0"/>
    <s v="Launch"/>
    <d v="2023-11-13T00:00:00"/>
    <d v="2023-11-16T00:00:00"/>
    <x v="2"/>
    <n v="45327"/>
    <n v="1072"/>
    <n v="1491.23"/>
    <n v="202"/>
    <s v="Yes"/>
    <s v="IG"/>
    <n v="3"/>
    <n v="2.3650362918348888E-2"/>
    <n v="0.18843283582089551"/>
    <n v="1.3910727611940299"/>
    <n v="7.3823267326732678"/>
    <n v="11"/>
    <x v="1"/>
    <s v="November"/>
  </r>
  <r>
    <s v="CMP-01353"/>
    <s v="Q2_Launch_CMP-01353"/>
    <x v="0"/>
    <s v="Launch"/>
    <d v="2023-11-13T00:00:00"/>
    <d v="2023-12-01T00:00:00"/>
    <x v="0"/>
    <n v="51460"/>
    <n v="720"/>
    <n v="1110.8"/>
    <n v="130"/>
    <s v="Yes"/>
    <s v="TikTok"/>
    <n v="18"/>
    <n v="1.3991449669646328E-2"/>
    <n v="0.18055555555555555"/>
    <n v="1.5427777777777778"/>
    <n v="8.5446153846153834"/>
    <n v="11"/>
    <x v="1"/>
    <s v="November"/>
  </r>
  <r>
    <s v="CMP-00510"/>
    <s v="Q4_Launch_CMP-00510"/>
    <x v="2"/>
    <s v="Launch"/>
    <d v="2023-11-13T00:00:00"/>
    <d v="2023-12-02T00:00:00"/>
    <x v="0"/>
    <n v="27646"/>
    <n v="398"/>
    <n v="604.48"/>
    <n v="62"/>
    <s v="Yes"/>
    <s v="TikTok"/>
    <n v="19"/>
    <n v="1.4396296028358534E-2"/>
    <n v="0.15577889447236182"/>
    <n v="1.5187939698492463"/>
    <n v="9.749677419354839"/>
    <n v="11"/>
    <x v="1"/>
    <s v="November"/>
  </r>
  <r>
    <s v="CMP-00123"/>
    <s v="Q1_BlackFriday_CMP-00123"/>
    <x v="3"/>
    <s v="BlackFriday"/>
    <d v="2023-11-14T00:00:00"/>
    <d v="2023-11-25T00:00:00"/>
    <x v="3"/>
    <n v="36222"/>
    <n v="715"/>
    <n v="1250.71"/>
    <n v="112"/>
    <s v="Yes"/>
    <s v="FB"/>
    <n v="11"/>
    <n v="1.9739384904201865E-2"/>
    <n v="0.15664335664335666"/>
    <n v="1.7492447552447552"/>
    <n v="11.167053571428571"/>
    <n v="11"/>
    <x v="1"/>
    <s v="November"/>
  </r>
  <r>
    <s v="CMP-01727"/>
    <s v="Q2_Summer_CMP-01727"/>
    <x v="0"/>
    <s v="Summer"/>
    <d v="2023-11-14T00:00:00"/>
    <d v="2023-12-04T00:00:00"/>
    <x v="2"/>
    <n v="52756"/>
    <n v="1983"/>
    <n v="2498.64"/>
    <n v="237"/>
    <s v="Yes"/>
    <s v="IG"/>
    <n v="20"/>
    <n v="3.7588141633179167E-2"/>
    <n v="0.11951588502269289"/>
    <n v="1.2600302571860815"/>
    <n v="10.542784810126582"/>
    <n v="11"/>
    <x v="1"/>
    <s v="November"/>
  </r>
  <r>
    <s v="CMP-01804"/>
    <s v="Q2_Launch_CMP-01804"/>
    <x v="0"/>
    <s v="Launch"/>
    <d v="2023-11-14T00:00:00"/>
    <d v="2023-12-12T00:00:00"/>
    <x v="3"/>
    <n v="22427"/>
    <n v="666"/>
    <n v="1084.02"/>
    <n v="88"/>
    <s v="Yes"/>
    <s v="FB"/>
    <n v="28"/>
    <n v="2.9696348151781335E-2"/>
    <n v="0.13213213213213212"/>
    <n v="1.6276576576576576"/>
    <n v="12.318409090909091"/>
    <n v="11"/>
    <x v="1"/>
    <s v="November"/>
  </r>
  <r>
    <s v="CMP-01897"/>
    <s v="Q2_Launch_CMP-01897"/>
    <x v="0"/>
    <s v="Launch"/>
    <d v="2023-11-14T00:00:00"/>
    <d v="2023-12-13T00:00:00"/>
    <x v="3"/>
    <n v="83503"/>
    <n v="3281"/>
    <n v="6335.34"/>
    <n v="289"/>
    <s v="No"/>
    <s v="FB"/>
    <n v="29"/>
    <n v="3.9292001484976587E-2"/>
    <n v="8.8082901554404139E-2"/>
    <n v="1.9309174032307224"/>
    <n v="21.921591695501732"/>
    <n v="11"/>
    <x v="1"/>
    <s v="November"/>
  </r>
  <r>
    <s v="CMP-01357"/>
    <s v="Q3_Winstagramter_CMP-01357"/>
    <x v="1"/>
    <s v="Winstagramter"/>
    <d v="2023-11-14T00:00:00"/>
    <d v="2023-12-10T00:00:00"/>
    <x v="3"/>
    <n v="24236"/>
    <n v="1055"/>
    <n v="2074.54"/>
    <n v="0"/>
    <s v="No"/>
    <s v="FB"/>
    <n v="26"/>
    <n v="4.3530285525664299E-2"/>
    <n v="0"/>
    <n v="1.966388625592417"/>
    <s v="0"/>
    <n v="11"/>
    <x v="1"/>
    <s v="November"/>
  </r>
  <r>
    <s v="CMP-00670"/>
    <s v="Q4_Launch_CMP-00670"/>
    <x v="2"/>
    <s v="Launch"/>
    <d v="2023-11-14T00:00:00"/>
    <d v="2023-11-26T00:00:00"/>
    <x v="0"/>
    <n v="29295"/>
    <n v="624"/>
    <n v="961.4"/>
    <n v="50"/>
    <s v="No"/>
    <s v="TikTok"/>
    <n v="12"/>
    <n v="2.1300563236047107E-2"/>
    <n v="8.0128205128205135E-2"/>
    <n v="1.5407051282051281"/>
    <n v="19.227999999999998"/>
    <n v="11"/>
    <x v="1"/>
    <s v="November"/>
  </r>
  <r>
    <s v="CMP-01101"/>
    <s v="Q4_Summer_CMP-01101"/>
    <x v="2"/>
    <s v="Summer"/>
    <d v="2023-11-14T00:00:00"/>
    <d v="2023-12-03T00:00:00"/>
    <x v="4"/>
    <n v="15060"/>
    <n v="436"/>
    <n v="621.86"/>
    <n v="54"/>
    <s v="No"/>
    <s v="Google Ads"/>
    <n v="19"/>
    <n v="2.895086321381142E-2"/>
    <n v="0.12385321100917432"/>
    <n v="1.4262844036697249"/>
    <n v="11.515925925925925"/>
    <n v="11"/>
    <x v="1"/>
    <s v="November"/>
  </r>
  <r>
    <s v="CMP-01683"/>
    <s v="Q3_BlackFriday_CMP-01683"/>
    <x v="1"/>
    <s v="BlackFriday"/>
    <d v="2023-11-15T00:00:00"/>
    <d v="2023-11-25T00:00:00"/>
    <x v="2"/>
    <n v="66160"/>
    <n v="713"/>
    <n v="1147.79"/>
    <n v="37"/>
    <s v="Yes"/>
    <s v="IG"/>
    <n v="10"/>
    <n v="1.0776904474002418E-2"/>
    <n v="5.1893408134642355E-2"/>
    <n v="1.6098036465638148"/>
    <n v="31.021351351351349"/>
    <n v="11"/>
    <x v="1"/>
    <s v="November"/>
  </r>
  <r>
    <s v="CMP-00099"/>
    <s v="Q4_BlackFriday_CMP-00099"/>
    <x v="2"/>
    <s v="BlackFriday"/>
    <d v="2023-11-15T00:00:00"/>
    <d v="2023-12-11T00:00:00"/>
    <x v="2"/>
    <n v="41774"/>
    <n v="446"/>
    <n v="850.8"/>
    <n v="74"/>
    <s v="No"/>
    <s v="IG"/>
    <n v="26"/>
    <n v="1.0676497342844832E-2"/>
    <n v="0.16591928251121077"/>
    <n v="1.9076233183856501"/>
    <n v="11.497297297297298"/>
    <n v="11"/>
    <x v="1"/>
    <s v="November"/>
  </r>
  <r>
    <s v="CMP-00190"/>
    <s v="Q4_Summer_CMP-00190"/>
    <x v="2"/>
    <s v="Summer"/>
    <d v="2023-11-15T00:00:00"/>
    <d v="2023-12-02T00:00:00"/>
    <x v="3"/>
    <n v="95856"/>
    <n v="4618"/>
    <n v="7777.24"/>
    <n v="0"/>
    <s v="Yes"/>
    <s v="FB"/>
    <n v="17"/>
    <n v="4.8176431313637122E-2"/>
    <n v="0"/>
    <n v="1.6841143352100476"/>
    <s v="0"/>
    <n v="11"/>
    <x v="1"/>
    <s v="November"/>
  </r>
  <r>
    <s v="CMP-01918"/>
    <s v="Q2_BlackFriday_CMP-01918"/>
    <x v="0"/>
    <s v="BlackFriday"/>
    <d v="2023-11-16T00:00:00"/>
    <d v="2023-11-22T00:00:00"/>
    <x v="2"/>
    <n v="47167"/>
    <n v="855"/>
    <n v="1115.1199999999999"/>
    <n v="49"/>
    <s v="Yes"/>
    <s v="IG"/>
    <n v="6"/>
    <n v="1.812708037399029E-2"/>
    <n v="5.7309941520467839E-2"/>
    <n v="1.3042339181286549"/>
    <n v="22.757551020408162"/>
    <n v="11"/>
    <x v="1"/>
    <s v="November"/>
  </r>
  <r>
    <s v="CMP-00512"/>
    <s v="Q3_Launch_CMP-00512"/>
    <x v="1"/>
    <s v="Launch"/>
    <d v="2023-11-16T00:00:00"/>
    <d v="2023-11-20T00:00:00"/>
    <x v="0"/>
    <n v="80605"/>
    <n v="1112"/>
    <n v="1257.83"/>
    <n v="207"/>
    <s v="No"/>
    <s v="TikTok"/>
    <n v="4"/>
    <n v="1.3795670243781403E-2"/>
    <n v="0.18615107913669066"/>
    <n v="1.1311420863309352"/>
    <n v="6.0764734299516903"/>
    <n v="11"/>
    <x v="1"/>
    <s v="November"/>
  </r>
  <r>
    <s v="CMP-00652"/>
    <s v="Q3_Summer_CMP-00652"/>
    <x v="1"/>
    <s v="Summer"/>
    <d v="2023-11-16T00:00:00"/>
    <d v="2023-11-30T00:00:00"/>
    <x v="4"/>
    <n v="24625"/>
    <n v="701"/>
    <n v="782.14"/>
    <n v="63"/>
    <s v="Yes"/>
    <s v="Google Ads"/>
    <n v="14"/>
    <n v="2.8467005076142131E-2"/>
    <n v="8.98716119828816E-2"/>
    <n v="1.1157489300998573"/>
    <n v="12.414920634920636"/>
    <n v="11"/>
    <x v="1"/>
    <s v="November"/>
  </r>
  <r>
    <s v="CMP-00290"/>
    <s v="Q1_BlackFriday_CMP-00290"/>
    <x v="3"/>
    <s v="BlackFriday"/>
    <d v="2023-11-17T00:00:00"/>
    <d v="2023-11-23T00:00:00"/>
    <x v="5"/>
    <n v="52407"/>
    <n v="1284"/>
    <n v="1746.03"/>
    <n v="150"/>
    <s v="No"/>
    <s v="Not specified"/>
    <n v="6"/>
    <n v="2.4500543820481998E-2"/>
    <n v="0.11682242990654206"/>
    <n v="1.3598364485981309"/>
    <n v="11.6402"/>
    <n v="11"/>
    <x v="1"/>
    <s v="November"/>
  </r>
  <r>
    <s v="CMP-00872"/>
    <s v="Q1_BlackFriday_CMP-00872"/>
    <x v="3"/>
    <s v="BlackFriday"/>
    <d v="2023-11-17T00:00:00"/>
    <d v="2023-11-21T00:00:00"/>
    <x v="3"/>
    <n v="43318"/>
    <n v="1148"/>
    <n v="1945.59"/>
    <n v="162"/>
    <s v="Yes"/>
    <s v="FB"/>
    <n v="4"/>
    <n v="2.6501685211690291E-2"/>
    <n v="0.14111498257839722"/>
    <n v="1.6947648083623692"/>
    <n v="12.009814814814815"/>
    <n v="11"/>
    <x v="1"/>
    <s v="November"/>
  </r>
  <r>
    <s v="CMP-00978"/>
    <s v="Q1_Launch_CMP-00978"/>
    <x v="3"/>
    <s v="Launch"/>
    <d v="2023-11-17T00:00:00"/>
    <d v="2023-12-02T00:00:00"/>
    <x v="2"/>
    <n v="83152"/>
    <n v="3547"/>
    <n v="3449.51"/>
    <n v="445"/>
    <s v="Yes"/>
    <s v="IG"/>
    <n v="15"/>
    <n v="4.265682124302482E-2"/>
    <n v="0.12545813363405695"/>
    <n v="0.97251480124048495"/>
    <n v="7.75170786516854"/>
    <n v="11"/>
    <x v="1"/>
    <s v="November"/>
  </r>
  <r>
    <s v="CMP-01712"/>
    <s v="Q1_Summer_CMP-01712"/>
    <x v="3"/>
    <s v="Summer"/>
    <d v="2023-11-17T00:00:00"/>
    <d v="2023-12-01T00:00:00"/>
    <x v="1"/>
    <n v="85082"/>
    <n v="4176"/>
    <n v="2848.54"/>
    <n v="0"/>
    <s v="No"/>
    <s v="Email"/>
    <n v="14"/>
    <n v="4.9082062010766085E-2"/>
    <n v="0"/>
    <n v="0.68212164750957849"/>
    <s v="0"/>
    <n v="11"/>
    <x v="1"/>
    <s v="November"/>
  </r>
  <r>
    <s v="CMP-01827"/>
    <s v="Q1_Launch_CMP-01827"/>
    <x v="3"/>
    <s v="Launch"/>
    <d v="2023-11-17T00:00:00"/>
    <d v="2023-12-04T00:00:00"/>
    <x v="0"/>
    <n v="18482"/>
    <n v="580"/>
    <n v="549.27"/>
    <n v="79"/>
    <s v="Yes"/>
    <s v="TikTok"/>
    <n v="17"/>
    <n v="3.1381885077372579E-2"/>
    <n v="0.13620689655172413"/>
    <n v="0.94701724137931031"/>
    <n v="6.9527848101265821"/>
    <n v="11"/>
    <x v="1"/>
    <s v="November"/>
  </r>
  <r>
    <s v="CMP-00776"/>
    <s v="Q2_Summer_CMP-00776"/>
    <x v="0"/>
    <s v="Summer"/>
    <d v="2023-11-17T00:00:00"/>
    <d v="2023-11-22T00:00:00"/>
    <x v="4"/>
    <n v="57570"/>
    <n v="1860"/>
    <n v="2304.35"/>
    <n v="171"/>
    <s v="Yes"/>
    <s v="Google Ads"/>
    <n v="5"/>
    <n v="3.2308494007295463E-2"/>
    <n v="9.1935483870967741E-2"/>
    <n v="1.2388978494623655"/>
    <n v="13.475730994152046"/>
    <n v="11"/>
    <x v="1"/>
    <s v="November"/>
  </r>
  <r>
    <s v="CMP-01282"/>
    <s v="Q2_BlackFriday_CMP-01282"/>
    <x v="0"/>
    <s v="BlackFriday"/>
    <d v="2023-11-17T00:00:00"/>
    <d v="2023-12-08T00:00:00"/>
    <x v="0"/>
    <n v="28952"/>
    <n v="964"/>
    <n v="518.97"/>
    <n v="76"/>
    <s v="No"/>
    <s v="TikTok"/>
    <n v="21"/>
    <n v="3.3296490743299254E-2"/>
    <n v="7.8838174273858919E-2"/>
    <n v="0.538350622406639"/>
    <n v="6.8285526315789475"/>
    <n v="11"/>
    <x v="1"/>
    <s v="November"/>
  </r>
  <r>
    <s v="CMP-01414"/>
    <s v="Q2_Summer_CMP-01414"/>
    <x v="0"/>
    <s v="Summer"/>
    <d v="2023-11-17T00:00:00"/>
    <d v="2023-11-21T00:00:00"/>
    <x v="4"/>
    <n v="83565"/>
    <n v="3261"/>
    <n v="5296.09"/>
    <n v="549"/>
    <s v="Yes"/>
    <s v="Google Ads"/>
    <n v="4"/>
    <n v="3.9023514629330458E-2"/>
    <n v="0.16835326586936522"/>
    <n v="1.6240693038945109"/>
    <n v="9.6467941712204013"/>
    <n v="11"/>
    <x v="1"/>
    <s v="November"/>
  </r>
  <r>
    <s v="CMP-01481"/>
    <s v="Q2_Summer_CMP-01481"/>
    <x v="0"/>
    <s v="Summer"/>
    <d v="2023-11-17T00:00:00"/>
    <d v="2023-11-22T00:00:00"/>
    <x v="5"/>
    <n v="76186"/>
    <n v="3117"/>
    <n v="5008.46"/>
    <n v="419"/>
    <s v="Yes"/>
    <s v="Not specified"/>
    <n v="5"/>
    <n v="4.0913028640432628E-2"/>
    <n v="0.13442412576195059"/>
    <n v="1.6068206608918831"/>
    <n v="11.953365155131266"/>
    <n v="11"/>
    <x v="1"/>
    <s v="November"/>
  </r>
  <r>
    <s v="CMP-01656"/>
    <s v="Q2_Launch_CMP-01656"/>
    <x v="0"/>
    <s v="Launch"/>
    <d v="2023-11-17T00:00:00"/>
    <d v="2023-12-15T00:00:00"/>
    <x v="2"/>
    <n v="77898"/>
    <n v="2979"/>
    <n v="2107.8000000000002"/>
    <n v="294"/>
    <s v="Yes"/>
    <s v="IG"/>
    <n v="28"/>
    <n v="3.8242316875914659E-2"/>
    <n v="9.8690835850956699E-2"/>
    <n v="0.7075528700906345"/>
    <n v="7.1693877551020417"/>
    <n v="11"/>
    <x v="1"/>
    <s v="November"/>
  </r>
  <r>
    <s v="CMP-01677"/>
    <s v="Q3_Summer_CMP-01677"/>
    <x v="1"/>
    <s v="Summer"/>
    <d v="2023-11-17T00:00:00"/>
    <d v="2023-12-12T00:00:00"/>
    <x v="3"/>
    <n v="84300"/>
    <n v="3711"/>
    <n v="6594.85"/>
    <n v="401"/>
    <s v="Yes"/>
    <s v="FB"/>
    <n v="25"/>
    <n v="4.4021352313167263E-2"/>
    <n v="0.10805712745890596"/>
    <n v="1.7771085960657507"/>
    <n v="16.446009975062346"/>
    <n v="11"/>
    <x v="1"/>
    <s v="November"/>
  </r>
  <r>
    <s v="CMP-00264"/>
    <s v="Q4_Launch_CMP-00264"/>
    <x v="2"/>
    <s v="Launch"/>
    <d v="2023-11-17T00:00:00"/>
    <d v="2023-12-07T00:00:00"/>
    <x v="0"/>
    <n v="38504"/>
    <n v="910"/>
    <n v="1151.3499999999999"/>
    <n v="172"/>
    <s v="Yes"/>
    <s v="TikTok"/>
    <n v="20"/>
    <n v="2.3633908165385416E-2"/>
    <n v="0.18901098901098901"/>
    <n v="1.2652197802197802"/>
    <n v="6.6938953488372084"/>
    <n v="11"/>
    <x v="1"/>
    <s v="November"/>
  </r>
  <r>
    <s v="CMP-01834"/>
    <s v="Q4_Winstagramter_CMP-01834"/>
    <x v="2"/>
    <s v="Winstagramter"/>
    <d v="2023-11-17T00:00:00"/>
    <d v="2023-12-07T00:00:00"/>
    <x v="0"/>
    <n v="78258"/>
    <n v="1412"/>
    <n v="2814.49"/>
    <n v="253"/>
    <s v="No"/>
    <s v="TikTok"/>
    <n v="20"/>
    <n v="1.8042883794628026E-2"/>
    <n v="0.17917847025495751"/>
    <n v="1.9932648725212463"/>
    <n v="11.124466403162055"/>
    <n v="11"/>
    <x v="1"/>
    <s v="November"/>
  </r>
  <r>
    <s v="CMP-00966"/>
    <s v="Q2_Launch_CMP-00966"/>
    <x v="0"/>
    <s v="Launch"/>
    <d v="2023-11-18T00:00:00"/>
    <d v="2023-12-14T00:00:00"/>
    <x v="2"/>
    <n v="91825"/>
    <n v="2890"/>
    <n v="2088.14"/>
    <n v="574"/>
    <s v="Yes"/>
    <s v="IG"/>
    <n v="26"/>
    <n v="3.1472910427443504E-2"/>
    <n v="0.19861591695501729"/>
    <n v="0.72253979238754318"/>
    <n v="3.63787456445993"/>
    <n v="11"/>
    <x v="1"/>
    <s v="November"/>
  </r>
  <r>
    <s v="CMP-01194"/>
    <s v="Q2_Winstagramter_CMP-01194"/>
    <x v="0"/>
    <s v="Winstagramter"/>
    <d v="2023-11-18T00:00:00"/>
    <d v="2023-12-07T00:00:00"/>
    <x v="2"/>
    <n v="86451"/>
    <n v="3051"/>
    <n v="4216.91"/>
    <n v="0"/>
    <s v="Yes"/>
    <s v="IG"/>
    <n v="19"/>
    <n v="3.5291668112572443E-2"/>
    <n v="0"/>
    <n v="1.3821402818747952"/>
    <s v="0"/>
    <n v="11"/>
    <x v="1"/>
    <s v="November"/>
  </r>
  <r>
    <s v="CMP-01935"/>
    <s v="Q3_BlackFriday_CMP-01935"/>
    <x v="1"/>
    <s v="BlackFriday"/>
    <d v="2023-11-18T00:00:00"/>
    <d v="2023-12-07T00:00:00"/>
    <x v="4"/>
    <n v="7368"/>
    <n v="302"/>
    <n v="179.18"/>
    <n v="33"/>
    <s v="No"/>
    <s v="Google Ads"/>
    <n v="19"/>
    <n v="4.0988056460369161E-2"/>
    <n v="0.10927152317880795"/>
    <n v="0.59331125827814568"/>
    <n v="5.4296969696969697"/>
    <n v="11"/>
    <x v="1"/>
    <s v="November"/>
  </r>
  <r>
    <s v="CMP-00475"/>
    <s v="Q4_Summer_CMP-00475"/>
    <x v="2"/>
    <s v="Summer"/>
    <d v="2023-11-18T00:00:00"/>
    <d v="2023-12-12T00:00:00"/>
    <x v="1"/>
    <n v="46543"/>
    <n v="1325"/>
    <n v="1504.3"/>
    <n v="221"/>
    <s v="No"/>
    <s v="Email"/>
    <n v="24"/>
    <n v="2.8468298132909353E-2"/>
    <n v="0.16679245283018868"/>
    <n v="1.135320754716981"/>
    <n v="6.8067873303167419"/>
    <n v="11"/>
    <x v="1"/>
    <s v="November"/>
  </r>
  <r>
    <s v="CMP-00626"/>
    <s v="Q4_Winstagramter_CMP-00626"/>
    <x v="2"/>
    <s v="Winstagramter"/>
    <d v="2023-11-18T00:00:00"/>
    <d v="2023-12-11T00:00:00"/>
    <x v="1"/>
    <n v="61921"/>
    <n v="2517"/>
    <n v="2257.1799999999998"/>
    <n v="137"/>
    <s v="No"/>
    <s v="Email"/>
    <n v="23"/>
    <n v="4.0648568337074663E-2"/>
    <n v="5.4429876837504963E-2"/>
    <n v="0.89677393722685728"/>
    <n v="16.475766423357662"/>
    <n v="11"/>
    <x v="1"/>
    <s v="November"/>
  </r>
  <r>
    <s v="CMP-01625"/>
    <s v="Q1_Summer_CMP-01625"/>
    <x v="3"/>
    <s v="Summer"/>
    <d v="2023-11-19T00:00:00"/>
    <d v="2023-12-04T00:00:00"/>
    <x v="4"/>
    <n v="98659"/>
    <n v="1374"/>
    <n v="815.83"/>
    <n v="87"/>
    <s v="Yes"/>
    <s v="Google Ads"/>
    <n v="15"/>
    <n v="1.3926757822398363E-2"/>
    <n v="6.3318777292576414E-2"/>
    <n v="0.59376273653566236"/>
    <n v="9.3773563218390805"/>
    <n v="11"/>
    <x v="1"/>
    <s v="November"/>
  </r>
  <r>
    <s v="CMP-01868"/>
    <s v="Q2_Launch_CMP-01868"/>
    <x v="0"/>
    <s v="Launch"/>
    <d v="2023-11-19T00:00:00"/>
    <d v="2023-12-12T00:00:00"/>
    <x v="3"/>
    <n v="69916"/>
    <n v="1458"/>
    <n v="1244.23"/>
    <n v="130"/>
    <s v="No"/>
    <s v="FB"/>
    <n v="23"/>
    <n v="2.0853595743463585E-2"/>
    <n v="8.9163237311385465E-2"/>
    <n v="0.8533813443072702"/>
    <n v="9.5709999999999997"/>
    <n v="11"/>
    <x v="1"/>
    <s v="November"/>
  </r>
  <r>
    <s v="CMP-01022"/>
    <s v="Q1_Summer_CMP-01022"/>
    <x v="3"/>
    <s v="Summer"/>
    <d v="2023-11-19T00:00:00"/>
    <d v="2023-11-24T00:00:00"/>
    <x v="1"/>
    <n v="80579"/>
    <n v="2424"/>
    <n v="2906.8"/>
    <n v="484"/>
    <s v="Yes"/>
    <s v="Email"/>
    <n v="5"/>
    <n v="3.0082279502103525E-2"/>
    <n v="0.19966996699669967"/>
    <n v="1.1991749174917492"/>
    <n v="6.0057851239669429"/>
    <n v="11"/>
    <x v="1"/>
    <s v="November"/>
  </r>
  <r>
    <s v="CMP-00954"/>
    <s v="Q2_BlackFriday_CMP-00954"/>
    <x v="0"/>
    <s v="BlackFriday"/>
    <d v="2023-11-20T00:00:00"/>
    <d v="2023-11-30T00:00:00"/>
    <x v="1"/>
    <n v="83838"/>
    <n v="971"/>
    <n v="1388.48"/>
    <n v="122"/>
    <s v="No"/>
    <s v="Email"/>
    <n v="10"/>
    <n v="1.1581860254299959E-2"/>
    <n v="0.12564366632337795"/>
    <n v="1.4299485066941298"/>
    <n v="11.380983606557377"/>
    <n v="11"/>
    <x v="1"/>
    <s v="November"/>
  </r>
  <r>
    <s v="CMP-01382"/>
    <s v="Q3_Launch_CMP-01382"/>
    <x v="1"/>
    <s v="Launch"/>
    <d v="2023-11-20T00:00:00"/>
    <d v="2023-12-09T00:00:00"/>
    <x v="4"/>
    <n v="28856"/>
    <n v="683"/>
    <n v="1031.55"/>
    <n v="68"/>
    <s v="Yes"/>
    <s v="Google Ads"/>
    <n v="19"/>
    <n v="2.3669254227890214E-2"/>
    <n v="9.9560761346998539E-2"/>
    <n v="1.5103221083455343"/>
    <n v="15.169852941176471"/>
    <n v="11"/>
    <x v="1"/>
    <s v="November"/>
  </r>
  <r>
    <s v="CMP-01483"/>
    <s v="Q3_Launch_CMP-01483"/>
    <x v="1"/>
    <s v="Launch"/>
    <d v="2023-11-20T00:00:00"/>
    <d v="2023-11-23T00:00:00"/>
    <x v="4"/>
    <n v="21581"/>
    <n v="416"/>
    <n v="482.6"/>
    <n v="27"/>
    <s v="Yes"/>
    <s v="Google Ads"/>
    <n v="3"/>
    <n v="1.9276215189286874E-2"/>
    <n v="6.4903846153846159E-2"/>
    <n v="1.1600961538461538"/>
    <n v="17.874074074074073"/>
    <n v="11"/>
    <x v="1"/>
    <s v="November"/>
  </r>
  <r>
    <s v="CMP-01272"/>
    <s v="Q4_BlackFriday_CMP-01272"/>
    <x v="2"/>
    <s v="BlackFriday"/>
    <d v="2023-11-20T00:00:00"/>
    <d v="2023-11-24T00:00:00"/>
    <x v="0"/>
    <n v="42949"/>
    <n v="1844"/>
    <n v="2369.7399999999998"/>
    <n v="215"/>
    <s v="Yes"/>
    <s v="TikTok"/>
    <n v="4"/>
    <n v="4.2934643414282055E-2"/>
    <n v="0.11659436008676789"/>
    <n v="1.2851084598698481"/>
    <n v="11.022046511627906"/>
    <n v="11"/>
    <x v="1"/>
    <s v="November"/>
  </r>
  <r>
    <s v="CMP-00109"/>
    <s v="Q1_BlackFriday_CMP-00109"/>
    <x v="3"/>
    <s v="BlackFriday"/>
    <d v="2023-11-21T00:00:00"/>
    <d v="2023-12-21T00:00:00"/>
    <x v="0"/>
    <n v="14986"/>
    <n v="235"/>
    <n v="318.24"/>
    <n v="25"/>
    <s v="Yes"/>
    <s v="TikTok"/>
    <n v="30"/>
    <n v="1.5681302549045775E-2"/>
    <n v="0.10638297872340426"/>
    <n v="1.3542127659574468"/>
    <n v="12.7296"/>
    <n v="11"/>
    <x v="1"/>
    <s v="November"/>
  </r>
  <r>
    <s v="CMP-01589"/>
    <s v="Q1_Summer_CMP-01589"/>
    <x v="3"/>
    <s v="Summer"/>
    <d v="2023-11-21T00:00:00"/>
    <d v="2023-11-29T00:00:00"/>
    <x v="0"/>
    <n v="62916"/>
    <n v="1675"/>
    <n v="1343.18"/>
    <n v="252"/>
    <s v="No"/>
    <s v="TikTok"/>
    <n v="8"/>
    <n v="2.662279865217115E-2"/>
    <n v="0.15044776119402986"/>
    <n v="0.80189850746268665"/>
    <n v="5.3300793650793654"/>
    <n v="11"/>
    <x v="1"/>
    <s v="November"/>
  </r>
  <r>
    <s v="CMP-01026"/>
    <s v="Q2_Summer_CMP-01026"/>
    <x v="0"/>
    <s v="Summer"/>
    <d v="2023-11-21T00:00:00"/>
    <d v="2023-12-13T00:00:00"/>
    <x v="4"/>
    <n v="85471"/>
    <n v="1442"/>
    <n v="2594.79"/>
    <n v="239"/>
    <s v="No"/>
    <s v="Google Ads"/>
    <n v="22"/>
    <n v="1.6871219477951584E-2"/>
    <n v="0.16574202496532595"/>
    <n v="1.7994382801664355"/>
    <n v="10.856861924686193"/>
    <n v="11"/>
    <x v="1"/>
    <s v="November"/>
  </r>
  <r>
    <s v="CMP-01360"/>
    <s v="Q2_BlackFriday_CMP-01360"/>
    <x v="0"/>
    <s v="BlackFriday"/>
    <d v="2023-11-21T00:00:00"/>
    <d v="2023-12-15T00:00:00"/>
    <x v="4"/>
    <n v="16358"/>
    <n v="184"/>
    <n v="343.58"/>
    <n v="28"/>
    <s v="Yes"/>
    <s v="Google Ads"/>
    <n v="24"/>
    <n v="1.1248318865386967E-2"/>
    <n v="0.15217391304347827"/>
    <n v="1.867282608695652"/>
    <n v="12.270714285714286"/>
    <n v="11"/>
    <x v="1"/>
    <s v="November"/>
  </r>
  <r>
    <s v="CMP-00857"/>
    <s v="Q3_BlackFriday_CMP-00857"/>
    <x v="1"/>
    <s v="BlackFriday"/>
    <d v="2023-11-21T00:00:00"/>
    <d v="2023-12-07T00:00:00"/>
    <x v="3"/>
    <n v="66215"/>
    <n v="2673"/>
    <n v="2798.65"/>
    <n v="230"/>
    <s v="Yes"/>
    <s v="FB"/>
    <n v="16"/>
    <n v="4.036849656422261E-2"/>
    <n v="8.6045641601197154E-2"/>
    <n v="1.0470071081182193"/>
    <n v="12.16804347826087"/>
    <n v="11"/>
    <x v="1"/>
    <s v="November"/>
  </r>
  <r>
    <s v="CMP-01367"/>
    <s v="Q3_Winstagramter_CMP-01367"/>
    <x v="1"/>
    <s v="Winstagramter"/>
    <d v="2023-11-21T00:00:00"/>
    <d v="2023-12-10T00:00:00"/>
    <x v="5"/>
    <n v="64197"/>
    <n v="748"/>
    <n v="893.03"/>
    <n v="91"/>
    <s v="Yes"/>
    <s v="Not specified"/>
    <n v="19"/>
    <n v="1.1651634811595557E-2"/>
    <n v="0.12165775401069519"/>
    <n v="1.1938903743315508"/>
    <n v="9.8135164835164836"/>
    <n v="11"/>
    <x v="1"/>
    <s v="November"/>
  </r>
  <r>
    <s v="CMP-00851"/>
    <s v="Q4_Launch_CMP-00851"/>
    <x v="2"/>
    <s v="Launch"/>
    <d v="2023-11-21T00:00:00"/>
    <d v="2023-12-03T00:00:00"/>
    <x v="2"/>
    <n v="78709"/>
    <n v="3514"/>
    <n v="4268.43"/>
    <n v="0"/>
    <s v="Yes"/>
    <s v="IG"/>
    <n v="12"/>
    <n v="4.4645466210979687E-2"/>
    <n v="0"/>
    <n v="1.21469265793967"/>
    <s v="0"/>
    <n v="11"/>
    <x v="1"/>
    <s v="November"/>
  </r>
  <r>
    <s v="CMP-00967"/>
    <s v="Q4_Launch_CMP-00967"/>
    <x v="2"/>
    <s v="Launch"/>
    <d v="2023-11-21T00:00:00"/>
    <d v="2023-12-14T00:00:00"/>
    <x v="4"/>
    <n v="2062"/>
    <n v="91"/>
    <n v="68.989999999999995"/>
    <n v="14"/>
    <s v="Yes"/>
    <s v="Google Ads"/>
    <n v="23"/>
    <n v="4.4131910766246361E-2"/>
    <n v="0.15384615384615385"/>
    <n v="0.75813186813186806"/>
    <n v="4.9278571428571425"/>
    <n v="11"/>
    <x v="1"/>
    <s v="November"/>
  </r>
  <r>
    <s v="CMP-01757"/>
    <s v="Q4_Winstagramter_CMP-01757"/>
    <x v="2"/>
    <s v="Winstagramter"/>
    <d v="2023-11-21T00:00:00"/>
    <d v="2023-11-29T00:00:00"/>
    <x v="2"/>
    <n v="88263"/>
    <n v="2201"/>
    <n v="1943.55"/>
    <n v="0"/>
    <s v="No"/>
    <s v="IG"/>
    <n v="8"/>
    <n v="2.4936836500005666E-2"/>
    <n v="0"/>
    <n v="0.88303044070876868"/>
    <s v="0"/>
    <n v="11"/>
    <x v="1"/>
    <s v="November"/>
  </r>
  <r>
    <s v="CMP-00216"/>
    <s v="Q1_Winstagramter_CMP-00216"/>
    <x v="3"/>
    <s v="Winstagramter"/>
    <d v="2023-11-22T00:00:00"/>
    <d v="2023-12-17T00:00:00"/>
    <x v="0"/>
    <n v="95209"/>
    <n v="4447"/>
    <n v="2733.66"/>
    <n v="717"/>
    <s v="Yes"/>
    <s v="TikTok"/>
    <n v="25"/>
    <n v="4.6707769223497779E-2"/>
    <n v="0.16123229143242634"/>
    <n v="0.61472003597931191"/>
    <n v="3.8126359832635983"/>
    <n v="11"/>
    <x v="1"/>
    <s v="November"/>
  </r>
  <r>
    <s v="CMP-01146"/>
    <s v="Q1_BlackFriday_CMP-01146"/>
    <x v="3"/>
    <s v="BlackFriday"/>
    <d v="2023-11-22T00:00:00"/>
    <d v="2023-12-13T00:00:00"/>
    <x v="3"/>
    <n v="11789"/>
    <n v="284"/>
    <n v="271.01"/>
    <n v="37"/>
    <s v="Yes"/>
    <s v="FB"/>
    <n v="21"/>
    <n v="2.4090253626261771E-2"/>
    <n v="0.13028169014084506"/>
    <n v="0.95426056338028165"/>
    <n v="7.3245945945945943"/>
    <n v="11"/>
    <x v="1"/>
    <s v="November"/>
  </r>
  <r>
    <s v="CMP-01560"/>
    <s v="Q1_Summer_CMP-01560"/>
    <x v="3"/>
    <s v="Summer"/>
    <d v="2023-11-22T00:00:00"/>
    <d v="2023-12-15T00:00:00"/>
    <x v="4"/>
    <n v="41998"/>
    <n v="579"/>
    <n v="647.64"/>
    <n v="102"/>
    <s v="Yes"/>
    <s v="Google Ads"/>
    <n v="23"/>
    <n v="1.3786370779560931E-2"/>
    <n v="0.17616580310880828"/>
    <n v="1.1185492227979275"/>
    <n v="6.3494117647058825"/>
    <n v="11"/>
    <x v="1"/>
    <s v="November"/>
  </r>
  <r>
    <s v="CMP-00279"/>
    <s v="Q3_Launch_CMP-00279"/>
    <x v="1"/>
    <s v="Launch"/>
    <d v="2023-11-22T00:00:00"/>
    <d v="2023-12-15T00:00:00"/>
    <x v="3"/>
    <n v="78371"/>
    <n v="2882"/>
    <n v="5345.49"/>
    <n v="453"/>
    <s v="No"/>
    <s v="FB"/>
    <n v="23"/>
    <n v="3.6773806637659341E-2"/>
    <n v="0.1571825121443442"/>
    <n v="1.8547848716169326"/>
    <n v="11.800198675496688"/>
    <n v="11"/>
    <x v="1"/>
    <s v="November"/>
  </r>
  <r>
    <s v="CMP-00933"/>
    <s v="Q4_Launch_CMP-00933"/>
    <x v="2"/>
    <s v="Launch"/>
    <d v="2023-11-22T00:00:00"/>
    <d v="2023-11-27T00:00:00"/>
    <x v="0"/>
    <n v="96257"/>
    <n v="1492"/>
    <n v="1757.77"/>
    <n v="0"/>
    <s v="Yes"/>
    <s v="TikTok"/>
    <n v="5"/>
    <n v="1.5500171416104803E-2"/>
    <n v="0"/>
    <n v="1.1781300268096515"/>
    <s v="0"/>
    <n v="11"/>
    <x v="1"/>
    <s v="November"/>
  </r>
  <r>
    <s v="CMP-00600"/>
    <s v="Q1_Launch_CMP-00600"/>
    <x v="3"/>
    <s v="Launch"/>
    <d v="2023-11-23T00:00:00"/>
    <d v="2023-12-09T00:00:00"/>
    <x v="4"/>
    <n v="44286"/>
    <n v="1346"/>
    <n v="1601.04"/>
    <n v="68"/>
    <s v="No"/>
    <s v="Google Ads"/>
    <n v="16"/>
    <n v="3.0393352300952896E-2"/>
    <n v="5.0520059435364043E-2"/>
    <n v="1.1894799405646359"/>
    <n v="23.54470588235294"/>
    <n v="11"/>
    <x v="1"/>
    <s v="November"/>
  </r>
  <r>
    <s v="CMP-00817"/>
    <s v="Q1_Winstagramter_CMP-00817"/>
    <x v="3"/>
    <s v="Winstagramter"/>
    <d v="2023-11-23T00:00:00"/>
    <d v="2023-12-05T00:00:00"/>
    <x v="4"/>
    <n v="39765"/>
    <n v="1831"/>
    <n v="2285.92"/>
    <n v="299"/>
    <s v="Yes"/>
    <s v="Google Ads"/>
    <n v="12"/>
    <n v="4.6045517414812019E-2"/>
    <n v="0.1632987438558165"/>
    <n v="1.2484543965046424"/>
    <n v="7.6452173913043477"/>
    <n v="11"/>
    <x v="1"/>
    <s v="November"/>
  </r>
  <r>
    <s v="CMP-01703"/>
    <s v="Q2_BlackFriday_CMP-01703"/>
    <x v="0"/>
    <s v="BlackFriday"/>
    <d v="2023-11-23T00:00:00"/>
    <d v="2023-12-12T00:00:00"/>
    <x v="3"/>
    <n v="95661"/>
    <n v="3945"/>
    <n v="6774.98"/>
    <n v="675"/>
    <s v="No"/>
    <s v="FB"/>
    <n v="19"/>
    <n v="4.1239376548436665E-2"/>
    <n v="0.17110266159695817"/>
    <n v="1.717358681875792"/>
    <n v="10.037007407407406"/>
    <n v="11"/>
    <x v="1"/>
    <s v="November"/>
  </r>
  <r>
    <s v="CMP-00174"/>
    <s v="Q3_Summer_CMP-00174"/>
    <x v="1"/>
    <s v="Summer"/>
    <d v="2023-11-23T00:00:00"/>
    <d v="2023-12-11T00:00:00"/>
    <x v="0"/>
    <n v="27105"/>
    <n v="1262"/>
    <n v="868.04"/>
    <n v="68"/>
    <s v="Yes"/>
    <s v="TikTok"/>
    <n v="18"/>
    <n v="4.6559675336653755E-2"/>
    <n v="5.388272583201268E-2"/>
    <n v="0.68782884310618064"/>
    <n v="12.765294117647059"/>
    <n v="11"/>
    <x v="1"/>
    <s v="November"/>
  </r>
  <r>
    <s v="CMP-01069"/>
    <s v="Q3_Launch_CMP-01069"/>
    <x v="1"/>
    <s v="Launch"/>
    <d v="2023-11-23T00:00:00"/>
    <d v="2023-12-21T00:00:00"/>
    <x v="4"/>
    <n v="27614"/>
    <n v="651"/>
    <n v="766.45"/>
    <n v="115"/>
    <s v="No"/>
    <s v="Google Ads"/>
    <n v="28"/>
    <n v="2.3574998189324257E-2"/>
    <n v="0.17665130568356374"/>
    <n v="1.1773425499231951"/>
    <n v="6.6647826086956528"/>
    <n v="11"/>
    <x v="1"/>
    <s v="November"/>
  </r>
  <r>
    <s v="CMP-00697"/>
    <s v="Q4_BlackFriday_CMP-00697"/>
    <x v="2"/>
    <s v="BlackFriday"/>
    <d v="2023-11-23T00:00:00"/>
    <d v="2023-12-04T00:00:00"/>
    <x v="5"/>
    <n v="4709"/>
    <n v="195"/>
    <n v="257.08"/>
    <n v="32"/>
    <s v="Yes"/>
    <s v="Not specified"/>
    <n v="11"/>
    <n v="4.1410065831386705E-2"/>
    <n v="0.1641025641025641"/>
    <n v="1.3183589743589743"/>
    <n v="8.0337499999999995"/>
    <n v="11"/>
    <x v="1"/>
    <s v="November"/>
  </r>
  <r>
    <s v="CMP-00832"/>
    <s v="Q4_BlackFriday_CMP-00832"/>
    <x v="2"/>
    <s v="BlackFriday"/>
    <d v="2023-11-23T00:00:00"/>
    <d v="2023-12-09T00:00:00"/>
    <x v="0"/>
    <n v="62877"/>
    <n v="2172"/>
    <n v="4014.25"/>
    <n v="269"/>
    <s v="Yes"/>
    <s v="TikTok"/>
    <n v="16"/>
    <n v="3.4543632806908725E-2"/>
    <n v="0.12384898710865562"/>
    <n v="1.8481813996316758"/>
    <n v="14.922862453531598"/>
    <n v="11"/>
    <x v="1"/>
    <s v="November"/>
  </r>
  <r>
    <s v="CMP-01846"/>
    <s v="Q4_Winstagramter_CMP-01846"/>
    <x v="2"/>
    <s v="Winstagramter"/>
    <d v="2023-11-23T00:00:00"/>
    <d v="2023-12-22T00:00:00"/>
    <x v="2"/>
    <n v="49901"/>
    <n v="1529"/>
    <n v="784.63"/>
    <n v="158"/>
    <s v="Yes"/>
    <s v="IG"/>
    <n v="29"/>
    <n v="3.0640668523676879E-2"/>
    <n v="0.10333551340745585"/>
    <n v="0.51316546762589932"/>
    <n v="4.9660126582278483"/>
    <n v="11"/>
    <x v="1"/>
    <s v="November"/>
  </r>
  <r>
    <s v="CMP-00578"/>
    <s v="Q1_Summer_CMP-00578"/>
    <x v="3"/>
    <s v="Summer"/>
    <d v="2023-11-24T00:00:00"/>
    <d v="2023-12-16T00:00:00"/>
    <x v="0"/>
    <n v="93920"/>
    <n v="3755"/>
    <n v="4961.13"/>
    <n v="446"/>
    <s v="Yes"/>
    <s v="TikTok"/>
    <n v="22"/>
    <n v="3.998083475298126E-2"/>
    <n v="0.11877496671105194"/>
    <n v="1.3212063914780294"/>
    <n v="11.123609865470852"/>
    <n v="11"/>
    <x v="1"/>
    <s v="November"/>
  </r>
  <r>
    <s v="CMP-00025"/>
    <s v="Q2_Winstagramter_CMP-00025"/>
    <x v="0"/>
    <s v="Winstagramter"/>
    <d v="2023-11-24T00:00:00"/>
    <d v="2023-12-18T00:00:00"/>
    <x v="1"/>
    <n v="72932"/>
    <n v="815"/>
    <n v="1293.01"/>
    <n v="157"/>
    <s v="No"/>
    <s v="Email"/>
    <n v="24"/>
    <n v="1.1174792957823726E-2"/>
    <n v="0.19263803680981595"/>
    <n v="1.586515337423313"/>
    <n v="8.2357324840764328"/>
    <n v="11"/>
    <x v="1"/>
    <s v="November"/>
  </r>
  <r>
    <s v="CMP-00728"/>
    <s v="Q2_BlackFriday_CMP-00728"/>
    <x v="0"/>
    <s v="BlackFriday"/>
    <d v="2023-11-24T00:00:00"/>
    <d v="2023-12-16T00:00:00"/>
    <x v="0"/>
    <n v="18640"/>
    <n v="259"/>
    <n v="332.92"/>
    <n v="26"/>
    <s v="Yes"/>
    <s v="TikTok"/>
    <n v="22"/>
    <n v="1.3894849785407726E-2"/>
    <n v="0.10038610038610038"/>
    <n v="1.2854054054054054"/>
    <n v="12.804615384615385"/>
    <n v="11"/>
    <x v="1"/>
    <s v="November"/>
  </r>
  <r>
    <s v="CMP-00001"/>
    <s v="Q4_Summer_CMP-00001"/>
    <x v="2"/>
    <s v="Summer"/>
    <d v="2023-11-24T00:00:00"/>
    <d v="2023-12-13T00:00:00"/>
    <x v="0"/>
    <n v="16795"/>
    <n v="197"/>
    <n v="102.82"/>
    <n v="20"/>
    <s v="Yes"/>
    <s v="TikTok"/>
    <n v="19"/>
    <n v="1.1729681452813338E-2"/>
    <n v="0.10152284263959391"/>
    <n v="0.52192893401015228"/>
    <n v="5.141"/>
    <n v="11"/>
    <x v="1"/>
    <s v="November"/>
  </r>
  <r>
    <s v="CMP-00619"/>
    <s v="Q1_Winstagramter_CMP-00619"/>
    <x v="3"/>
    <s v="Winstagramter"/>
    <d v="2023-11-25T00:00:00"/>
    <d v="2023-12-23T00:00:00"/>
    <x v="0"/>
    <n v="36270"/>
    <n v="904"/>
    <n v="668.45"/>
    <n v="81"/>
    <s v="Yes"/>
    <s v="TikTok"/>
    <n v="28"/>
    <n v="2.492417976288944E-2"/>
    <n v="8.9601769911504425E-2"/>
    <n v="0.73943584070796464"/>
    <n v="8.2524691358024693"/>
    <n v="11"/>
    <x v="1"/>
    <s v="November"/>
  </r>
  <r>
    <s v="CMP-00750"/>
    <s v="Q1_Winstagramter_CMP-00750"/>
    <x v="3"/>
    <s v="Winstagramter"/>
    <d v="2023-11-25T00:00:00"/>
    <d v="2023-12-03T00:00:00"/>
    <x v="0"/>
    <n v="32921"/>
    <n v="1066"/>
    <n v="762.29"/>
    <n v="99"/>
    <s v="No"/>
    <s v="TikTok"/>
    <n v="8"/>
    <n v="3.2380547370979007E-2"/>
    <n v="9.2870544090056281E-2"/>
    <n v="0.71509380863039396"/>
    <n v="7.6998989898989896"/>
    <n v="11"/>
    <x v="1"/>
    <s v="November"/>
  </r>
  <r>
    <s v="CMP-01425"/>
    <s v="Q1_Winstagramter_CMP-01425"/>
    <x v="3"/>
    <s v="Winstagramter"/>
    <d v="2023-11-25T00:00:00"/>
    <d v="2023-12-25T00:00:00"/>
    <x v="2"/>
    <n v="90563"/>
    <n v="3839"/>
    <n v="6613.09"/>
    <n v="0"/>
    <s v="No"/>
    <s v="IG"/>
    <n v="30"/>
    <n v="4.2390380177335117E-2"/>
    <n v="0"/>
    <n v="1.7226074498567336"/>
    <s v="0"/>
    <n v="11"/>
    <x v="1"/>
    <s v="November"/>
  </r>
  <r>
    <s v="CMP-01475"/>
    <s v="Q2_BlackFriday_CMP-01475"/>
    <x v="0"/>
    <s v="BlackFriday"/>
    <d v="2023-11-25T00:00:00"/>
    <d v="2023-12-08T00:00:00"/>
    <x v="5"/>
    <n v="14350"/>
    <n v="544"/>
    <n v="892.88"/>
    <n v="57"/>
    <s v="No"/>
    <s v="Not specified"/>
    <n v="13"/>
    <n v="3.7909407665505226E-2"/>
    <n v="0.10477941176470588"/>
    <n v="1.6413235294117647"/>
    <n v="15.664561403508772"/>
    <n v="11"/>
    <x v="1"/>
    <s v="November"/>
  </r>
  <r>
    <s v="CMP-00811"/>
    <s v="Q4_Winstagramter_CMP-00811"/>
    <x v="2"/>
    <s v="Winstagramter"/>
    <d v="2023-11-25T00:00:00"/>
    <d v="2023-11-26T00:00:00"/>
    <x v="5"/>
    <n v="11916"/>
    <n v="279"/>
    <n v="489.89"/>
    <n v="0"/>
    <s v="Yes"/>
    <s v="Not specified"/>
    <n v="1"/>
    <n v="2.3413897280966767E-2"/>
    <n v="0"/>
    <n v="1.7558781362007168"/>
    <s v="0"/>
    <n v="11"/>
    <x v="1"/>
    <s v="November"/>
  </r>
  <r>
    <s v="CMP-00031"/>
    <s v="Q1_Launch_CMP-00031"/>
    <x v="3"/>
    <s v="Launch"/>
    <d v="2023-11-26T00:00:00"/>
    <d v="2023-12-12T00:00:00"/>
    <x v="4"/>
    <n v="60150"/>
    <n v="2988"/>
    <n v="3514.38"/>
    <n v="175"/>
    <s v="Yes"/>
    <s v="Google Ads"/>
    <n v="16"/>
    <n v="4.967581047381546E-2"/>
    <n v="5.856760374832664E-2"/>
    <n v="1.1761646586345382"/>
    <n v="20.082171428571428"/>
    <n v="11"/>
    <x v="1"/>
    <s v="November"/>
  </r>
  <r>
    <s v="CMP-00556"/>
    <s v="Q1_Launch_CMP-00556"/>
    <x v="3"/>
    <s v="Launch"/>
    <d v="2023-11-26T00:00:00"/>
    <d v="2023-11-29T00:00:00"/>
    <x v="5"/>
    <n v="28350"/>
    <n v="775"/>
    <n v="1359.93"/>
    <n v="0"/>
    <s v="No"/>
    <s v="Not specified"/>
    <n v="3"/>
    <n v="2.7336860670194002E-2"/>
    <n v="0"/>
    <n v="1.7547483870967742"/>
    <s v="0"/>
    <n v="11"/>
    <x v="1"/>
    <s v="November"/>
  </r>
  <r>
    <s v="CMP-00474"/>
    <s v="Q2_Launch_CMP-00474"/>
    <x v="0"/>
    <s v="Launch"/>
    <d v="2023-11-26T00:00:00"/>
    <d v="2023-12-09T00:00:00"/>
    <x v="3"/>
    <n v="21056"/>
    <n v="537"/>
    <n v="466.85"/>
    <n v="44"/>
    <s v="No"/>
    <s v="FB"/>
    <n v="13"/>
    <n v="2.5503419452887539E-2"/>
    <n v="8.1936685288640593E-2"/>
    <n v="0.86936685288640603"/>
    <n v="10.610227272727274"/>
    <n v="11"/>
    <x v="1"/>
    <s v="November"/>
  </r>
  <r>
    <s v="CMP-01027"/>
    <s v="Q2_BlackFriday_CMP-01027"/>
    <x v="0"/>
    <s v="BlackFriday"/>
    <d v="2023-11-26T00:00:00"/>
    <d v="2023-12-14T00:00:00"/>
    <x v="1"/>
    <n v="14234"/>
    <n v="505"/>
    <n v="377.21"/>
    <n v="59"/>
    <s v="Yes"/>
    <s v="Email"/>
    <n v="18"/>
    <n v="3.54784319235633E-2"/>
    <n v="0.11683168316831684"/>
    <n v="0.74695049504950495"/>
    <n v="6.3933898305084744"/>
    <n v="11"/>
    <x v="1"/>
    <s v="November"/>
  </r>
  <r>
    <s v="CMP-00192"/>
    <s v="Q3_Launch_CMP-00192"/>
    <x v="1"/>
    <s v="Launch"/>
    <d v="2023-11-26T00:00:00"/>
    <d v="2023-12-13T00:00:00"/>
    <x v="2"/>
    <n v="98504"/>
    <n v="2482"/>
    <n v="1866.9"/>
    <n v="138"/>
    <s v="Yes"/>
    <s v="IG"/>
    <n v="17"/>
    <n v="2.5196946316900837E-2"/>
    <n v="5.5600322320709106E-2"/>
    <n v="0.75217566478646258"/>
    <n v="13.528260869565218"/>
    <n v="11"/>
    <x v="1"/>
    <s v="November"/>
  </r>
  <r>
    <s v="CMP-00383"/>
    <s v="Q1_Summer_CMP-00383"/>
    <x v="3"/>
    <s v="Summer"/>
    <d v="2023-11-27T00:00:00"/>
    <d v="2023-12-26T00:00:00"/>
    <x v="1"/>
    <n v="73991"/>
    <n v="1883"/>
    <n v="2856.83"/>
    <n v="157"/>
    <s v="No"/>
    <s v="Email"/>
    <n v="29"/>
    <n v="2.5449041099593193E-2"/>
    <n v="8.3377588953797127E-2"/>
    <n v="1.5171694105151354"/>
    <n v="18.196369426751591"/>
    <n v="11"/>
    <x v="1"/>
    <s v="November"/>
  </r>
  <r>
    <s v="CMP-01479"/>
    <s v="Q2_Winstagramter_CMP-01479"/>
    <x v="0"/>
    <s v="Winstagramter"/>
    <d v="2023-11-27T00:00:00"/>
    <d v="2023-12-04T00:00:00"/>
    <x v="0"/>
    <n v="35020"/>
    <n v="900"/>
    <n v="682.03"/>
    <n v="0"/>
    <s v="Yes"/>
    <s v="TikTok"/>
    <n v="7"/>
    <n v="2.5699600228440891E-2"/>
    <n v="0"/>
    <n v="0.7578111111111111"/>
    <s v="0"/>
    <n v="11"/>
    <x v="1"/>
    <s v="November"/>
  </r>
  <r>
    <s v="CMP-00468"/>
    <s v="Q3_Winstagramter_CMP-00468"/>
    <x v="1"/>
    <s v="Winstagramter"/>
    <d v="2023-11-27T00:00:00"/>
    <d v="2023-12-03T00:00:00"/>
    <x v="4"/>
    <n v="67617"/>
    <n v="2694"/>
    <n v="4836.2700000000004"/>
    <n v="389"/>
    <s v="No"/>
    <s v="Google Ads"/>
    <n v="6"/>
    <n v="3.9842051555082303E-2"/>
    <n v="0.14439495174461767"/>
    <n v="1.7952004454342987"/>
    <n v="12.432570694087405"/>
    <n v="11"/>
    <x v="1"/>
    <s v="November"/>
  </r>
  <r>
    <s v="CMP-00897"/>
    <s v="Q3_Launch_CMP-00897"/>
    <x v="1"/>
    <s v="Launch"/>
    <d v="2023-11-27T00:00:00"/>
    <d v="2023-12-19T00:00:00"/>
    <x v="5"/>
    <n v="12637"/>
    <n v="413"/>
    <n v="290.56"/>
    <n v="23"/>
    <s v="No"/>
    <s v="Not specified"/>
    <n v="22"/>
    <n v="3.2681807390994695E-2"/>
    <n v="5.569007263922518E-2"/>
    <n v="0.70353510895883775"/>
    <n v="12.63304347826087"/>
    <n v="11"/>
    <x v="1"/>
    <s v="November"/>
  </r>
  <r>
    <s v="CMP-01675"/>
    <s v="Q3_Launch_CMP-01675"/>
    <x v="1"/>
    <s v="Launch"/>
    <d v="2023-11-27T00:00:00"/>
    <d v="2023-12-18T00:00:00"/>
    <x v="0"/>
    <n v="60720"/>
    <n v="1367"/>
    <n v="1880.83"/>
    <n v="143"/>
    <s v="Yes"/>
    <s v="TikTok"/>
    <n v="21"/>
    <n v="2.2513175230566534E-2"/>
    <n v="0.10460863204096561"/>
    <n v="1.3758814923189466"/>
    <n v="13.152657342657342"/>
    <n v="11"/>
    <x v="1"/>
    <s v="November"/>
  </r>
  <r>
    <s v="CMP-00480"/>
    <s v="Q4_Launch_CMP-00480"/>
    <x v="2"/>
    <s v="Launch"/>
    <d v="2023-11-27T00:00:00"/>
    <d v="2023-12-22T00:00:00"/>
    <x v="1"/>
    <n v="30375"/>
    <n v="734"/>
    <n v="525.88"/>
    <n v="82"/>
    <s v="No"/>
    <s v="Email"/>
    <n v="25"/>
    <n v="2.4164609053497942E-2"/>
    <n v="0.11171662125340599"/>
    <n v="0.71645776566757491"/>
    <n v="6.413170731707317"/>
    <n v="11"/>
    <x v="1"/>
    <s v="November"/>
  </r>
  <r>
    <s v="CMP-00488"/>
    <s v="Q4_Summer_CMP-00488"/>
    <x v="2"/>
    <s v="Summer"/>
    <d v="2023-11-27T00:00:00"/>
    <d v="2023-12-23T00:00:00"/>
    <x v="1"/>
    <n v="14284"/>
    <n v="656"/>
    <n v="1005.74"/>
    <n v="97"/>
    <s v="No"/>
    <s v="Email"/>
    <n v="26"/>
    <n v="4.5925511061327362E-2"/>
    <n v="0.14786585365853658"/>
    <n v="1.5331402439024391"/>
    <n v="10.368453608247423"/>
    <n v="11"/>
    <x v="1"/>
    <s v="November"/>
  </r>
  <r>
    <s v="CMP-00493"/>
    <s v="Q1_BlackFriday_CMP-00493"/>
    <x v="3"/>
    <s v="BlackFriday"/>
    <d v="2023-11-28T00:00:00"/>
    <d v="2023-12-18T00:00:00"/>
    <x v="1"/>
    <n v="10435"/>
    <n v="108"/>
    <n v="182.62"/>
    <n v="13"/>
    <s v="Yes"/>
    <s v="Email"/>
    <n v="20"/>
    <n v="1.0349784379492095E-2"/>
    <n v="0.12037037037037036"/>
    <n v="1.6909259259259259"/>
    <n v="14.047692307692309"/>
    <n v="11"/>
    <x v="1"/>
    <s v="November"/>
  </r>
  <r>
    <s v="CMP-00266"/>
    <s v="Q2_BlackFriday_CMP-00266"/>
    <x v="0"/>
    <s v="BlackFriday"/>
    <d v="2023-11-28T00:00:00"/>
    <d v="2023-12-23T00:00:00"/>
    <x v="4"/>
    <n v="9155"/>
    <n v="312"/>
    <n v="396.04"/>
    <n v="58"/>
    <s v="No"/>
    <s v="Google Ads"/>
    <n v="25"/>
    <n v="3.4079737848170401E-2"/>
    <n v="0.1858974358974359"/>
    <n v="1.2693589743589744"/>
    <n v="6.8282758620689661"/>
    <n v="11"/>
    <x v="1"/>
    <s v="November"/>
  </r>
  <r>
    <s v="CMP-00564"/>
    <s v="Q2_Winstagramter_CMP-00564"/>
    <x v="0"/>
    <s v="Winstagramter"/>
    <d v="2023-11-28T00:00:00"/>
    <d v="2023-12-16T00:00:00"/>
    <x v="3"/>
    <n v="66953"/>
    <n v="3025"/>
    <n v="1707.85"/>
    <n v="477"/>
    <s v="Yes"/>
    <s v="FB"/>
    <n v="18"/>
    <n v="4.5180947829074128E-2"/>
    <n v="0.15768595041322314"/>
    <n v="0.56457851239669421"/>
    <n v="3.5803983228511527"/>
    <n v="11"/>
    <x v="1"/>
    <s v="November"/>
  </r>
  <r>
    <s v="CMP-00896"/>
    <s v="Q2_Launch_CMP-00896"/>
    <x v="0"/>
    <s v="Launch"/>
    <d v="2023-11-28T00:00:00"/>
    <d v="2023-12-26T00:00:00"/>
    <x v="3"/>
    <n v="7090"/>
    <n v="83"/>
    <n v="109.32"/>
    <n v="8"/>
    <s v="Yes"/>
    <s v="FB"/>
    <n v="28"/>
    <n v="1.1706629055007052E-2"/>
    <n v="9.6385542168674704E-2"/>
    <n v="1.3171084337349397"/>
    <n v="13.664999999999999"/>
    <n v="11"/>
    <x v="1"/>
    <s v="November"/>
  </r>
  <r>
    <s v="CMP-01398"/>
    <s v="Q2_Winstagramter_CMP-01398"/>
    <x v="0"/>
    <s v="Winstagramter"/>
    <d v="2023-11-28T00:00:00"/>
    <d v="2023-12-24T00:00:00"/>
    <x v="3"/>
    <n v="93201"/>
    <n v="4285"/>
    <n v="5702.2"/>
    <n v="0"/>
    <s v="Yes"/>
    <s v="FB"/>
    <n v="26"/>
    <n v="4.5975901546120752E-2"/>
    <n v="0"/>
    <n v="1.33073512252042"/>
    <s v="0"/>
    <n v="11"/>
    <x v="1"/>
    <s v="November"/>
  </r>
  <r>
    <s v="CMP-00214"/>
    <s v="Q3_Winstagramter_CMP-00214"/>
    <x v="1"/>
    <s v="Winstagramter"/>
    <d v="2023-11-28T00:00:00"/>
    <d v="2023-12-10T00:00:00"/>
    <x v="1"/>
    <n v="94264"/>
    <n v="3934"/>
    <n v="7267.5"/>
    <n v="453"/>
    <s v="Yes"/>
    <s v="Email"/>
    <n v="12"/>
    <n v="4.1733853857251972E-2"/>
    <n v="0.11514997458057956"/>
    <n v="1.8473563802745296"/>
    <n v="16.043046357615893"/>
    <n v="11"/>
    <x v="1"/>
    <s v="November"/>
  </r>
  <r>
    <s v="CMP-01455"/>
    <s v="Q3_Launch_CMP-01455"/>
    <x v="1"/>
    <s v="Launch"/>
    <d v="2023-11-28T00:00:00"/>
    <d v="2023-12-23T00:00:00"/>
    <x v="5"/>
    <n v="68298"/>
    <n v="3401"/>
    <n v="2013.86"/>
    <n v="475"/>
    <s v="No"/>
    <s v="Not specified"/>
    <n v="25"/>
    <n v="4.9796480131189785E-2"/>
    <n v="0.13966480446927373"/>
    <n v="0.5921376065862981"/>
    <n v="4.2397052631578944"/>
    <n v="11"/>
    <x v="1"/>
    <s v="November"/>
  </r>
  <r>
    <s v="CMP-01516"/>
    <s v="Q4_Summer_CMP-01516"/>
    <x v="2"/>
    <s v="Summer"/>
    <d v="2023-11-28T00:00:00"/>
    <d v="2023-12-21T00:00:00"/>
    <x v="0"/>
    <n v="38641"/>
    <n v="1073"/>
    <n v="1662.5"/>
    <n v="136"/>
    <s v="Yes"/>
    <s v="TikTok"/>
    <n v="23"/>
    <n v="2.7768432493983076E-2"/>
    <n v="0.12674743709226469"/>
    <n v="1.549394221808015"/>
    <n v="12.224264705882353"/>
    <n v="11"/>
    <x v="1"/>
    <s v="November"/>
  </r>
  <r>
    <s v="CMP-00321"/>
    <s v="Q1_BlackFriday_CMP-00321"/>
    <x v="3"/>
    <s v="BlackFriday"/>
    <d v="2023-11-29T00:00:00"/>
    <d v="2023-12-03T00:00:00"/>
    <x v="0"/>
    <n v="59871"/>
    <n v="980"/>
    <n v="1525"/>
    <n v="172"/>
    <s v="No"/>
    <s v="TikTok"/>
    <n v="4"/>
    <n v="1.6368525663509881E-2"/>
    <n v="0.17551020408163265"/>
    <n v="1.5561224489795917"/>
    <n v="8.8662790697674421"/>
    <n v="11"/>
    <x v="1"/>
    <s v="November"/>
  </r>
  <r>
    <s v="CMP-00985"/>
    <s v="Q1_Winstagramter_CMP-00985"/>
    <x v="3"/>
    <s v="Winstagramter"/>
    <d v="2023-11-29T00:00:00"/>
    <d v="2023-12-22T00:00:00"/>
    <x v="2"/>
    <n v="78735"/>
    <n v="2914"/>
    <n v="2869.27"/>
    <n v="464"/>
    <s v="No"/>
    <s v="IG"/>
    <n v="23"/>
    <n v="3.7010224169683116E-2"/>
    <n v="0.15923129718599863"/>
    <n v="0.98464996568291008"/>
    <n v="6.1837715517241376"/>
    <n v="11"/>
    <x v="1"/>
    <s v="November"/>
  </r>
  <r>
    <s v="CMP-01135"/>
    <s v="Q1_Winstagramter_CMP-01135"/>
    <x v="3"/>
    <s v="Winstagramter"/>
    <d v="2023-11-29T00:00:00"/>
    <d v="2023-12-29T00:00:00"/>
    <x v="1"/>
    <n v="88487"/>
    <n v="2038"/>
    <n v="1199.9000000000001"/>
    <n v="391"/>
    <s v="Yes"/>
    <s v="Email"/>
    <n v="30"/>
    <n v="2.3031631765118039E-2"/>
    <n v="0.19185475956820411"/>
    <n v="0.58876349362119729"/>
    <n v="3.0687979539641947"/>
    <n v="11"/>
    <x v="1"/>
    <s v="November"/>
  </r>
  <r>
    <s v="CMP-01423"/>
    <s v="Q3_Summer_CMP-01423"/>
    <x v="1"/>
    <s v="Summer"/>
    <d v="2023-11-29T00:00:00"/>
    <d v="2023-12-28T00:00:00"/>
    <x v="4"/>
    <n v="12664"/>
    <n v="209"/>
    <n v="336.21"/>
    <n v="14"/>
    <s v="Yes"/>
    <s v="Google Ads"/>
    <n v="29"/>
    <n v="1.6503474415666457E-2"/>
    <n v="6.6985645933014357E-2"/>
    <n v="1.6086602870813396"/>
    <n v="24.014999999999997"/>
    <n v="11"/>
    <x v="1"/>
    <s v="November"/>
  </r>
  <r>
    <s v="CMP-01501"/>
    <s v="Q3_BlackFriday_CMP-01501"/>
    <x v="1"/>
    <s v="BlackFriday"/>
    <d v="2023-11-29T00:00:00"/>
    <d v="2023-12-28T00:00:00"/>
    <x v="0"/>
    <n v="72431"/>
    <n v="1436"/>
    <n v="1681.27"/>
    <n v="279"/>
    <s v="Yes"/>
    <s v="TikTok"/>
    <n v="29"/>
    <n v="1.9825765211028426E-2"/>
    <n v="0.19428969359331477"/>
    <n v="1.170800835654596"/>
    <n v="6.0260573476702506"/>
    <n v="11"/>
    <x v="1"/>
    <s v="November"/>
  </r>
  <r>
    <s v="CMP-01853"/>
    <s v="Q3_BlackFriday_CMP-01853"/>
    <x v="1"/>
    <s v="BlackFriday"/>
    <d v="2023-11-29T00:00:00"/>
    <d v="2023-12-01T00:00:00"/>
    <x v="5"/>
    <n v="77961"/>
    <n v="3292"/>
    <n v="4713.42"/>
    <n v="649"/>
    <s v="Yes"/>
    <s v="Not specified"/>
    <n v="2"/>
    <n v="4.22262413257911E-2"/>
    <n v="0.19714459295261239"/>
    <n v="1.4317800729040098"/>
    <n v="7.2625885978428348"/>
    <n v="11"/>
    <x v="1"/>
    <s v="November"/>
  </r>
  <r>
    <s v="CMP-00998"/>
    <s v="Q4_Summer_CMP-00998"/>
    <x v="2"/>
    <s v="Summer"/>
    <d v="2023-11-29T00:00:00"/>
    <d v="2023-12-17T00:00:00"/>
    <x v="0"/>
    <n v="18260"/>
    <n v="879"/>
    <n v="1254.24"/>
    <n v="132"/>
    <s v="Yes"/>
    <s v="TikTok"/>
    <n v="18"/>
    <n v="4.8138006571741512E-2"/>
    <n v="0.15017064846416384"/>
    <n v="1.4268941979522185"/>
    <n v="9.5018181818181819"/>
    <n v="11"/>
    <x v="1"/>
    <s v="November"/>
  </r>
  <r>
    <s v="CMP-01990"/>
    <s v="Q4_Launch_CMP-01990"/>
    <x v="2"/>
    <s v="Launch"/>
    <d v="2023-11-29T00:00:00"/>
    <d v="2023-12-28T00:00:00"/>
    <x v="1"/>
    <n v="80148"/>
    <n v="2827"/>
    <n v="2527.5700000000002"/>
    <n v="192"/>
    <s v="Yes"/>
    <s v="Email"/>
    <n v="29"/>
    <n v="3.5272246344263111E-2"/>
    <n v="6.7916519278386989E-2"/>
    <n v="0.89408206579412808"/>
    <n v="13.164427083333335"/>
    <n v="11"/>
    <x v="1"/>
    <s v="November"/>
  </r>
  <r>
    <s v="CMP-00199"/>
    <s v="Q1_BlackFriday_CMP-00199"/>
    <x v="3"/>
    <s v="BlackFriday"/>
    <d v="2023-11-30T00:00:00"/>
    <d v="2023-12-27T00:00:00"/>
    <x v="1"/>
    <n v="62087"/>
    <n v="2285"/>
    <n v="4519.63"/>
    <n v="143"/>
    <s v="No"/>
    <s v="Email"/>
    <n v="27"/>
    <n v="3.6803195515969528E-2"/>
    <n v="6.2582056892778987E-2"/>
    <n v="1.9779562363238512"/>
    <n v="31.605804195804197"/>
    <n v="11"/>
    <x v="1"/>
    <s v="November"/>
  </r>
  <r>
    <s v="CMP-00876"/>
    <s v="Q1_Summer_CMP-00876"/>
    <x v="3"/>
    <s v="Summer"/>
    <d v="2023-11-30T00:00:00"/>
    <d v="2023-12-11T00:00:00"/>
    <x v="3"/>
    <n v="44088"/>
    <n v="1184"/>
    <n v="1521.85"/>
    <n v="105"/>
    <s v="Yes"/>
    <s v="FB"/>
    <n v="11"/>
    <n v="2.6855380148793323E-2"/>
    <n v="8.8682432432432429E-2"/>
    <n v="1.2853462837837837"/>
    <n v="14.493809523809523"/>
    <n v="11"/>
    <x v="1"/>
    <s v="November"/>
  </r>
  <r>
    <s v="CMP-01431"/>
    <s v="Q2_Winstagramter_CMP-01431"/>
    <x v="0"/>
    <s v="Winstagramter"/>
    <d v="2023-11-30T00:00:00"/>
    <d v="2023-12-22T00:00:00"/>
    <x v="2"/>
    <n v="20250"/>
    <n v="761"/>
    <n v="423.53"/>
    <n v="91"/>
    <s v="Yes"/>
    <s v="IG"/>
    <n v="22"/>
    <n v="3.7580246913580244E-2"/>
    <n v="0.11957950065703023"/>
    <n v="0.55654402102496714"/>
    <n v="4.654175824175824"/>
    <n v="11"/>
    <x v="1"/>
    <s v="November"/>
  </r>
  <r>
    <s v="CMP-00218"/>
    <s v="Q3_Winstagramter_CMP-00218"/>
    <x v="1"/>
    <s v="Winstagramter"/>
    <d v="2023-11-30T00:00:00"/>
    <d v="2023-12-05T00:00:00"/>
    <x v="5"/>
    <n v="91084"/>
    <n v="1227"/>
    <n v="1112.95"/>
    <n v="119"/>
    <s v="Yes"/>
    <s v="Not specified"/>
    <n v="5"/>
    <n v="1.3471081638926704E-2"/>
    <n v="9.6984515077424616E-2"/>
    <n v="0.90704971475142626"/>
    <n v="9.352521008403361"/>
    <n v="11"/>
    <x v="1"/>
    <s v="November"/>
  </r>
  <r>
    <s v="CMP-00484"/>
    <s v="Q3_Winstagramter_CMP-00484"/>
    <x v="1"/>
    <s v="Winstagramter"/>
    <d v="2023-11-30T00:00:00"/>
    <d v="2023-12-16T00:00:00"/>
    <x v="4"/>
    <n v="74666"/>
    <n v="951"/>
    <n v="786.85"/>
    <n v="67"/>
    <s v="No"/>
    <s v="Google Ads"/>
    <n v="16"/>
    <n v="1.2736720863579139E-2"/>
    <n v="7.0452155625657209E-2"/>
    <n v="0.82739221871713986"/>
    <n v="11.744029850746269"/>
    <n v="11"/>
    <x v="1"/>
    <s v="November"/>
  </r>
  <r>
    <s v="CMP-01247"/>
    <s v="Q3_Winstagramter_CMP-01247"/>
    <x v="1"/>
    <s v="Winstagramter"/>
    <d v="2023-11-30T00:00:00"/>
    <d v="2023-12-22T00:00:00"/>
    <x v="2"/>
    <n v="71835"/>
    <n v="2295"/>
    <n v="2910.8"/>
    <n v="450"/>
    <s v="Yes"/>
    <s v="IG"/>
    <n v="22"/>
    <n v="3.1948214658592607E-2"/>
    <n v="0.19607843137254902"/>
    <n v="1.268322440087146"/>
    <n v="6.4684444444444447"/>
    <n v="11"/>
    <x v="1"/>
    <s v="November"/>
  </r>
  <r>
    <s v="CMP-00313"/>
    <s v="Q4_Summer_CMP-00313"/>
    <x v="2"/>
    <s v="Summer"/>
    <d v="2023-11-30T00:00:00"/>
    <d v="2023-12-05T00:00:00"/>
    <x v="4"/>
    <n v="51108"/>
    <n v="1009"/>
    <n v="1693.83"/>
    <n v="81"/>
    <s v="No"/>
    <s v="Google Ads"/>
    <n v="5"/>
    <n v="1.9742506065586602E-2"/>
    <n v="8.0277502477700699E-2"/>
    <n v="1.6787215064420218"/>
    <n v="20.911481481481481"/>
    <n v="11"/>
    <x v="1"/>
    <s v="November"/>
  </r>
  <r>
    <s v="CMP-00104"/>
    <s v="Q1_Winstagramter_CMP-00104"/>
    <x v="3"/>
    <s v="Winstagramter"/>
    <d v="2023-12-01T00:00:00"/>
    <d v="2023-12-06T00:00:00"/>
    <x v="1"/>
    <n v="49190"/>
    <n v="1518"/>
    <n v="2212.46"/>
    <n v="188"/>
    <s v="Yes"/>
    <s v="Email"/>
    <n v="5"/>
    <n v="3.0859930880260216E-2"/>
    <n v="0.12384716732542819"/>
    <n v="1.457483530961792"/>
    <n v="11.768404255319149"/>
    <n v="12"/>
    <x v="1"/>
    <s v="December"/>
  </r>
  <r>
    <s v="CMP-00645"/>
    <s v="Q1_BlackFriday_CMP-00645"/>
    <x v="3"/>
    <s v="BlackFriday"/>
    <d v="2023-12-01T00:00:00"/>
    <d v="2023-12-19T00:00:00"/>
    <x v="3"/>
    <n v="24714"/>
    <n v="936"/>
    <n v="1219.6600000000001"/>
    <n v="182"/>
    <s v="Yes"/>
    <s v="FB"/>
    <n v="18"/>
    <n v="3.7873270211216316E-2"/>
    <n v="0.19444444444444445"/>
    <n v="1.3030555555555556"/>
    <n v="6.701428571428572"/>
    <n v="12"/>
    <x v="1"/>
    <s v="December"/>
  </r>
  <r>
    <s v="CMP-00724"/>
    <s v="Q1_Summer_CMP-00724"/>
    <x v="3"/>
    <s v="Summer"/>
    <d v="2023-12-01T00:00:00"/>
    <d v="2023-12-02T00:00:00"/>
    <x v="4"/>
    <n v="92362"/>
    <n v="2507"/>
    <n v="2302.4499999999998"/>
    <n v="260"/>
    <s v="Yes"/>
    <s v="Google Ads"/>
    <n v="1"/>
    <n v="2.7143197418851909E-2"/>
    <n v="0.10370961308336657"/>
    <n v="0.91840845632229751"/>
    <n v="8.8555769230769226"/>
    <n v="12"/>
    <x v="1"/>
    <s v="December"/>
  </r>
  <r>
    <s v="CMP-01162"/>
    <s v="Q1_Winstagramter_CMP-01162"/>
    <x v="3"/>
    <s v="Winstagramter"/>
    <d v="2023-12-01T00:00:00"/>
    <d v="2023-12-24T00:00:00"/>
    <x v="3"/>
    <n v="30486"/>
    <n v="904"/>
    <n v="1400.3"/>
    <n v="82"/>
    <s v="Yes"/>
    <s v="FB"/>
    <n v="23"/>
    <n v="2.9652955454962934E-2"/>
    <n v="9.0707964601769914E-2"/>
    <n v="1.5490044247787611"/>
    <n v="17.076829268292684"/>
    <n v="12"/>
    <x v="1"/>
    <s v="December"/>
  </r>
  <r>
    <s v="CMP-01487"/>
    <s v="Q1_Launch_CMP-01487"/>
    <x v="3"/>
    <s v="Launch"/>
    <d v="2023-12-01T00:00:00"/>
    <d v="2023-12-23T00:00:00"/>
    <x v="4"/>
    <n v="92748"/>
    <n v="3760"/>
    <n v="6597.41"/>
    <n v="474"/>
    <s v="No"/>
    <s v="Google Ads"/>
    <n v="22"/>
    <n v="4.0539957734937682E-2"/>
    <n v="0.12606382978723404"/>
    <n v="1.7546303191489361"/>
    <n v="13.918586497890296"/>
    <n v="12"/>
    <x v="1"/>
    <s v="December"/>
  </r>
  <r>
    <s v="CMP-00701"/>
    <s v="Q3_Summer_CMP-00701"/>
    <x v="1"/>
    <s v="Summer"/>
    <d v="2023-12-01T00:00:00"/>
    <d v="2023-12-25T00:00:00"/>
    <x v="3"/>
    <n v="14116"/>
    <n v="223"/>
    <n v="290.51"/>
    <n v="11"/>
    <s v="Yes"/>
    <s v="FB"/>
    <n v="24"/>
    <n v="1.5797676395579486E-2"/>
    <n v="4.9327354260089683E-2"/>
    <n v="1.3027354260089685"/>
    <n v="26.41"/>
    <n v="12"/>
    <x v="1"/>
    <s v="December"/>
  </r>
  <r>
    <s v="CMP-00157"/>
    <s v="Q3_Launch_CMP-00157"/>
    <x v="1"/>
    <s v="Launch"/>
    <d v="2023-12-01T00:00:00"/>
    <d v="2023-12-06T00:00:00"/>
    <x v="0"/>
    <n v="82734"/>
    <n v="2912"/>
    <n v="4690.79"/>
    <n v="0"/>
    <s v="Yes"/>
    <s v="TikTok"/>
    <n v="5"/>
    <n v="3.5197137815166681E-2"/>
    <n v="0"/>
    <n v="1.6108482142857143"/>
    <s v="0"/>
    <n v="12"/>
    <x v="1"/>
    <s v="December"/>
  </r>
  <r>
    <s v="CMP-01340"/>
    <s v="Q3_Launch_CMP-01340"/>
    <x v="1"/>
    <s v="Launch"/>
    <d v="2023-12-01T00:00:00"/>
    <d v="2023-12-06T00:00:00"/>
    <x v="3"/>
    <n v="67358"/>
    <n v="1012"/>
    <n v="1217.6199999999999"/>
    <n v="110"/>
    <s v="No"/>
    <s v="FB"/>
    <n v="5"/>
    <n v="1.5024199055791443E-2"/>
    <n v="0.10869565217391304"/>
    <n v="1.2031818181818181"/>
    <n v="11.069272727272727"/>
    <n v="12"/>
    <x v="1"/>
    <s v="December"/>
  </r>
  <r>
    <s v="CMP-00030"/>
    <s v="Q1_Summer_CMP-00030"/>
    <x v="3"/>
    <s v="Summer"/>
    <d v="2023-12-02T00:00:00"/>
    <d v="2023-12-08T00:00:00"/>
    <x v="2"/>
    <n v="3747"/>
    <n v="135"/>
    <n v="157.38"/>
    <n v="9"/>
    <s v="No"/>
    <s v="IG"/>
    <n v="6"/>
    <n v="3.6028823058446756E-2"/>
    <n v="6.6666666666666666E-2"/>
    <n v="1.1657777777777778"/>
    <n v="17.486666666666665"/>
    <n v="12"/>
    <x v="1"/>
    <s v="December"/>
  </r>
  <r>
    <s v="CMP-01654"/>
    <s v="Q1_Launch_CMP-01654"/>
    <x v="3"/>
    <s v="Launch"/>
    <d v="2023-12-02T00:00:00"/>
    <d v="2023-12-18T00:00:00"/>
    <x v="0"/>
    <n v="67262"/>
    <n v="2176"/>
    <n v="2177.0700000000002"/>
    <n v="344"/>
    <s v="No"/>
    <s v="TikTok"/>
    <n v="16"/>
    <n v="3.2351104635604054E-2"/>
    <n v="0.15808823529411764"/>
    <n v="1.0004917279411765"/>
    <n v="6.328691860465117"/>
    <n v="12"/>
    <x v="1"/>
    <s v="December"/>
  </r>
  <r>
    <s v="CMP-00498"/>
    <s v="Q2_Winstagramter_CMP-00498"/>
    <x v="0"/>
    <s v="Winstagramter"/>
    <d v="2023-12-02T00:00:00"/>
    <d v="2023-12-03T00:00:00"/>
    <x v="3"/>
    <n v="96981"/>
    <n v="2825"/>
    <n v="4949.08"/>
    <n v="460"/>
    <s v="Yes"/>
    <s v="FB"/>
    <n v="1"/>
    <n v="2.9129417102319012E-2"/>
    <n v="0.16283185840707964"/>
    <n v="1.7518867256637167"/>
    <n v="10.758869565217392"/>
    <n v="12"/>
    <x v="1"/>
    <s v="December"/>
  </r>
  <r>
    <s v="CMP-00962"/>
    <s v="Q2_Winstagramter_CMP-00962"/>
    <x v="0"/>
    <s v="Winstagramter"/>
    <d v="2023-12-02T00:00:00"/>
    <d v="2023-12-18T00:00:00"/>
    <x v="3"/>
    <n v="47271"/>
    <n v="1360"/>
    <n v="1282.75"/>
    <n v="129"/>
    <s v="No"/>
    <s v="FB"/>
    <n v="16"/>
    <n v="2.877028199107275E-2"/>
    <n v="9.4852941176470584E-2"/>
    <n v="0.94319852941176474"/>
    <n v="9.9437984496124034"/>
    <n v="12"/>
    <x v="1"/>
    <s v="December"/>
  </r>
  <r>
    <s v="CMP-01048"/>
    <s v="Q3_Summer_CMP-01048"/>
    <x v="1"/>
    <s v="Summer"/>
    <d v="2023-12-02T00:00:00"/>
    <d v="2023-12-15T00:00:00"/>
    <x v="0"/>
    <n v="2917"/>
    <n v="92"/>
    <n v="167.93"/>
    <n v="14"/>
    <s v="Yes"/>
    <s v="TikTok"/>
    <n v="13"/>
    <n v="3.1539252656839219E-2"/>
    <n v="0.15217391304347827"/>
    <n v="1.8253260869565218"/>
    <n v="11.995000000000001"/>
    <n v="12"/>
    <x v="1"/>
    <s v="December"/>
  </r>
  <r>
    <s v="CMP-01334"/>
    <s v="Q3_BlackFriday_CMP-01334"/>
    <x v="1"/>
    <s v="BlackFriday"/>
    <d v="2023-12-02T00:00:00"/>
    <d v="2023-12-22T00:00:00"/>
    <x v="1"/>
    <n v="76039"/>
    <n v="2730"/>
    <n v="3319.13"/>
    <n v="467"/>
    <s v="No"/>
    <s v="Email"/>
    <n v="20"/>
    <n v="3.5902628914109863E-2"/>
    <n v="0.17106227106227107"/>
    <n v="1.2157985347985349"/>
    <n v="7.1073447537473236"/>
    <n v="12"/>
    <x v="1"/>
    <s v="December"/>
  </r>
  <r>
    <s v="CMP-01205"/>
    <s v="Q4_Summer_CMP-01205"/>
    <x v="2"/>
    <s v="Summer"/>
    <d v="2023-12-02T00:00:00"/>
    <d v="2023-12-18T00:00:00"/>
    <x v="1"/>
    <n v="56176"/>
    <n v="566"/>
    <n v="609.64"/>
    <n v="55"/>
    <s v="No"/>
    <s v="Email"/>
    <n v="16"/>
    <n v="1.0075477072059242E-2"/>
    <n v="9.7173144876325085E-2"/>
    <n v="1.0771024734982333"/>
    <n v="11.084363636363635"/>
    <n v="12"/>
    <x v="1"/>
    <s v="December"/>
  </r>
  <r>
    <s v="CMP-01565"/>
    <s v="Q4_Launch_CMP-01565"/>
    <x v="2"/>
    <s v="Launch"/>
    <d v="2023-12-02T00:00:00"/>
    <d v="2023-12-25T00:00:00"/>
    <x v="3"/>
    <n v="55620"/>
    <n v="1340"/>
    <n v="1394.39"/>
    <n v="234"/>
    <s v="No"/>
    <s v="FB"/>
    <n v="23"/>
    <n v="2.409205321826681E-2"/>
    <n v="0.17462686567164179"/>
    <n v="1.040589552238806"/>
    <n v="5.9589316239316243"/>
    <n v="12"/>
    <x v="1"/>
    <s v="December"/>
  </r>
  <r>
    <s v="CMP-00495"/>
    <s v="Q1_Summer_CMP-00495"/>
    <x v="3"/>
    <s v="Summer"/>
    <d v="2023-12-03T00:00:00"/>
    <d v="2024-01-01T00:00:00"/>
    <x v="1"/>
    <n v="45078"/>
    <n v="920"/>
    <n v="531.46"/>
    <n v="130"/>
    <s v="No"/>
    <s v="Email"/>
    <n v="29"/>
    <n v="2.0409068725320556E-2"/>
    <n v="0.14130434782608695"/>
    <n v="0.57767391304347826"/>
    <n v="4.0881538461538467"/>
    <n v="12"/>
    <x v="1"/>
    <s v="December"/>
  </r>
  <r>
    <s v="CMP-01257"/>
    <s v="Q1_BlackFriday_CMP-01257"/>
    <x v="3"/>
    <s v="BlackFriday"/>
    <d v="2023-12-03T00:00:00"/>
    <d v="2023-12-13T00:00:00"/>
    <x v="0"/>
    <n v="17241"/>
    <n v="738"/>
    <n v="537.14"/>
    <n v="0"/>
    <s v="No"/>
    <s v="TikTok"/>
    <n v="10"/>
    <n v="4.2804941708717591E-2"/>
    <n v="0"/>
    <n v="0.72783197831978319"/>
    <s v="0"/>
    <n v="12"/>
    <x v="1"/>
    <s v="December"/>
  </r>
  <r>
    <s v="CMP-01032"/>
    <s v="Q4_BlackFriday_CMP-01032"/>
    <x v="2"/>
    <s v="BlackFriday"/>
    <d v="2023-12-03T00:00:00"/>
    <d v="2023-12-06T00:00:00"/>
    <x v="3"/>
    <n v="47514"/>
    <n v="2033"/>
    <n v="3515.9"/>
    <n v="165"/>
    <s v="Yes"/>
    <s v="FB"/>
    <n v="3"/>
    <n v="4.2787388980090081E-2"/>
    <n v="8.1160846040334481E-2"/>
    <n v="1.7294146581406789"/>
    <n v="21.308484848484849"/>
    <n v="12"/>
    <x v="1"/>
    <s v="December"/>
  </r>
  <r>
    <s v="CMP-01114"/>
    <s v="Q4_Winstagramter_CMP-01114"/>
    <x v="2"/>
    <s v="Winstagramter"/>
    <d v="2023-12-03T00:00:00"/>
    <d v="2023-12-05T00:00:00"/>
    <x v="4"/>
    <n v="88062"/>
    <n v="1473"/>
    <n v="2349.9699999999998"/>
    <n v="129"/>
    <s v="No"/>
    <s v="Google Ads"/>
    <n v="2"/>
    <n v="1.6726851536417522E-2"/>
    <n v="8.7576374745417518E-2"/>
    <n v="1.5953632043448742"/>
    <n v="18.216821705426355"/>
    <n v="12"/>
    <x v="1"/>
    <s v="December"/>
  </r>
  <r>
    <s v="CMP-01832"/>
    <s v="Q4_Launch_CMP-01832"/>
    <x v="2"/>
    <s v="Launch"/>
    <d v="2023-12-03T00:00:00"/>
    <d v="2023-12-14T00:00:00"/>
    <x v="0"/>
    <n v="53307"/>
    <n v="2207"/>
    <n v="3406.93"/>
    <n v="354"/>
    <s v="No"/>
    <s v="TikTok"/>
    <n v="11"/>
    <n v="4.14016920854672E-2"/>
    <n v="0.16039873130946986"/>
    <n v="1.5436927956502038"/>
    <n v="9.6240960451977404"/>
    <n v="12"/>
    <x v="1"/>
    <s v="December"/>
  </r>
  <r>
    <s v="CMP-01817"/>
    <s v="Q1_Launch_CMP-01817"/>
    <x v="3"/>
    <s v="Launch"/>
    <d v="2023-12-04T00:00:00"/>
    <d v="2023-12-09T00:00:00"/>
    <x v="0"/>
    <n v="27029"/>
    <n v="1205"/>
    <n v="892.77"/>
    <n v="173"/>
    <s v="Yes"/>
    <s v="TikTok"/>
    <n v="5"/>
    <n v="4.4581745532576121E-2"/>
    <n v="0.14356846473029045"/>
    <n v="0.74088796680497926"/>
    <n v="5.1605202312138729"/>
    <n v="12"/>
    <x v="1"/>
    <s v="December"/>
  </r>
  <r>
    <s v="CMP-00306"/>
    <s v="Q2_Summer_CMP-00306"/>
    <x v="0"/>
    <s v="Summer"/>
    <d v="2023-12-04T00:00:00"/>
    <d v="2023-12-06T00:00:00"/>
    <x v="4"/>
    <n v="3200"/>
    <n v="92"/>
    <n v="73.53"/>
    <n v="7"/>
    <s v="Yes"/>
    <s v="Google Ads"/>
    <n v="2"/>
    <n v="2.8750000000000001E-2"/>
    <n v="7.6086956521739135E-2"/>
    <n v="0.79923913043478267"/>
    <n v="10.504285714285714"/>
    <n v="12"/>
    <x v="1"/>
    <s v="December"/>
  </r>
  <r>
    <s v="CMP-00402"/>
    <s v="Q3_Launch_CMP-00402"/>
    <x v="1"/>
    <s v="Launch"/>
    <d v="2023-12-04T00:00:00"/>
    <d v="2023-12-31T00:00:00"/>
    <x v="1"/>
    <n v="9716"/>
    <n v="182"/>
    <n v="165.52"/>
    <n v="0"/>
    <s v="Yes"/>
    <s v="Email"/>
    <n v="27"/>
    <n v="1.8731988472622477E-2"/>
    <n v="0"/>
    <n v="0.90945054945054948"/>
    <s v="0"/>
    <n v="12"/>
    <x v="1"/>
    <s v="December"/>
  </r>
  <r>
    <s v="CMP-01359"/>
    <s v="Q3_BlackFriday_CMP-01359"/>
    <x v="1"/>
    <s v="BlackFriday"/>
    <d v="2023-12-04T00:00:00"/>
    <d v="2024-01-03T00:00:00"/>
    <x v="0"/>
    <n v="86514"/>
    <n v="4148"/>
    <n v="8267.84"/>
    <n v="0"/>
    <s v="No"/>
    <s v="TikTok"/>
    <n v="30"/>
    <n v="4.7945997179647225E-2"/>
    <n v="0"/>
    <n v="1.9932111861137898"/>
    <s v="0"/>
    <n v="12"/>
    <x v="1"/>
    <s v="December"/>
  </r>
  <r>
    <s v="CMP-00351"/>
    <s v="Q4_Winstagramter_CMP-00351"/>
    <x v="2"/>
    <s v="Winstagramter"/>
    <d v="2023-12-04T00:00:00"/>
    <d v="2023-12-29T00:00:00"/>
    <x v="4"/>
    <n v="46714"/>
    <n v="754"/>
    <n v="603.02"/>
    <n v="125"/>
    <s v="No"/>
    <s v="Google Ads"/>
    <n v="25"/>
    <n v="1.6140771503189624E-2"/>
    <n v="0.16578249336870027"/>
    <n v="0.79976127320954904"/>
    <n v="4.82416"/>
    <n v="12"/>
    <x v="1"/>
    <s v="December"/>
  </r>
  <r>
    <s v="CMP-01728"/>
    <s v="Q4_Winstagramter_CMP-01728"/>
    <x v="2"/>
    <s v="Winstagramter"/>
    <d v="2023-12-04T00:00:00"/>
    <d v="2024-01-02T00:00:00"/>
    <x v="3"/>
    <n v="98624"/>
    <n v="1554"/>
    <n v="2772.34"/>
    <n v="284"/>
    <s v="No"/>
    <s v="FB"/>
    <n v="29"/>
    <n v="1.5756813757300453E-2"/>
    <n v="0.18275418275418276"/>
    <n v="1.784002574002574"/>
    <n v="9.7617605633802818"/>
    <n v="12"/>
    <x v="1"/>
    <s v="December"/>
  </r>
  <r>
    <s v="CMP-01171"/>
    <s v="Q2_Summer_CMP-01171"/>
    <x v="0"/>
    <s v="Summer"/>
    <d v="2023-12-05T00:00:00"/>
    <d v="2023-12-18T00:00:00"/>
    <x v="3"/>
    <n v="4756"/>
    <n v="134"/>
    <n v="250.3"/>
    <n v="17"/>
    <s v="No"/>
    <s v="FB"/>
    <n v="13"/>
    <n v="2.8174936921783012E-2"/>
    <n v="0.12686567164179105"/>
    <n v="1.8679104477611941"/>
    <n v="14.723529411764707"/>
    <n v="12"/>
    <x v="1"/>
    <s v="December"/>
  </r>
  <r>
    <s v="CMP-00763"/>
    <s v="Q3_Launch_CMP-00763"/>
    <x v="1"/>
    <s v="Launch"/>
    <d v="2023-12-05T00:00:00"/>
    <d v="2024-01-01T00:00:00"/>
    <x v="4"/>
    <n v="28532"/>
    <n v="788"/>
    <n v="1572.35"/>
    <n v="97"/>
    <s v="No"/>
    <s v="Google Ads"/>
    <n v="27"/>
    <n v="2.7618112995934391E-2"/>
    <n v="0.12309644670050761"/>
    <n v="1.9953680203045685"/>
    <n v="16.209793814432988"/>
    <n v="12"/>
    <x v="1"/>
    <s v="December"/>
  </r>
  <r>
    <s v="CMP-00854"/>
    <s v="Q3_Winstagramter_CMP-00854"/>
    <x v="1"/>
    <s v="Winstagramter"/>
    <d v="2023-12-05T00:00:00"/>
    <d v="2023-12-06T00:00:00"/>
    <x v="1"/>
    <n v="54682"/>
    <n v="696"/>
    <n v="1245.3800000000001"/>
    <n v="86"/>
    <s v="No"/>
    <s v="Email"/>
    <n v="1"/>
    <n v="1.2728137229801397E-2"/>
    <n v="0.1235632183908046"/>
    <n v="1.7893390804597702"/>
    <n v="14.481162790697676"/>
    <n v="12"/>
    <x v="1"/>
    <s v="December"/>
  </r>
  <r>
    <s v="CMP-01816"/>
    <s v="Q3_Launch_CMP-01816"/>
    <x v="1"/>
    <s v="Launch"/>
    <d v="2023-12-05T00:00:00"/>
    <d v="2023-12-09T00:00:00"/>
    <x v="4"/>
    <n v="12745"/>
    <n v="297"/>
    <n v="505.81"/>
    <n v="16"/>
    <s v="Yes"/>
    <s v="Google Ads"/>
    <n v="4"/>
    <n v="2.3303256178893682E-2"/>
    <n v="5.387205387205387E-2"/>
    <n v="1.7030639730639732"/>
    <n v="31.613125"/>
    <n v="12"/>
    <x v="1"/>
    <s v="December"/>
  </r>
  <r>
    <s v="CMP-00574"/>
    <s v="Q4_BlackFriday_CMP-00574"/>
    <x v="2"/>
    <s v="BlackFriday"/>
    <d v="2023-12-05T00:00:00"/>
    <d v="2023-12-10T00:00:00"/>
    <x v="5"/>
    <n v="8543"/>
    <n v="375"/>
    <n v="619.57000000000005"/>
    <n v="69"/>
    <s v="No"/>
    <s v="Not specified"/>
    <n v="5"/>
    <n v="4.3895587030317221E-2"/>
    <n v="0.184"/>
    <n v="1.6521866666666667"/>
    <n v="8.979275362318841"/>
    <n v="12"/>
    <x v="1"/>
    <s v="December"/>
  </r>
  <r>
    <s v="CMP-00754"/>
    <s v="Q4_Launch_CMP-00754"/>
    <x v="2"/>
    <s v="Launch"/>
    <d v="2023-12-05T00:00:00"/>
    <d v="2023-12-19T00:00:00"/>
    <x v="5"/>
    <n v="21159"/>
    <n v="291"/>
    <n v="286.85000000000002"/>
    <n v="28"/>
    <s v="Yes"/>
    <s v="Not specified"/>
    <n v="14"/>
    <n v="1.3753012902311073E-2"/>
    <n v="9.6219931271477668E-2"/>
    <n v="0.98573883161512033"/>
    <n v="10.244642857142859"/>
    <n v="12"/>
    <x v="1"/>
    <s v="December"/>
  </r>
  <r>
    <s v="CMP-00773"/>
    <s v="Q4_BlackFriday_CMP-00773"/>
    <x v="2"/>
    <s v="BlackFriday"/>
    <d v="2023-12-05T00:00:00"/>
    <d v="2023-12-31T00:00:00"/>
    <x v="1"/>
    <n v="85791"/>
    <n v="3935"/>
    <n v="6556.43"/>
    <n v="681"/>
    <s v="Yes"/>
    <s v="Email"/>
    <n v="26"/>
    <n v="4.586728211583966E-2"/>
    <n v="0.17306226175349429"/>
    <n v="1.6661829733163915"/>
    <n v="9.6276505139500745"/>
    <n v="12"/>
    <x v="1"/>
    <s v="December"/>
  </r>
  <r>
    <s v="CMP-01339"/>
    <s v="Q4_Summer_CMP-01339"/>
    <x v="2"/>
    <s v="Summer"/>
    <d v="2023-12-05T00:00:00"/>
    <d v="2023-12-16T00:00:00"/>
    <x v="3"/>
    <n v="87925"/>
    <n v="4152"/>
    <n v="4581.05"/>
    <n v="788"/>
    <s v="Yes"/>
    <s v="FB"/>
    <n v="11"/>
    <n v="4.7222064259311913E-2"/>
    <n v="0.18978805394990367"/>
    <n v="1.1033357418111753"/>
    <n v="5.8135152284263958"/>
    <n v="12"/>
    <x v="1"/>
    <s v="December"/>
  </r>
  <r>
    <s v="CMP-01522"/>
    <s v="Q4_Launch_CMP-01522"/>
    <x v="2"/>
    <s v="Launch"/>
    <d v="2023-12-05T00:00:00"/>
    <d v="2023-12-17T00:00:00"/>
    <x v="1"/>
    <n v="20541"/>
    <n v="546"/>
    <n v="689.17"/>
    <n v="97"/>
    <s v="No"/>
    <s v="Email"/>
    <n v="12"/>
    <n v="2.658098437271798E-2"/>
    <n v="0.17765567765567766"/>
    <n v="1.262216117216117"/>
    <n v="7.1048453608247417"/>
    <n v="12"/>
    <x v="1"/>
    <s v="December"/>
  </r>
  <r>
    <s v="CMP-00281"/>
    <s v="Q4_Summer_CMP-00281"/>
    <x v="2"/>
    <s v="Summer"/>
    <d v="2023-12-05T00:00:00"/>
    <d v="2023-12-10T00:00:00"/>
    <x v="1"/>
    <n v="32616"/>
    <n v="1161"/>
    <n v="1584.67"/>
    <n v="229"/>
    <s v="Yes"/>
    <s v="Email"/>
    <n v="5"/>
    <n v="3.5596026490066227E-2"/>
    <n v="0.19724375538329025"/>
    <n v="1.3649181739879415"/>
    <n v="6.9199563318777297"/>
    <n v="12"/>
    <x v="1"/>
    <s v="December"/>
  </r>
  <r>
    <s v="CMP-01071"/>
    <s v="Q1_Winstagramter_CMP-01071"/>
    <x v="3"/>
    <s v="Winstagramter"/>
    <d v="2023-12-06T00:00:00"/>
    <d v="2024-01-01T00:00:00"/>
    <x v="3"/>
    <n v="94789"/>
    <n v="2384"/>
    <n v="4710.8999999999996"/>
    <n v="447"/>
    <s v="Yes"/>
    <s v="FB"/>
    <n v="26"/>
    <n v="2.5150597643186445E-2"/>
    <n v="0.1875"/>
    <n v="1.9760486577181207"/>
    <n v="10.538926174496643"/>
    <n v="12"/>
    <x v="1"/>
    <s v="December"/>
  </r>
  <r>
    <s v="CMP-01242"/>
    <s v="Q1_Winstagramter_CMP-01242"/>
    <x v="3"/>
    <s v="Winstagramter"/>
    <d v="2023-12-06T00:00:00"/>
    <d v="2023-12-15T00:00:00"/>
    <x v="4"/>
    <n v="7783"/>
    <n v="125"/>
    <n v="101.77"/>
    <n v="20"/>
    <s v="No"/>
    <s v="Google Ads"/>
    <n v="9"/>
    <n v="1.6060644995503019E-2"/>
    <n v="0.16"/>
    <n v="0.81415999999999999"/>
    <n v="5.0884999999999998"/>
    <n v="12"/>
    <x v="1"/>
    <s v="December"/>
  </r>
  <r>
    <s v="CMP-00232"/>
    <s v="Q2_Summer_CMP-00232"/>
    <x v="0"/>
    <s v="Summer"/>
    <d v="2023-12-06T00:00:00"/>
    <d v="2023-12-15T00:00:00"/>
    <x v="5"/>
    <n v="26342"/>
    <n v="1074"/>
    <n v="2122.6"/>
    <n v="81"/>
    <s v="Yes"/>
    <s v="Not specified"/>
    <n v="9"/>
    <n v="4.0771391693872901E-2"/>
    <n v="7.5418994413407825E-2"/>
    <n v="1.9763500931098696"/>
    <n v="26.204938271604938"/>
    <n v="12"/>
    <x v="1"/>
    <s v="December"/>
  </r>
  <r>
    <s v="CMP-01491"/>
    <s v="Q2_Summer_CMP-01491"/>
    <x v="0"/>
    <s v="Summer"/>
    <d v="2023-12-06T00:00:00"/>
    <d v="2023-12-19T00:00:00"/>
    <x v="2"/>
    <n v="22520"/>
    <n v="931"/>
    <n v="1835.18"/>
    <n v="130"/>
    <s v="No"/>
    <s v="IG"/>
    <n v="13"/>
    <n v="4.1341030195381885E-2"/>
    <n v="0.13963480128893663"/>
    <n v="1.9711922663802364"/>
    <n v="14.116769230769231"/>
    <n v="12"/>
    <x v="1"/>
    <s v="December"/>
  </r>
  <r>
    <s v="CMP-00146"/>
    <s v="Q3_Launch_CMP-00146"/>
    <x v="1"/>
    <s v="Launch"/>
    <d v="2023-12-06T00:00:00"/>
    <d v="2024-01-01T00:00:00"/>
    <x v="4"/>
    <n v="51015"/>
    <n v="2071"/>
    <n v="2444.54"/>
    <n v="0"/>
    <s v="No"/>
    <s v="Google Ads"/>
    <n v="26"/>
    <n v="4.0595903165735567E-2"/>
    <n v="0"/>
    <n v="1.1803669724770642"/>
    <s v="0"/>
    <n v="12"/>
    <x v="1"/>
    <s v="December"/>
  </r>
  <r>
    <s v="CMP-01658"/>
    <s v="Q4_BlackFriday_CMP-01658"/>
    <x v="2"/>
    <s v="BlackFriday"/>
    <d v="2023-12-06T00:00:00"/>
    <d v="2023-12-14T00:00:00"/>
    <x v="3"/>
    <n v="19297"/>
    <n v="610"/>
    <n v="1089.1199999999999"/>
    <n v="0"/>
    <s v="No"/>
    <s v="FB"/>
    <n v="8"/>
    <n v="3.1611131263927034E-2"/>
    <n v="0"/>
    <n v="1.7854426229508196"/>
    <s v="0"/>
    <n v="12"/>
    <x v="1"/>
    <s v="December"/>
  </r>
  <r>
    <s v="CMP-01997"/>
    <s v="Q4_Winstagramter_CMP-01997"/>
    <x v="2"/>
    <s v="Winstagramter"/>
    <d v="2023-12-06T00:00:00"/>
    <d v="2023-12-18T00:00:00"/>
    <x v="3"/>
    <n v="84847"/>
    <n v="2616"/>
    <n v="4528"/>
    <n v="449"/>
    <s v="No"/>
    <s v="FB"/>
    <n v="12"/>
    <n v="3.0831968130870861E-2"/>
    <n v="0.17163608562691132"/>
    <n v="1.7308868501529051"/>
    <n v="10.084632516703786"/>
    <n v="12"/>
    <x v="1"/>
    <s v="December"/>
  </r>
  <r>
    <s v="CMP-00145"/>
    <s v="Q2_Summer_CMP-00145"/>
    <x v="0"/>
    <s v="Summer"/>
    <d v="2023-12-07T00:00:00"/>
    <d v="2023-12-14T00:00:00"/>
    <x v="3"/>
    <n v="51636"/>
    <n v="1859"/>
    <n v="1407.54"/>
    <n v="270"/>
    <s v="Yes"/>
    <s v="FB"/>
    <n v="7"/>
    <n v="3.6002014098690839E-2"/>
    <n v="0.14523937600860679"/>
    <n v="0.75714900484131253"/>
    <n v="5.213111111111111"/>
    <n v="12"/>
    <x v="1"/>
    <s v="December"/>
  </r>
  <r>
    <s v="CMP-00972"/>
    <s v="Q3_BlackFriday_CMP-00972"/>
    <x v="1"/>
    <s v="BlackFriday"/>
    <d v="2023-12-07T00:00:00"/>
    <d v="2023-12-12T00:00:00"/>
    <x v="3"/>
    <n v="48915"/>
    <n v="1394"/>
    <n v="1981.71"/>
    <n v="73"/>
    <s v="No"/>
    <s v="FB"/>
    <n v="5"/>
    <n v="2.8498415618930798E-2"/>
    <n v="5.2367288378766141E-2"/>
    <n v="1.4215997130559541"/>
    <n v="27.146712328767123"/>
    <n v="12"/>
    <x v="1"/>
    <s v="December"/>
  </r>
  <r>
    <s v="CMP-01388"/>
    <s v="Q2_Summer_CMP-01388"/>
    <x v="0"/>
    <s v="Summer"/>
    <d v="2023-12-08T00:00:00"/>
    <d v="2024-01-04T00:00:00"/>
    <x v="5"/>
    <n v="56029"/>
    <n v="2046"/>
    <n v="3313.59"/>
    <n v="149"/>
    <s v="Yes"/>
    <s v="Not specified"/>
    <n v="27"/>
    <n v="3.6516803798033161E-2"/>
    <n v="7.2825024437927668E-2"/>
    <n v="1.6195454545454546"/>
    <n v="22.238859060402685"/>
    <n v="12"/>
    <x v="1"/>
    <s v="December"/>
  </r>
  <r>
    <s v="CMP-00725"/>
    <s v="Q4_Launch_CMP-00725"/>
    <x v="2"/>
    <s v="Launch"/>
    <d v="2023-12-08T00:00:00"/>
    <d v="2023-12-17T00:00:00"/>
    <x v="0"/>
    <n v="31354"/>
    <n v="490"/>
    <n v="339.94"/>
    <n v="63"/>
    <s v="No"/>
    <s v="TikTok"/>
    <n v="9"/>
    <n v="1.5627990049116539E-2"/>
    <n v="0.12857142857142856"/>
    <n v="0.69375510204081636"/>
    <n v="5.3958730158730157"/>
    <n v="12"/>
    <x v="1"/>
    <s v="December"/>
  </r>
  <r>
    <s v="CMP-00127"/>
    <s v="Q1_Launch_CMP-00127"/>
    <x v="3"/>
    <s v="Launch"/>
    <d v="2023-12-09T00:00:00"/>
    <d v="2023-12-22T00:00:00"/>
    <x v="2"/>
    <n v="85651"/>
    <n v="1244"/>
    <n v="2348.14"/>
    <n v="63"/>
    <s v="No"/>
    <s v="IG"/>
    <n v="13"/>
    <n v="1.4524056928699023E-2"/>
    <n v="5.0643086816720258E-2"/>
    <n v="1.8875723472668808"/>
    <n v="37.272063492063488"/>
    <n v="12"/>
    <x v="1"/>
    <s v="December"/>
  </r>
  <r>
    <s v="CMP-00546"/>
    <s v="Q1_Summer_CMP-00546"/>
    <x v="3"/>
    <s v="Summer"/>
    <d v="2023-12-09T00:00:00"/>
    <d v="2023-12-31T00:00:00"/>
    <x v="3"/>
    <n v="70449"/>
    <n v="1669"/>
    <n v="3105.8"/>
    <n v="228"/>
    <s v="Yes"/>
    <s v="FB"/>
    <n v="22"/>
    <n v="2.3690896960922084E-2"/>
    <n v="0.1366087477531456"/>
    <n v="1.8608747753145598"/>
    <n v="13.621929824561404"/>
    <n v="12"/>
    <x v="1"/>
    <s v="December"/>
  </r>
  <r>
    <s v="CMP-00719"/>
    <s v="Q3_Winstagramter_CMP-00719"/>
    <x v="1"/>
    <s v="Winstagramter"/>
    <d v="2023-12-09T00:00:00"/>
    <d v="2023-12-27T00:00:00"/>
    <x v="2"/>
    <n v="94045"/>
    <n v="3918"/>
    <n v="5869.35"/>
    <n v="537"/>
    <s v="Yes"/>
    <s v="IG"/>
    <n v="18"/>
    <n v="4.1660907012600348E-2"/>
    <n v="0.13705972434915772"/>
    <n v="1.4980474732006126"/>
    <n v="10.929888268156425"/>
    <n v="12"/>
    <x v="1"/>
    <s v="December"/>
  </r>
  <r>
    <s v="CMP-01424"/>
    <s v="Q4_Summer_CMP-01424"/>
    <x v="2"/>
    <s v="Summer"/>
    <d v="2023-12-09T00:00:00"/>
    <d v="2023-12-15T00:00:00"/>
    <x v="5"/>
    <n v="36737"/>
    <n v="1311"/>
    <n v="2005.53"/>
    <n v="167"/>
    <s v="Yes"/>
    <s v="Not specified"/>
    <n v="6"/>
    <n v="3.5686093039714727E-2"/>
    <n v="0.12738367658276126"/>
    <n v="1.5297711670480549"/>
    <n v="12.009161676646707"/>
    <n v="12"/>
    <x v="1"/>
    <s v="December"/>
  </r>
  <r>
    <s v="CMP-00503"/>
    <s v="Q1_Winstagramter_CMP-00503"/>
    <x v="3"/>
    <s v="Winstagramter"/>
    <d v="2023-12-10T00:00:00"/>
    <d v="2023-12-19T00:00:00"/>
    <x v="3"/>
    <n v="44919"/>
    <n v="653"/>
    <n v="463.24"/>
    <n v="0"/>
    <s v="Yes"/>
    <s v="FB"/>
    <n v="9"/>
    <n v="1.4537278211892518E-2"/>
    <n v="0"/>
    <n v="0.70940275650842266"/>
    <s v="0"/>
    <n v="12"/>
    <x v="1"/>
    <s v="December"/>
  </r>
  <r>
    <s v="CMP-00144"/>
    <s v="Q2_Summer_CMP-00144"/>
    <x v="0"/>
    <s v="Summer"/>
    <d v="2023-12-10T00:00:00"/>
    <d v="2024-01-04T00:00:00"/>
    <x v="4"/>
    <n v="24419"/>
    <n v="350"/>
    <n v="188.11"/>
    <n v="29"/>
    <s v="No"/>
    <s v="Google Ads"/>
    <n v="25"/>
    <n v="1.4333101273598428E-2"/>
    <n v="8.2857142857142851E-2"/>
    <n v="0.53745714285714286"/>
    <n v="6.4865517241379314"/>
    <n v="12"/>
    <x v="1"/>
    <s v="December"/>
  </r>
  <r>
    <s v="CMP-00790"/>
    <s v="Q2_Summer_CMP-00790"/>
    <x v="0"/>
    <s v="Summer"/>
    <d v="2023-12-10T00:00:00"/>
    <d v="2024-01-06T00:00:00"/>
    <x v="3"/>
    <n v="87704"/>
    <n v="4272"/>
    <n v="500000"/>
    <n v="237"/>
    <s v="No"/>
    <s v="FB"/>
    <n v="27"/>
    <n v="4.8709294901030736E-2"/>
    <n v="5.5477528089887637E-2"/>
    <n v="117.04119850187266"/>
    <n v="2109.7046413502107"/>
    <n v="12"/>
    <x v="1"/>
    <s v="December"/>
  </r>
  <r>
    <s v="CMP-01310"/>
    <s v="Q2_Winstagramter_CMP-01310"/>
    <x v="0"/>
    <s v="Winstagramter"/>
    <d v="2023-12-10T00:00:00"/>
    <d v="2023-12-23T00:00:00"/>
    <x v="0"/>
    <n v="82974"/>
    <n v="1259"/>
    <n v="1074.47"/>
    <n v="111"/>
    <s v="No"/>
    <s v="TikTok"/>
    <n v="13"/>
    <n v="1.5173427820763131E-2"/>
    <n v="8.8165210484511522E-2"/>
    <n v="0.85343129467831613"/>
    <n v="9.6799099099099095"/>
    <n v="12"/>
    <x v="1"/>
    <s v="December"/>
  </r>
  <r>
    <s v="CMP-00059"/>
    <s v="Q3_Launch_CMP-00059"/>
    <x v="1"/>
    <s v="Launch"/>
    <d v="2023-12-10T00:00:00"/>
    <d v="2023-12-24T00:00:00"/>
    <x v="3"/>
    <n v="68121"/>
    <n v="2312"/>
    <n v="4014.77"/>
    <n v="408"/>
    <s v="Yes"/>
    <s v="FB"/>
    <n v="14"/>
    <n v="3.3939607463190496E-2"/>
    <n v="0.17647058823529413"/>
    <n v="1.7364922145328721"/>
    <n v="9.8401225490196076"/>
    <n v="12"/>
    <x v="1"/>
    <s v="December"/>
  </r>
  <r>
    <s v="CMP-00097"/>
    <s v="Q3_Summer_CMP-00097"/>
    <x v="1"/>
    <s v="Summer"/>
    <d v="2023-12-10T00:00:00"/>
    <d v="2023-12-21T00:00:00"/>
    <x v="1"/>
    <n v="62228"/>
    <n v="1816"/>
    <n v="2301.6999999999998"/>
    <n v="233"/>
    <s v="No"/>
    <s v="Email"/>
    <n v="11"/>
    <n v="2.9183004435302435E-2"/>
    <n v="0.12830396475770925"/>
    <n v="1.2674559471365638"/>
    <n v="9.8785407725321885"/>
    <n v="12"/>
    <x v="1"/>
    <s v="December"/>
  </r>
  <r>
    <s v="CMP-00778"/>
    <s v="Q3_BlackFriday_CMP-00778"/>
    <x v="1"/>
    <s v="BlackFriday"/>
    <d v="2023-12-10T00:00:00"/>
    <d v="2023-12-13T00:00:00"/>
    <x v="1"/>
    <n v="38892"/>
    <n v="1343"/>
    <n v="2294.23"/>
    <n v="0"/>
    <s v="No"/>
    <s v="Email"/>
    <n v="3"/>
    <n v="3.4531523192430323E-2"/>
    <n v="0"/>
    <n v="1.7082874162323156"/>
    <s v="0"/>
    <n v="12"/>
    <x v="1"/>
    <s v="December"/>
  </r>
  <r>
    <s v="CMP-00071"/>
    <s v="Q1_Launch_CMP-00071"/>
    <x v="3"/>
    <s v="Launch"/>
    <d v="2023-12-11T00:00:00"/>
    <d v="2024-01-08T00:00:00"/>
    <x v="0"/>
    <n v="72211"/>
    <n v="3462"/>
    <n v="5951.42"/>
    <n v="474"/>
    <s v="Yes"/>
    <s v="TikTok"/>
    <n v="28"/>
    <n v="4.7942834194236332E-2"/>
    <n v="0.1369150779896014"/>
    <n v="1.7190699017908724"/>
    <n v="12.555738396624474"/>
    <n v="12"/>
    <x v="1"/>
    <s v="December"/>
  </r>
  <r>
    <s v="CMP-01384"/>
    <s v="Q1_BlackFriday_CMP-01384"/>
    <x v="3"/>
    <s v="BlackFriday"/>
    <d v="2023-12-11T00:00:00"/>
    <d v="2023-12-20T00:00:00"/>
    <x v="0"/>
    <n v="79344"/>
    <n v="1502"/>
    <n v="1374.79"/>
    <n v="173"/>
    <s v="No"/>
    <s v="TikTok"/>
    <n v="9"/>
    <n v="1.893022786852188E-2"/>
    <n v="0.1151797603195739"/>
    <n v="0.915306258322237"/>
    <n v="7.9467630057803467"/>
    <n v="12"/>
    <x v="1"/>
    <s v="December"/>
  </r>
  <r>
    <s v="CMP-00276"/>
    <s v="Q3_BlackFriday_CMP-00276"/>
    <x v="1"/>
    <s v="BlackFriday"/>
    <d v="2023-12-11T00:00:00"/>
    <d v="2023-12-28T00:00:00"/>
    <x v="1"/>
    <n v="97601"/>
    <n v="3385"/>
    <n v="6030.01"/>
    <n v="221"/>
    <s v="Yes"/>
    <s v="Email"/>
    <n v="17"/>
    <n v="3.4682021700597331E-2"/>
    <n v="6.5288035450516993E-2"/>
    <n v="1.7813914327917282"/>
    <n v="27.285113122171946"/>
    <n v="12"/>
    <x v="1"/>
    <s v="December"/>
  </r>
  <r>
    <s v="CMP-00928"/>
    <s v="Q3_BlackFriday_CMP-00928"/>
    <x v="1"/>
    <s v="BlackFriday"/>
    <d v="2023-12-11T00:00:00"/>
    <d v="2023-12-17T00:00:00"/>
    <x v="4"/>
    <n v="11478"/>
    <n v="126"/>
    <n v="157.37"/>
    <n v="7"/>
    <s v="No"/>
    <s v="Google Ads"/>
    <n v="6"/>
    <n v="1.097752221641401E-2"/>
    <n v="5.5555555555555552E-2"/>
    <n v="1.2489682539682541"/>
    <n v="22.481428571428573"/>
    <n v="12"/>
    <x v="1"/>
    <s v="December"/>
  </r>
  <r>
    <s v="CMP-01051"/>
    <s v="Q3_Summer_CMP-01051"/>
    <x v="1"/>
    <s v="Summer"/>
    <d v="2023-12-11T00:00:00"/>
    <d v="2023-12-13T00:00:00"/>
    <x v="1"/>
    <n v="48362"/>
    <n v="921"/>
    <n v="1115.93"/>
    <n v="53"/>
    <s v="Yes"/>
    <s v="Email"/>
    <n v="2"/>
    <n v="1.9043877424424135E-2"/>
    <n v="5.7546145494028228E-2"/>
    <n v="1.2116503800217155"/>
    <n v="21.055283018867925"/>
    <n v="12"/>
    <x v="1"/>
    <s v="December"/>
  </r>
  <r>
    <s v="CMP-01593"/>
    <s v="Q3_Summer_CMP-01593"/>
    <x v="1"/>
    <s v="Summer"/>
    <d v="2023-12-11T00:00:00"/>
    <d v="2023-12-13T00:00:00"/>
    <x v="2"/>
    <n v="34039"/>
    <n v="1454"/>
    <n v="1821.88"/>
    <n v="261"/>
    <s v="Yes"/>
    <s v="IG"/>
    <n v="2"/>
    <n v="4.2715708452069685E-2"/>
    <n v="0.17950481430536452"/>
    <n v="1.253012379642366"/>
    <n v="6.9803831417624522"/>
    <n v="12"/>
    <x v="1"/>
    <s v="December"/>
  </r>
  <r>
    <s v="CMP-01904"/>
    <s v="Q3_Summer_CMP-01904"/>
    <x v="1"/>
    <s v="Summer"/>
    <d v="2023-12-11T00:00:00"/>
    <d v="2023-12-18T00:00:00"/>
    <x v="2"/>
    <n v="84309"/>
    <n v="1891"/>
    <n v="1165.28"/>
    <n v="311"/>
    <s v="No"/>
    <s v="IG"/>
    <n v="7"/>
    <n v="2.2429396624322431E-2"/>
    <n v="0.1644632469592808"/>
    <n v="0.61622421998942356"/>
    <n v="3.7468810289389065"/>
    <n v="12"/>
    <x v="1"/>
    <s v="December"/>
  </r>
  <r>
    <s v="CMP-01933"/>
    <s v="Q3_BlackFriday_CMP-01933"/>
    <x v="1"/>
    <s v="BlackFriday"/>
    <d v="2023-12-11T00:00:00"/>
    <d v="2023-12-27T00:00:00"/>
    <x v="3"/>
    <n v="64483"/>
    <n v="2638"/>
    <n v="2192.36"/>
    <n v="260"/>
    <s v="Yes"/>
    <s v="FB"/>
    <n v="16"/>
    <n v="4.0910007288742771E-2"/>
    <n v="9.8559514783927216E-2"/>
    <n v="0.83106899166034875"/>
    <n v="8.432153846153847"/>
    <n v="12"/>
    <x v="1"/>
    <s v="December"/>
  </r>
  <r>
    <s v="CMP-00443"/>
    <s v="Q2_Launch_CMP-00443"/>
    <x v="0"/>
    <s v="Launch"/>
    <d v="2023-12-12T00:00:00"/>
    <d v="2024-01-04T00:00:00"/>
    <x v="1"/>
    <n v="57179"/>
    <n v="1469"/>
    <n v="1517.03"/>
    <n v="109"/>
    <s v="Yes"/>
    <s v="Email"/>
    <n v="23"/>
    <n v="2.5691250284195246E-2"/>
    <n v="7.4200136147038798E-2"/>
    <n v="1.0326957113682778"/>
    <n v="13.917706422018348"/>
    <n v="12"/>
    <x v="1"/>
    <s v="December"/>
  </r>
  <r>
    <s v="CMP-01397"/>
    <s v="Q3_Launch_CMP-01397"/>
    <x v="1"/>
    <s v="Launch"/>
    <d v="2023-12-12T00:00:00"/>
    <d v="2023-12-18T00:00:00"/>
    <x v="1"/>
    <n v="62268"/>
    <n v="1002"/>
    <n v="659.42"/>
    <n v="136"/>
    <s v="Yes"/>
    <s v="Email"/>
    <n v="6"/>
    <n v="1.6091732511081133E-2"/>
    <n v="0.13572854291417166"/>
    <n v="0.65810379241516959"/>
    <n v="4.8486764705882353"/>
    <n v="12"/>
    <x v="1"/>
    <s v="December"/>
  </r>
  <r>
    <s v="CMP-01751"/>
    <s v="Q3_Summer_CMP-01751"/>
    <x v="1"/>
    <s v="Summer"/>
    <d v="2023-12-12T00:00:00"/>
    <d v="2024-01-05T00:00:00"/>
    <x v="4"/>
    <n v="49845"/>
    <n v="1719"/>
    <n v="2085.2800000000002"/>
    <n v="0"/>
    <s v="Yes"/>
    <s v="Google Ads"/>
    <n v="24"/>
    <n v="3.4486909419199518E-2"/>
    <n v="0"/>
    <n v="1.2130773705642817"/>
    <s v="0"/>
    <n v="12"/>
    <x v="1"/>
    <s v="December"/>
  </r>
  <r>
    <s v="CMP-01955"/>
    <s v="Q1_Launch_CMP-01955"/>
    <x v="3"/>
    <s v="Launch"/>
    <d v="2023-12-13T00:00:00"/>
    <d v="2023-12-22T00:00:00"/>
    <x v="2"/>
    <n v="72626"/>
    <n v="1901"/>
    <n v="1100.1500000000001"/>
    <n v="346"/>
    <s v="Yes"/>
    <s v="IG"/>
    <n v="9"/>
    <n v="2.6175198964558149E-2"/>
    <n v="0.18200946870068385"/>
    <n v="0.57872172540768019"/>
    <n v="3.1796242774566474"/>
    <n v="12"/>
    <x v="1"/>
    <s v="December"/>
  </r>
  <r>
    <s v="CMP-00362"/>
    <s v="Q2_BlackFriday_CMP-00362"/>
    <x v="0"/>
    <s v="BlackFriday"/>
    <d v="2023-12-13T00:00:00"/>
    <d v="2024-01-05T00:00:00"/>
    <x v="4"/>
    <n v="64208"/>
    <n v="2772"/>
    <n v="4502.1099999999997"/>
    <n v="0"/>
    <s v="No"/>
    <s v="Google Ads"/>
    <n v="23"/>
    <n v="4.3172190381260904E-2"/>
    <n v="0"/>
    <n v="1.6241378066378065"/>
    <s v="0"/>
    <n v="12"/>
    <x v="1"/>
    <s v="December"/>
  </r>
  <r>
    <s v="CMP-00003"/>
    <s v="Q3_Winstagramter_CMP-00003"/>
    <x v="1"/>
    <s v="Winstagramter"/>
    <d v="2023-12-13T00:00:00"/>
    <d v="2023-12-20T00:00:00"/>
    <x v="1"/>
    <n v="77820"/>
    <n v="843"/>
    <n v="1323.39"/>
    <n v="51"/>
    <s v="No"/>
    <s v="Email"/>
    <n v="7"/>
    <n v="1.0832690824980725E-2"/>
    <n v="6.0498220640569395E-2"/>
    <n v="1.5698576512455518"/>
    <n v="25.948823529411765"/>
    <n v="12"/>
    <x v="1"/>
    <s v="December"/>
  </r>
  <r>
    <s v="CMP-01454"/>
    <s v="Q4_BlackFriday_CMP-01454"/>
    <x v="2"/>
    <s v="BlackFriday"/>
    <d v="2023-12-13T00:00:00"/>
    <d v="2024-01-02T00:00:00"/>
    <x v="2"/>
    <n v="75478"/>
    <n v="1168"/>
    <n v="1334.13"/>
    <n v="155"/>
    <s v="Yes"/>
    <s v="IG"/>
    <n v="20"/>
    <n v="1.5474707861893531E-2"/>
    <n v="0.1327054794520548"/>
    <n v="1.1422345890410961"/>
    <n v="8.6072903225806456"/>
    <n v="12"/>
    <x v="1"/>
    <s v="December"/>
  </r>
  <r>
    <s v="CMP-00492"/>
    <s v="Q1_BlackFriday_CMP-00492"/>
    <x v="3"/>
    <s v="BlackFriday"/>
    <d v="2023-12-14T00:00:00"/>
    <d v="2023-12-17T00:00:00"/>
    <x v="2"/>
    <n v="62389"/>
    <n v="2289"/>
    <n v="4220.5200000000004"/>
    <n v="219"/>
    <s v="No"/>
    <s v="IG"/>
    <n v="3"/>
    <n v="3.6689159948067769E-2"/>
    <n v="9.5674967234600256E-2"/>
    <n v="1.8438269986893843"/>
    <n v="19.271780821917812"/>
    <n v="12"/>
    <x v="1"/>
    <s v="December"/>
  </r>
  <r>
    <s v="CMP-01537"/>
    <s v="Q1_Summer_CMP-01537"/>
    <x v="3"/>
    <s v="Summer"/>
    <d v="2023-12-14T00:00:00"/>
    <d v="2023-12-26T00:00:00"/>
    <x v="2"/>
    <n v="37062"/>
    <n v="1205"/>
    <n v="1816.07"/>
    <n v="96"/>
    <s v="Yes"/>
    <s v="IG"/>
    <n v="12"/>
    <n v="3.2513086179914739E-2"/>
    <n v="7.9668049792531115E-2"/>
    <n v="1.5071120331950207"/>
    <n v="18.917395833333334"/>
    <n v="12"/>
    <x v="1"/>
    <s v="December"/>
  </r>
  <r>
    <s v="CMP-01938"/>
    <s v="Q1_Summer_CMP-01938"/>
    <x v="3"/>
    <s v="Summer"/>
    <d v="2023-12-14T00:00:00"/>
    <d v="2024-01-12T00:00:00"/>
    <x v="0"/>
    <n v="84869"/>
    <n v="3134"/>
    <n v="3455.38"/>
    <n v="194"/>
    <s v="No"/>
    <s v="TikTok"/>
    <n v="29"/>
    <n v="3.6927500029457161E-2"/>
    <n v="6.1901723037651561E-2"/>
    <n v="1.1025462667517549"/>
    <n v="17.811237113402061"/>
    <n v="12"/>
    <x v="1"/>
    <s v="December"/>
  </r>
  <r>
    <s v="CMP-00135"/>
    <s v="Q2_Launch_CMP-00135"/>
    <x v="0"/>
    <s v="Launch"/>
    <d v="2023-12-14T00:00:00"/>
    <d v="2023-12-29T00:00:00"/>
    <x v="4"/>
    <n v="28266"/>
    <n v="676"/>
    <n v="1159.5999999999999"/>
    <n v="0"/>
    <s v="Yes"/>
    <s v="Google Ads"/>
    <n v="15"/>
    <n v="2.3915658388169531E-2"/>
    <n v="0"/>
    <n v="1.7153846153846153"/>
    <s v="0"/>
    <n v="12"/>
    <x v="1"/>
    <s v="December"/>
  </r>
  <r>
    <s v="CMP-01335"/>
    <s v="Q3_Winstagramter_CMP-01335"/>
    <x v="1"/>
    <s v="Winstagramter"/>
    <d v="2023-12-14T00:00:00"/>
    <d v="2023-12-18T00:00:00"/>
    <x v="2"/>
    <n v="61535"/>
    <n v="2575"/>
    <n v="4350.71"/>
    <n v="278"/>
    <s v="Yes"/>
    <s v="IG"/>
    <n v="4"/>
    <n v="4.1846103843341191E-2"/>
    <n v="0.10796116504854369"/>
    <n v="1.6895961165048543"/>
    <n v="15.650035971223021"/>
    <n v="12"/>
    <x v="1"/>
    <s v="December"/>
  </r>
  <r>
    <s v="CMP-00518"/>
    <s v="Q4_BlackFriday_CMP-00518"/>
    <x v="2"/>
    <s v="BlackFriday"/>
    <d v="2023-12-14T00:00:00"/>
    <d v="2023-12-28T00:00:00"/>
    <x v="3"/>
    <n v="24289"/>
    <n v="1144"/>
    <n v="1634.61"/>
    <n v="134"/>
    <s v="No"/>
    <s v="FB"/>
    <n v="14"/>
    <n v="4.7099510066285148E-2"/>
    <n v="0.11713286713286714"/>
    <n v="1.4288548951048949"/>
    <n v="12.198582089552238"/>
    <n v="12"/>
    <x v="1"/>
    <s v="December"/>
  </r>
  <r>
    <s v="CMP-00609"/>
    <s v="Q1_Winstagramter_CMP-00609"/>
    <x v="3"/>
    <s v="Winstagramter"/>
    <d v="2023-12-15T00:00:00"/>
    <d v="2023-12-23T00:00:00"/>
    <x v="1"/>
    <n v="67234"/>
    <n v="734"/>
    <n v="1221.7"/>
    <n v="124"/>
    <s v="Yes"/>
    <s v="Email"/>
    <n v="8"/>
    <n v="1.0917095517149061E-2"/>
    <n v="0.16893732970027248"/>
    <n v="1.6644414168937329"/>
    <n v="9.8524193548387107"/>
    <n v="12"/>
    <x v="1"/>
    <s v="December"/>
  </r>
  <r>
    <s v="CMP-01260"/>
    <s v="Q1_Winstagramter_CMP-01260"/>
    <x v="3"/>
    <s v="Winstagramter"/>
    <d v="2023-12-15T00:00:00"/>
    <d v="2024-01-06T00:00:00"/>
    <x v="1"/>
    <n v="47163"/>
    <n v="1464"/>
    <n v="1132.68"/>
    <n v="136"/>
    <s v="Yes"/>
    <s v="Email"/>
    <n v="22"/>
    <n v="3.1041282361172953E-2"/>
    <n v="9.2896174863387984E-2"/>
    <n v="0.77368852459016402"/>
    <n v="8.3285294117647055"/>
    <n v="12"/>
    <x v="1"/>
    <s v="December"/>
  </r>
  <r>
    <s v="CMP-00037"/>
    <s v="Q2_Winstagramter_CMP-00037"/>
    <x v="0"/>
    <s v="Winstagramter"/>
    <d v="2023-12-15T00:00:00"/>
    <d v="2023-12-26T00:00:00"/>
    <x v="2"/>
    <n v="67803"/>
    <n v="1317"/>
    <n v="2136.63"/>
    <n v="83"/>
    <s v="Yes"/>
    <s v="IG"/>
    <n v="11"/>
    <n v="1.9423919295606388E-2"/>
    <n v="6.3022019741837507E-2"/>
    <n v="1.6223462414578589"/>
    <n v="25.742530120481931"/>
    <n v="12"/>
    <x v="1"/>
    <s v="December"/>
  </r>
  <r>
    <s v="CMP-00671"/>
    <s v="Q2_Winstagramter_CMP-00671"/>
    <x v="0"/>
    <s v="Winstagramter"/>
    <d v="2023-12-15T00:00:00"/>
    <d v="2023-12-29T00:00:00"/>
    <x v="4"/>
    <n v="14807"/>
    <n v="174"/>
    <n v="231.27"/>
    <n v="17"/>
    <s v="No"/>
    <s v="Google Ads"/>
    <n v="14"/>
    <n v="1.1751198757344499E-2"/>
    <n v="9.7701149425287362E-2"/>
    <n v="1.3291379310344829"/>
    <n v="13.604117647058825"/>
    <n v="12"/>
    <x v="1"/>
    <s v="December"/>
  </r>
  <r>
    <s v="CMP-00681"/>
    <s v="Q2_Launch_CMP-00681"/>
    <x v="0"/>
    <s v="Launch"/>
    <d v="2023-12-15T00:00:00"/>
    <d v="2023-12-30T00:00:00"/>
    <x v="4"/>
    <n v="36909"/>
    <n v="599"/>
    <n v="453.41"/>
    <n v="53"/>
    <s v="Yes"/>
    <s v="Google Ads"/>
    <n v="15"/>
    <n v="1.6229104012571459E-2"/>
    <n v="8.8480801335559259E-2"/>
    <n v="0.75694490818030058"/>
    <n v="8.5549056603773597"/>
    <n v="12"/>
    <x v="1"/>
    <s v="December"/>
  </r>
  <r>
    <s v="CMP-01267"/>
    <s v="Q3_Summer_CMP-01267"/>
    <x v="1"/>
    <s v="Summer"/>
    <d v="2023-12-15T00:00:00"/>
    <d v="2024-01-10T00:00:00"/>
    <x v="1"/>
    <n v="76452"/>
    <n v="3568"/>
    <n v="2889.62"/>
    <n v="387"/>
    <s v="Yes"/>
    <s v="Email"/>
    <n v="26"/>
    <n v="4.6669805891278185E-2"/>
    <n v="0.10846412556053811"/>
    <n v="0.80987107623318377"/>
    <n v="7.4667183462532298"/>
    <n v="12"/>
    <x v="1"/>
    <s v="December"/>
  </r>
  <r>
    <s v="CMP-01234"/>
    <s v="Q1_BlackFriday_CMP-01234"/>
    <x v="3"/>
    <s v="BlackFriday"/>
    <d v="2023-12-16T00:00:00"/>
    <d v="2023-12-28T00:00:00"/>
    <x v="2"/>
    <n v="64731"/>
    <n v="1885"/>
    <n v="1318.35"/>
    <n v="266"/>
    <s v="Yes"/>
    <s v="IG"/>
    <n v="12"/>
    <n v="2.9120514127697703E-2"/>
    <n v="0.14111405835543767"/>
    <n v="0.69938992042440318"/>
    <n v="4.9562030075187966"/>
    <n v="12"/>
    <x v="1"/>
    <s v="December"/>
  </r>
  <r>
    <s v="CMP-01407"/>
    <s v="Q1_Summer_CMP-01407"/>
    <x v="3"/>
    <s v="Summer"/>
    <d v="2023-12-16T00:00:00"/>
    <d v="2024-01-04T00:00:00"/>
    <x v="3"/>
    <n v="2622"/>
    <n v="51"/>
    <n v="79.48"/>
    <n v="7"/>
    <s v="Yes"/>
    <s v="FB"/>
    <n v="19"/>
    <n v="1.9450800915331808E-2"/>
    <n v="0.13725490196078433"/>
    <n v="1.5584313725490198"/>
    <n v="11.354285714285714"/>
    <n v="12"/>
    <x v="1"/>
    <s v="December"/>
  </r>
  <r>
    <s v="CMP-00884"/>
    <s v="Q2_Summer_CMP-00884"/>
    <x v="0"/>
    <s v="Summer"/>
    <d v="2023-12-16T00:00:00"/>
    <d v="2024-01-10T00:00:00"/>
    <x v="0"/>
    <n v="74477"/>
    <n v="3245"/>
    <n v="3930.49"/>
    <n v="499"/>
    <s v="No"/>
    <s v="TikTok"/>
    <n v="25"/>
    <n v="4.3570498274635119E-2"/>
    <n v="0.15377503852080124"/>
    <n v="1.2112449922958397"/>
    <n v="7.8767334669338673"/>
    <n v="12"/>
    <x v="1"/>
    <s v="December"/>
  </r>
  <r>
    <s v="CMP-00977"/>
    <s v="Q4_BlackFriday_CMP-00977"/>
    <x v="2"/>
    <s v="BlackFriday"/>
    <d v="2023-12-16T00:00:00"/>
    <d v="2023-12-17T00:00:00"/>
    <x v="1"/>
    <n v="74794"/>
    <n v="1579"/>
    <n v="1265.03"/>
    <n v="212"/>
    <s v="No"/>
    <s v="Email"/>
    <n v="1"/>
    <n v="2.1111319089766559E-2"/>
    <n v="0.13426219126029132"/>
    <n v="0.80115896136795439"/>
    <n v="5.9671226415094338"/>
    <n v="12"/>
    <x v="1"/>
    <s v="December"/>
  </r>
  <r>
    <s v="CMP-00211"/>
    <s v="Q1_Launch_CMP-00211"/>
    <x v="3"/>
    <s v="Launch"/>
    <d v="2023-12-17T00:00:00"/>
    <d v="2024-01-11T00:00:00"/>
    <x v="0"/>
    <n v="24664"/>
    <n v="1035"/>
    <n v="987.1"/>
    <n v="155"/>
    <s v="Yes"/>
    <s v="TikTok"/>
    <n v="25"/>
    <n v="4.1963996107687321E-2"/>
    <n v="0.14975845410628019"/>
    <n v="0.95371980676328505"/>
    <n v="6.3683870967741933"/>
    <n v="12"/>
    <x v="1"/>
    <s v="December"/>
  </r>
  <r>
    <s v="CMP-00502"/>
    <s v="Q1_Summer_CMP-00502"/>
    <x v="3"/>
    <s v="Summer"/>
    <d v="2023-12-17T00:00:00"/>
    <d v="2023-12-18T00:00:00"/>
    <x v="4"/>
    <n v="96435"/>
    <n v="2794"/>
    <n v="2162.58"/>
    <n v="265"/>
    <s v="Yes"/>
    <s v="Google Ads"/>
    <n v="1"/>
    <n v="2.8972883289262199E-2"/>
    <n v="9.4846098783106653E-2"/>
    <n v="0.77400858983536147"/>
    <n v="8.1606792452830188"/>
    <n v="12"/>
    <x v="1"/>
    <s v="December"/>
  </r>
  <r>
    <s v="CMP-01435"/>
    <s v="Q2_BlackFriday_CMP-01435"/>
    <x v="0"/>
    <s v="BlackFriday"/>
    <d v="2023-12-17T00:00:00"/>
    <d v="2024-01-14T00:00:00"/>
    <x v="1"/>
    <n v="79617"/>
    <n v="1529"/>
    <n v="1405.41"/>
    <n v="91"/>
    <s v="No"/>
    <s v="Email"/>
    <n v="28"/>
    <n v="1.920444126254443E-2"/>
    <n v="5.9516023544800525E-2"/>
    <n v="0.91916939175931989"/>
    <n v="15.444065934065934"/>
    <n v="12"/>
    <x v="1"/>
    <s v="December"/>
  </r>
  <r>
    <s v="CMP-00628"/>
    <s v="Q3_BlackFriday_CMP-00628"/>
    <x v="1"/>
    <s v="BlackFriday"/>
    <d v="2023-12-17T00:00:00"/>
    <d v="2024-01-10T00:00:00"/>
    <x v="3"/>
    <n v="9335"/>
    <n v="205"/>
    <n v="187.9"/>
    <n v="29"/>
    <s v="Yes"/>
    <s v="FB"/>
    <n v="24"/>
    <n v="2.1960364220674881E-2"/>
    <n v="0.14146341463414633"/>
    <n v="0.91658536585365857"/>
    <n v="6.4793103448275868"/>
    <n v="12"/>
    <x v="1"/>
    <s v="December"/>
  </r>
  <r>
    <s v="CMP-00806"/>
    <s v="Q3_Summer_CMP-00806"/>
    <x v="1"/>
    <s v="Summer"/>
    <d v="2023-12-17T00:00:00"/>
    <d v="2023-12-21T00:00:00"/>
    <x v="5"/>
    <n v="81642"/>
    <n v="912"/>
    <n v="630.79999999999995"/>
    <n v="88"/>
    <s v="Yes"/>
    <s v="Not specified"/>
    <n v="4"/>
    <n v="1.1170720952450945E-2"/>
    <n v="9.6491228070175433E-2"/>
    <n v="0.69166666666666665"/>
    <n v="7.168181818181818"/>
    <n v="12"/>
    <x v="1"/>
    <s v="December"/>
  </r>
  <r>
    <s v="CMP-01401"/>
    <s v="Q3_BlackFriday_CMP-01401"/>
    <x v="1"/>
    <s v="BlackFriday"/>
    <d v="2023-12-17T00:00:00"/>
    <d v="2023-12-24T00:00:00"/>
    <x v="4"/>
    <n v="32653"/>
    <n v="1114"/>
    <n v="1930.94"/>
    <n v="199"/>
    <s v="No"/>
    <s v="Google Ads"/>
    <n v="7"/>
    <n v="3.4116313968088688E-2"/>
    <n v="0.17863554757630162"/>
    <n v="1.7333393177737881"/>
    <n v="9.7032160804020098"/>
    <n v="12"/>
    <x v="1"/>
    <s v="December"/>
  </r>
  <r>
    <s v="CMP-01559"/>
    <s v="Q3_Winstagramter_CMP-01559"/>
    <x v="1"/>
    <s v="Winstagramter"/>
    <d v="2023-12-17T00:00:00"/>
    <d v="2023-12-20T00:00:00"/>
    <x v="4"/>
    <n v="79187"/>
    <n v="2248"/>
    <n v="1796.19"/>
    <n v="148"/>
    <s v="Yes"/>
    <s v="Google Ads"/>
    <n v="3"/>
    <n v="2.8388498112063849E-2"/>
    <n v="6.5836298932384338E-2"/>
    <n v="0.79901690391459079"/>
    <n v="12.136418918918919"/>
    <n v="12"/>
    <x v="1"/>
    <s v="December"/>
  </r>
  <r>
    <s v="CMP-01981"/>
    <s v="Q3_Summer_CMP-01981"/>
    <x v="1"/>
    <s v="Summer"/>
    <d v="2023-12-17T00:00:00"/>
    <d v="2023-12-22T00:00:00"/>
    <x v="5"/>
    <n v="57446"/>
    <n v="1434"/>
    <n v="2671.97"/>
    <n v="158"/>
    <s v="Yes"/>
    <s v="Not specified"/>
    <n v="5"/>
    <n v="2.4962573547331408E-2"/>
    <n v="0.1101813110181311"/>
    <n v="1.8632984658298464"/>
    <n v="16.911202531645568"/>
    <n v="12"/>
    <x v="1"/>
    <s v="December"/>
  </r>
  <r>
    <s v="CMP-01331"/>
    <s v="Q4_BlackFriday_CMP-01331"/>
    <x v="2"/>
    <s v="BlackFriday"/>
    <d v="2023-12-17T00:00:00"/>
    <d v="2023-12-31T00:00:00"/>
    <x v="4"/>
    <n v="35911"/>
    <n v="892"/>
    <n v="983.6"/>
    <n v="142"/>
    <s v="No"/>
    <s v="Google Ads"/>
    <n v="14"/>
    <n v="2.4839185764807439E-2"/>
    <n v="0.15919282511210761"/>
    <n v="1.1026905829596412"/>
    <n v="6.9267605633802818"/>
    <n v="12"/>
    <x v="1"/>
    <s v="December"/>
  </r>
  <r>
    <s v="CMP-01531"/>
    <s v="Q4_Summer_CMP-01531"/>
    <x v="2"/>
    <s v="Summer"/>
    <d v="2023-12-17T00:00:00"/>
    <d v="2023-12-20T00:00:00"/>
    <x v="0"/>
    <n v="81559"/>
    <n v="3935"/>
    <n v="6369.1"/>
    <n v="568"/>
    <s v="Yes"/>
    <s v="TikTok"/>
    <n v="3"/>
    <n v="4.8247281109380938E-2"/>
    <n v="0.14434561626429479"/>
    <n v="1.6185768742058451"/>
    <n v="11.213204225352113"/>
    <n v="12"/>
    <x v="1"/>
    <s v="December"/>
  </r>
  <r>
    <s v="CMP-01838"/>
    <s v="Q4_BlackFriday_CMP-01838"/>
    <x v="2"/>
    <s v="BlackFriday"/>
    <d v="2023-12-17T00:00:00"/>
    <d v="2023-12-28T00:00:00"/>
    <x v="1"/>
    <n v="94623"/>
    <n v="1053"/>
    <n v="1864.76"/>
    <n v="151"/>
    <s v="No"/>
    <s v="Email"/>
    <n v="11"/>
    <n v="1.1128372594400939E-2"/>
    <n v="0.14339981006647673"/>
    <n v="1.7709021842355175"/>
    <n v="12.349403973509935"/>
    <n v="12"/>
    <x v="1"/>
    <s v="December"/>
  </r>
  <r>
    <s v="CMP-00346"/>
    <s v="Q2_Winstagramter_CMP-00346"/>
    <x v="0"/>
    <s v="Winstagramter"/>
    <d v="2023-12-18T00:00:00"/>
    <d v="2023-12-23T00:00:00"/>
    <x v="1"/>
    <n v="6600"/>
    <n v="103"/>
    <n v="192.86"/>
    <n v="11"/>
    <s v="Yes"/>
    <s v="Email"/>
    <n v="5"/>
    <n v="1.5606060606060606E-2"/>
    <n v="0.10679611650485436"/>
    <n v="1.8724271844660196"/>
    <n v="17.532727272727275"/>
    <n v="12"/>
    <x v="1"/>
    <s v="December"/>
  </r>
  <r>
    <s v="CMP-01438"/>
    <s v="Q2_Winstagramter_CMP-01438"/>
    <x v="0"/>
    <s v="Winstagramter"/>
    <d v="2023-12-18T00:00:00"/>
    <d v="2023-12-31T00:00:00"/>
    <x v="3"/>
    <n v="54002"/>
    <n v="1192"/>
    <n v="1308.77"/>
    <n v="159"/>
    <s v="No"/>
    <s v="FB"/>
    <n v="13"/>
    <n v="2.2073256546053851E-2"/>
    <n v="0.13338926174496643"/>
    <n v="1.0979614093959731"/>
    <n v="8.2312578616352194"/>
    <n v="12"/>
    <x v="1"/>
    <s v="December"/>
  </r>
  <r>
    <s v="CMP-01711"/>
    <s v="Q2_Summer_CMP-01711"/>
    <x v="0"/>
    <s v="Summer"/>
    <d v="2023-12-18T00:00:00"/>
    <d v="2024-01-17T00:00:00"/>
    <x v="5"/>
    <n v="3396"/>
    <n v="95"/>
    <n v="65.19"/>
    <n v="17"/>
    <s v="Yes"/>
    <s v="Not specified"/>
    <n v="30"/>
    <n v="2.7974087161366314E-2"/>
    <n v="0.17894736842105263"/>
    <n v="0.68621052631578949"/>
    <n v="3.834705882352941"/>
    <n v="12"/>
    <x v="1"/>
    <s v="December"/>
  </r>
  <r>
    <s v="CMP-01287"/>
    <s v="Q3_BlackFriday_CMP-01287"/>
    <x v="1"/>
    <s v="BlackFriday"/>
    <d v="2023-12-18T00:00:00"/>
    <d v="2024-01-08T00:00:00"/>
    <x v="3"/>
    <n v="94607"/>
    <n v="4468"/>
    <n v="2786.28"/>
    <n v="578"/>
    <s v="No"/>
    <s v="FB"/>
    <n v="21"/>
    <n v="4.7226949380067017E-2"/>
    <n v="0.12936436884512087"/>
    <n v="0.62360787824529995"/>
    <n v="4.820553633217993"/>
    <n v="12"/>
    <x v="1"/>
    <s v="December"/>
  </r>
  <r>
    <s v="CMP-00382"/>
    <s v="Q4_Launch_CMP-00382"/>
    <x v="2"/>
    <s v="Launch"/>
    <d v="2023-12-18T00:00:00"/>
    <d v="2024-01-04T00:00:00"/>
    <x v="5"/>
    <n v="37631"/>
    <n v="925"/>
    <n v="1094.67"/>
    <n v="0"/>
    <s v="Yes"/>
    <s v="Not specified"/>
    <n v="17"/>
    <n v="2.4580797746538759E-2"/>
    <n v="0"/>
    <n v="1.1834270270270271"/>
    <s v="0"/>
    <n v="12"/>
    <x v="1"/>
    <s v="December"/>
  </r>
  <r>
    <s v="CMP-01850"/>
    <s v="Q4_Launch_CMP-01850"/>
    <x v="2"/>
    <s v="Launch"/>
    <d v="2023-12-18T00:00:00"/>
    <d v="2024-01-01T00:00:00"/>
    <x v="3"/>
    <n v="8424"/>
    <n v="327"/>
    <n v="411.38"/>
    <n v="38"/>
    <s v="No"/>
    <s v="FB"/>
    <n v="14"/>
    <n v="3.8817663817663821E-2"/>
    <n v="0.11620795107033639"/>
    <n v="1.2580428134556574"/>
    <n v="10.82578947368421"/>
    <n v="12"/>
    <x v="1"/>
    <s v="December"/>
  </r>
  <r>
    <s v="CMP-00666"/>
    <s v="Q1_Summer_CMP-00666"/>
    <x v="3"/>
    <s v="Summer"/>
    <d v="2023-12-19T00:00:00"/>
    <d v="2024-01-04T00:00:00"/>
    <x v="4"/>
    <n v="84460"/>
    <n v="2192"/>
    <n v="3958.64"/>
    <n v="378"/>
    <s v="No"/>
    <s v="Google Ads"/>
    <n v="16"/>
    <n v="2.5953113900071038E-2"/>
    <n v="0.17244525547445255"/>
    <n v="1.805948905109489"/>
    <n v="10.472592592592592"/>
    <n v="12"/>
    <x v="1"/>
    <s v="December"/>
  </r>
  <r>
    <s v="CMP-01229"/>
    <s v="Q1_Winstagramter_CMP-01229"/>
    <x v="3"/>
    <s v="Winstagramter"/>
    <d v="2023-12-19T00:00:00"/>
    <d v="2023-12-30T00:00:00"/>
    <x v="4"/>
    <n v="40224"/>
    <n v="1800"/>
    <n v="3291.97"/>
    <n v="239"/>
    <s v="No"/>
    <s v="Google Ads"/>
    <n v="11"/>
    <n v="4.4749403341288782E-2"/>
    <n v="0.13277777777777777"/>
    <n v="1.828872222222222"/>
    <n v="13.773933054393305"/>
    <n v="12"/>
    <x v="1"/>
    <s v="December"/>
  </r>
  <r>
    <s v="CMP-01670"/>
    <s v="Q1_Launch_CMP-01670"/>
    <x v="3"/>
    <s v="Launch"/>
    <d v="2023-12-19T00:00:00"/>
    <d v="2024-01-11T00:00:00"/>
    <x v="3"/>
    <n v="55028"/>
    <n v="1926"/>
    <n v="3395.85"/>
    <n v="300"/>
    <s v="No"/>
    <s v="FB"/>
    <n v="23"/>
    <n v="3.5000363451333866E-2"/>
    <n v="0.1557632398753894"/>
    <n v="1.7631619937694702"/>
    <n v="11.3195"/>
    <n v="12"/>
    <x v="1"/>
    <s v="December"/>
  </r>
  <r>
    <s v="CMP-01709"/>
    <s v="Q1_Summer_CMP-01709"/>
    <x v="3"/>
    <s v="Summer"/>
    <d v="2023-12-19T00:00:00"/>
    <d v="2023-12-28T00:00:00"/>
    <x v="4"/>
    <n v="46648"/>
    <n v="2173"/>
    <n v="4014.69"/>
    <n v="433"/>
    <s v="Yes"/>
    <s v="Google Ads"/>
    <n v="9"/>
    <n v="4.658291888183845E-2"/>
    <n v="0.19926369075011505"/>
    <n v="1.8475333640128855"/>
    <n v="9.2718013856812931"/>
    <n v="12"/>
    <x v="1"/>
    <s v="December"/>
  </r>
  <r>
    <s v="CMP-00629"/>
    <s v="Q2_BlackFriday_CMP-00629"/>
    <x v="0"/>
    <s v="BlackFriday"/>
    <d v="2023-12-19T00:00:00"/>
    <d v="2023-12-21T00:00:00"/>
    <x v="4"/>
    <n v="87900"/>
    <n v="1488"/>
    <n v="824.2"/>
    <n v="275"/>
    <s v="No"/>
    <s v="Google Ads"/>
    <n v="2"/>
    <n v="1.6928327645051193E-2"/>
    <n v="0.18481182795698925"/>
    <n v="0.55389784946236564"/>
    <n v="2.9970909090909092"/>
    <n v="12"/>
    <x v="1"/>
    <s v="December"/>
  </r>
  <r>
    <s v="CMP-00953"/>
    <s v="Q2_Summer_CMP-00953"/>
    <x v="0"/>
    <s v="Summer"/>
    <d v="2023-12-19T00:00:00"/>
    <d v="2023-12-21T00:00:00"/>
    <x v="0"/>
    <n v="19030"/>
    <n v="192"/>
    <n v="106.97"/>
    <n v="32"/>
    <s v="Yes"/>
    <s v="TikTok"/>
    <n v="2"/>
    <n v="1.0089332632685234E-2"/>
    <n v="0.16666666666666666"/>
    <n v="0.55713541666666666"/>
    <n v="3.3428125"/>
    <n v="12"/>
    <x v="1"/>
    <s v="December"/>
  </r>
  <r>
    <s v="CMP-00846"/>
    <s v="Q4_Launch_CMP-00846"/>
    <x v="2"/>
    <s v="Launch"/>
    <d v="2023-12-19T00:00:00"/>
    <d v="2024-01-02T00:00:00"/>
    <x v="0"/>
    <n v="20758"/>
    <n v="751"/>
    <n v="474.24"/>
    <n v="55"/>
    <s v="Yes"/>
    <s v="TikTok"/>
    <n v="14"/>
    <n v="3.6178822622603336E-2"/>
    <n v="7.3235685752330221E-2"/>
    <n v="0.63147802929427432"/>
    <n v="8.6225454545454543"/>
    <n v="12"/>
    <x v="1"/>
    <s v="December"/>
  </r>
  <r>
    <s v="CMP-00116"/>
    <s v="Q1_Summer_CMP-00116"/>
    <x v="3"/>
    <s v="Summer"/>
    <d v="2023-12-20T00:00:00"/>
    <d v="2024-01-16T00:00:00"/>
    <x v="3"/>
    <n v="53251"/>
    <n v="1032"/>
    <n v="1201.8599999999999"/>
    <n v="70"/>
    <s v="Yes"/>
    <s v="FB"/>
    <n v="27"/>
    <n v="1.9379917748023511E-2"/>
    <n v="6.7829457364341081E-2"/>
    <n v="1.1645930232558139"/>
    <n v="17.169428571428568"/>
    <n v="12"/>
    <x v="1"/>
    <s v="December"/>
  </r>
  <r>
    <s v="CMP-01209"/>
    <s v="Q1_Summer_CMP-01209"/>
    <x v="3"/>
    <s v="Summer"/>
    <d v="2023-12-20T00:00:00"/>
    <d v="2024-01-05T00:00:00"/>
    <x v="4"/>
    <n v="4797"/>
    <n v="61"/>
    <n v="36.659999999999997"/>
    <n v="7"/>
    <s v="No"/>
    <s v="Google Ads"/>
    <n v="16"/>
    <n v="1.2716281008963937E-2"/>
    <n v="0.11475409836065574"/>
    <n v="0.60098360655737704"/>
    <n v="5.2371428571428567"/>
    <n v="12"/>
    <x v="1"/>
    <s v="December"/>
  </r>
  <r>
    <s v="CMP-01766"/>
    <s v="Q1_Summer_CMP-01766"/>
    <x v="3"/>
    <s v="Summer"/>
    <d v="2023-12-20T00:00:00"/>
    <d v="2024-01-02T00:00:00"/>
    <x v="4"/>
    <n v="38311"/>
    <n v="1329"/>
    <n v="2097.98"/>
    <n v="75"/>
    <s v="Yes"/>
    <s v="Google Ads"/>
    <n v="13"/>
    <n v="3.4689775782412363E-2"/>
    <n v="5.6433408577878104E-2"/>
    <n v="1.5786155003762228"/>
    <n v="27.973066666666668"/>
    <n v="12"/>
    <x v="1"/>
    <s v="December"/>
  </r>
  <r>
    <s v="CMP-00058"/>
    <s v="Q2_Summer_CMP-00058"/>
    <x v="0"/>
    <s v="Summer"/>
    <d v="2023-12-20T00:00:00"/>
    <d v="2024-01-09T00:00:00"/>
    <x v="0"/>
    <n v="93067"/>
    <n v="3121"/>
    <n v="5719.84"/>
    <n v="396"/>
    <s v="Yes"/>
    <s v="TikTok"/>
    <n v="20"/>
    <n v="3.3534980175572437E-2"/>
    <n v="0.1268824094841397"/>
    <n v="1.8326946491509133"/>
    <n v="14.444040404040404"/>
    <n v="12"/>
    <x v="1"/>
    <s v="December"/>
  </r>
  <r>
    <s v="CMP-00229"/>
    <s v="Q2_Launch_CMP-00229"/>
    <x v="0"/>
    <s v="Launch"/>
    <d v="2023-12-20T00:00:00"/>
    <d v="2024-01-19T00:00:00"/>
    <x v="1"/>
    <n v="53662"/>
    <n v="911"/>
    <n v="693.6"/>
    <n v="123"/>
    <s v="Yes"/>
    <s v="Email"/>
    <n v="30"/>
    <n v="1.6976631508329915E-2"/>
    <n v="0.1350164654226125"/>
    <n v="0.76136114160263446"/>
    <n v="5.639024390243903"/>
    <n v="12"/>
    <x v="1"/>
    <s v="December"/>
  </r>
  <r>
    <s v="CMP-00237"/>
    <s v="Q2_Summer_CMP-00237"/>
    <x v="0"/>
    <s v="Summer"/>
    <d v="2023-12-20T00:00:00"/>
    <d v="2023-12-30T00:00:00"/>
    <x v="5"/>
    <n v="90045"/>
    <n v="3966"/>
    <n v="3117.63"/>
    <n v="587"/>
    <s v="Yes"/>
    <s v="Not specified"/>
    <n v="10"/>
    <n v="4.404464434449442E-2"/>
    <n v="0.14800806858295512"/>
    <n v="0.78608925869894097"/>
    <n v="5.3111243611584333"/>
    <n v="12"/>
    <x v="1"/>
    <s v="December"/>
  </r>
  <r>
    <s v="CMP-00685"/>
    <s v="Q3_Launch_CMP-00685"/>
    <x v="1"/>
    <s v="Launch"/>
    <d v="2023-12-20T00:00:00"/>
    <d v="2024-01-17T00:00:00"/>
    <x v="3"/>
    <n v="73124"/>
    <n v="2375"/>
    <n v="4047.66"/>
    <n v="451"/>
    <s v="Yes"/>
    <s v="FB"/>
    <n v="28"/>
    <n v="3.2479076636945464E-2"/>
    <n v="0.18989473684210526"/>
    <n v="1.704277894736842"/>
    <n v="8.9748558758314854"/>
    <n v="12"/>
    <x v="1"/>
    <s v="December"/>
  </r>
  <r>
    <s v="CMP-01377"/>
    <s v="Q1_Winstagramter_CMP-01377"/>
    <x v="3"/>
    <s v="Winstagramter"/>
    <d v="2023-12-21T00:00:00"/>
    <d v="2023-12-29T00:00:00"/>
    <x v="5"/>
    <n v="87143"/>
    <n v="2204"/>
    <n v="2649.14"/>
    <n v="391"/>
    <s v="Yes"/>
    <s v="Not specified"/>
    <n v="8"/>
    <n v="2.5291761816783907E-2"/>
    <n v="0.17740471869328495"/>
    <n v="1.2019691470054445"/>
    <n v="6.7752941176470589"/>
    <n v="12"/>
    <x v="1"/>
    <s v="December"/>
  </r>
  <r>
    <s v="CMP-01377"/>
    <s v="Q1_Winstagramter_CMP-01377"/>
    <x v="3"/>
    <s v="Winstagramter"/>
    <d v="2023-12-21T00:00:00"/>
    <d v="2023-12-29T00:00:00"/>
    <x v="1"/>
    <n v="87143"/>
    <n v="2204"/>
    <n v="2649.14"/>
    <n v="391"/>
    <s v="Yes"/>
    <s v="Email"/>
    <n v="8"/>
    <n v="2.5291761816783907E-2"/>
    <n v="0.17740471869328495"/>
    <n v="1.2019691470054445"/>
    <n v="6.7752941176470589"/>
    <n v="12"/>
    <x v="1"/>
    <s v="December"/>
  </r>
  <r>
    <s v="CMP-00569"/>
    <s v="Q2_Summer_CMP-00569"/>
    <x v="0"/>
    <s v="Summer"/>
    <d v="2023-12-21T00:00:00"/>
    <d v="2024-01-09T00:00:00"/>
    <x v="0"/>
    <n v="90588"/>
    <n v="3134"/>
    <n v="4660.5200000000004"/>
    <n v="547"/>
    <s v="Yes"/>
    <s v="TikTok"/>
    <n v="19"/>
    <n v="3.459619375634742E-2"/>
    <n v="0.17453733248245054"/>
    <n v="1.4870835992342055"/>
    <n v="8.5201462522851923"/>
    <n v="12"/>
    <x v="1"/>
    <s v="December"/>
  </r>
  <r>
    <s v="CMP-01373"/>
    <s v="Q4_Launch_CMP-01373"/>
    <x v="2"/>
    <s v="Launch"/>
    <d v="2023-12-21T00:00:00"/>
    <d v="2024-01-14T00:00:00"/>
    <x v="4"/>
    <n v="49285"/>
    <n v="752"/>
    <n v="910.68"/>
    <n v="40"/>
    <s v="No"/>
    <s v="Google Ads"/>
    <n v="24"/>
    <n v="1.5258192147712285E-2"/>
    <n v="5.3191489361702128E-2"/>
    <n v="1.2110106382978723"/>
    <n v="22.766999999999999"/>
    <n v="12"/>
    <x v="1"/>
    <s v="December"/>
  </r>
  <r>
    <s v="CMP-00329"/>
    <s v="Q1_Summer_CMP-00329"/>
    <x v="3"/>
    <s v="Summer"/>
    <d v="2023-12-22T00:00:00"/>
    <d v="2024-01-12T00:00:00"/>
    <x v="4"/>
    <n v="46525"/>
    <n v="1413"/>
    <n v="2076.9699999999998"/>
    <n v="231"/>
    <s v="No"/>
    <s v="Google Ads"/>
    <n v="21"/>
    <n v="3.0370768404083825E-2"/>
    <n v="0.16348195329087048"/>
    <n v="1.4699009200283084"/>
    <n v="8.9912121212121203"/>
    <n v="12"/>
    <x v="1"/>
    <s v="December"/>
  </r>
  <r>
    <s v="CMP-01061"/>
    <s v="Q1_Winstagramter_CMP-01061"/>
    <x v="3"/>
    <s v="Winstagramter"/>
    <d v="2023-12-22T00:00:00"/>
    <d v="2023-12-23T00:00:00"/>
    <x v="3"/>
    <n v="35387"/>
    <n v="910"/>
    <n v="1516.71"/>
    <n v="159"/>
    <s v="No"/>
    <s v="FB"/>
    <n v="1"/>
    <n v="2.5715658292593327E-2"/>
    <n v="0.17472527472527472"/>
    <n v="1.6667142857142858"/>
    <n v="9.5390566037735844"/>
    <n v="12"/>
    <x v="1"/>
    <s v="December"/>
  </r>
  <r>
    <s v="CMP-01806"/>
    <s v="Q2_BlackFriday_CMP-01806"/>
    <x v="0"/>
    <s v="BlackFriday"/>
    <d v="2023-12-22T00:00:00"/>
    <d v="2024-01-07T00:00:00"/>
    <x v="3"/>
    <n v="88046"/>
    <n v="3651"/>
    <n v="5896.92"/>
    <n v="0"/>
    <s v="Yes"/>
    <s v="FB"/>
    <n v="16"/>
    <n v="4.1466960452490743E-2"/>
    <n v="0"/>
    <n v="1.6151520131470831"/>
    <s v="0"/>
    <n v="12"/>
    <x v="1"/>
    <s v="December"/>
  </r>
  <r>
    <s v="CMP-01811"/>
    <s v="Q2_Summer_CMP-01811"/>
    <x v="0"/>
    <s v="Summer"/>
    <d v="2023-12-22T00:00:00"/>
    <d v="2024-01-01T00:00:00"/>
    <x v="3"/>
    <n v="94106"/>
    <n v="2038"/>
    <n v="2223.73"/>
    <n v="326"/>
    <s v="Yes"/>
    <s v="FB"/>
    <n v="10"/>
    <n v="2.1656429983210421E-2"/>
    <n v="0.15996074582924436"/>
    <n v="1.0911334641805692"/>
    <n v="6.8212576687116568"/>
    <n v="12"/>
    <x v="1"/>
    <s v="December"/>
  </r>
  <r>
    <s v="CMP-01911"/>
    <s v="Q3_Launch_CMP-01911"/>
    <x v="1"/>
    <s v="Launch"/>
    <d v="2023-12-22T00:00:00"/>
    <d v="2024-01-15T00:00:00"/>
    <x v="3"/>
    <n v="52195"/>
    <n v="2581"/>
    <n v="3257.02"/>
    <n v="420"/>
    <s v="No"/>
    <s v="FB"/>
    <n v="24"/>
    <n v="4.9449180956030271E-2"/>
    <n v="0.16272762495156917"/>
    <n v="1.2619217357613328"/>
    <n v="7.7548095238095236"/>
    <n v="12"/>
    <x v="1"/>
    <s v="December"/>
  </r>
  <r>
    <s v="CMP-00779"/>
    <s v="Q1_BlackFriday_CMP-00779"/>
    <x v="3"/>
    <s v="BlackFriday"/>
    <d v="2023-12-23T00:00:00"/>
    <d v="2024-01-15T00:00:00"/>
    <x v="3"/>
    <n v="2015"/>
    <n v="49"/>
    <n v="53.74"/>
    <n v="4"/>
    <s v="No"/>
    <s v="FB"/>
    <n v="23"/>
    <n v="2.4317617866004962E-2"/>
    <n v="8.1632653061224483E-2"/>
    <n v="1.0967346938775511"/>
    <n v="13.435"/>
    <n v="12"/>
    <x v="1"/>
    <s v="December"/>
  </r>
  <r>
    <s v="CMP-01541"/>
    <s v="Q1_Winstagramter_CMP-01541"/>
    <x v="3"/>
    <s v="Winstagramter"/>
    <d v="2023-12-23T00:00:00"/>
    <d v="2023-12-29T00:00:00"/>
    <x v="3"/>
    <n v="20426"/>
    <n v="321"/>
    <n v="492.16"/>
    <n v="23"/>
    <s v="Yes"/>
    <s v="FB"/>
    <n v="6"/>
    <n v="1.5715264858513659E-2"/>
    <n v="7.1651090342679122E-2"/>
    <n v="1.533208722741433"/>
    <n v="21.398260869565217"/>
    <n v="12"/>
    <x v="1"/>
    <s v="December"/>
  </r>
  <r>
    <s v="CMP-01814"/>
    <s v="Q1_Winstagramter_CMP-01814"/>
    <x v="3"/>
    <s v="Winstagramter"/>
    <d v="2023-12-23T00:00:00"/>
    <d v="2023-12-29T00:00:00"/>
    <x v="5"/>
    <n v="97214"/>
    <n v="1774"/>
    <n v="980.71"/>
    <n v="214"/>
    <s v="No"/>
    <s v="Not specified"/>
    <n v="6"/>
    <n v="1.8248400436151172E-2"/>
    <n v="0.12063134160090191"/>
    <n v="0.55282412626832023"/>
    <n v="4.5827570093457943"/>
    <n v="12"/>
    <x v="1"/>
    <s v="December"/>
  </r>
  <r>
    <s v="CMP-00376"/>
    <s v="Q3_BlackFriday_CMP-00376"/>
    <x v="1"/>
    <s v="BlackFriday"/>
    <d v="2023-12-23T00:00:00"/>
    <d v="2024-01-04T00:00:00"/>
    <x v="3"/>
    <n v="27641"/>
    <n v="1245"/>
    <n v="1779.63"/>
    <n v="147"/>
    <s v="Yes"/>
    <s v="FB"/>
    <n v="12"/>
    <n v="4.5041785753048007E-2"/>
    <n v="0.1180722891566265"/>
    <n v="1.429421686746988"/>
    <n v="12.106326530612245"/>
    <n v="12"/>
    <x v="1"/>
    <s v="December"/>
  </r>
  <r>
    <s v="CMP-00828"/>
    <s v="Q3_Launch_CMP-00828"/>
    <x v="1"/>
    <s v="Launch"/>
    <d v="2023-12-23T00:00:00"/>
    <d v="2023-12-25T00:00:00"/>
    <x v="0"/>
    <n v="37187"/>
    <n v="996"/>
    <n v="635.6"/>
    <n v="80"/>
    <s v="Yes"/>
    <s v="TikTok"/>
    <n v="2"/>
    <n v="2.6783553392314519E-2"/>
    <n v="8.0321285140562249E-2"/>
    <n v="0.63815261044176708"/>
    <n v="7.9450000000000003"/>
    <n v="12"/>
    <x v="1"/>
    <s v="December"/>
  </r>
  <r>
    <s v="CMP-01165"/>
    <s v="Q3_Launch_CMP-01165"/>
    <x v="1"/>
    <s v="Launch"/>
    <d v="2023-12-23T00:00:00"/>
    <d v="2023-12-28T00:00:00"/>
    <x v="1"/>
    <n v="65435"/>
    <n v="1809"/>
    <n v="2023.56"/>
    <n v="155"/>
    <s v="Yes"/>
    <s v="Email"/>
    <n v="5"/>
    <n v="2.7645755329716512E-2"/>
    <n v="8.5682697622996129E-2"/>
    <n v="1.1186069651741293"/>
    <n v="13.055225806451613"/>
    <n v="12"/>
    <x v="1"/>
    <s v="December"/>
  </r>
  <r>
    <s v="CMP-01181"/>
    <s v="Q3_BlackFriday_CMP-01181"/>
    <x v="1"/>
    <s v="BlackFriday"/>
    <d v="2023-12-23T00:00:00"/>
    <d v="2024-01-12T00:00:00"/>
    <x v="0"/>
    <n v="56318"/>
    <n v="1235"/>
    <n v="811.41"/>
    <n v="126"/>
    <s v="Yes"/>
    <s v="TikTok"/>
    <n v="20"/>
    <n v="2.1929045775773287E-2"/>
    <n v="0.10202429149797571"/>
    <n v="0.65701214574898781"/>
    <n v="6.4397619047619044"/>
    <n v="12"/>
    <x v="1"/>
    <s v="December"/>
  </r>
  <r>
    <s v="CMP-01212"/>
    <s v="Q3_Winstagramter_CMP-01212"/>
    <x v="1"/>
    <s v="Winstagramter"/>
    <d v="2023-12-23T00:00:00"/>
    <d v="2024-01-09T00:00:00"/>
    <x v="4"/>
    <n v="35560"/>
    <n v="1524"/>
    <n v="2414.94"/>
    <n v="0"/>
    <s v="Yes"/>
    <s v="Google Ads"/>
    <n v="17"/>
    <n v="4.2857142857142858E-2"/>
    <n v="0"/>
    <n v="1.5846062992125984"/>
    <s v="0"/>
    <n v="12"/>
    <x v="1"/>
    <s v="December"/>
  </r>
  <r>
    <s v="CMP-01399"/>
    <s v="Q3_Launch_CMP-01399"/>
    <x v="1"/>
    <s v="Launch"/>
    <d v="2023-12-23T00:00:00"/>
    <d v="2024-01-19T00:00:00"/>
    <x v="5"/>
    <n v="39243"/>
    <n v="1507"/>
    <n v="1913.09"/>
    <n v="79"/>
    <s v="Yes"/>
    <s v="Not specified"/>
    <n v="27"/>
    <n v="3.840175317891089E-2"/>
    <n v="5.2422030524220307E-2"/>
    <n v="1.2694691439946915"/>
    <n v="24.216329113924051"/>
    <n v="12"/>
    <x v="1"/>
    <s v="December"/>
  </r>
  <r>
    <s v="CMP-00166"/>
    <s v="Q4_Winstagramter_CMP-00166"/>
    <x v="2"/>
    <s v="Winstagramter"/>
    <d v="2023-12-23T00:00:00"/>
    <d v="2023-12-28T00:00:00"/>
    <x v="0"/>
    <n v="96003"/>
    <n v="3214"/>
    <n v="4936.7700000000004"/>
    <n v="161"/>
    <s v="Yes"/>
    <s v="TikTok"/>
    <n v="5"/>
    <n v="3.3478120475401808E-2"/>
    <n v="5.0093341630367147E-2"/>
    <n v="1.5360205351586809"/>
    <n v="30.663167701863358"/>
    <n v="12"/>
    <x v="1"/>
    <s v="December"/>
  </r>
  <r>
    <s v="CMP-01980"/>
    <s v="Q1_BlackFriday_CMP-01980"/>
    <x v="3"/>
    <s v="BlackFriday"/>
    <d v="2023-12-24T00:00:00"/>
    <d v="2024-01-20T00:00:00"/>
    <x v="2"/>
    <n v="99818"/>
    <n v="3819"/>
    <n v="4829.07"/>
    <n v="465"/>
    <s v="No"/>
    <s v="IG"/>
    <n v="27"/>
    <n v="3.8259632531206796E-2"/>
    <n v="0.12175962293794187"/>
    <n v="1.2644854673998429"/>
    <n v="10.385096774193547"/>
    <n v="12"/>
    <x v="1"/>
    <s v="December"/>
  </r>
  <r>
    <s v="CMP-01119"/>
    <s v="Q2_Launch_CMP-01119"/>
    <x v="0"/>
    <s v="Launch"/>
    <d v="2023-12-24T00:00:00"/>
    <d v="2024-01-04T00:00:00"/>
    <x v="4"/>
    <n v="35016"/>
    <n v="1343"/>
    <n v="705.09"/>
    <n v="192"/>
    <s v="No"/>
    <s v="Google Ads"/>
    <n v="11"/>
    <n v="3.8353895362120173E-2"/>
    <n v="0.14296351451973194"/>
    <n v="0.5250111690245719"/>
    <n v="3.67234375"/>
    <n v="12"/>
    <x v="1"/>
    <s v="December"/>
  </r>
  <r>
    <s v="CMP-01784"/>
    <s v="Q2_Winstagramter_CMP-01784"/>
    <x v="0"/>
    <s v="Winstagramter"/>
    <d v="2023-12-24T00:00:00"/>
    <d v="2024-01-05T00:00:00"/>
    <x v="2"/>
    <n v="14507"/>
    <n v="551"/>
    <n v="702.49"/>
    <n v="36"/>
    <s v="Yes"/>
    <s v="IG"/>
    <n v="12"/>
    <n v="3.7981664024264152E-2"/>
    <n v="6.5335753176043551E-2"/>
    <n v="1.2749364791288567"/>
    <n v="19.513611111111111"/>
    <n v="12"/>
    <x v="1"/>
    <s v="December"/>
  </r>
  <r>
    <s v="CMP-00822"/>
    <s v="Q3_Launch_CMP-00822"/>
    <x v="1"/>
    <s v="Launch"/>
    <d v="2023-12-24T00:00:00"/>
    <d v="2024-01-12T00:00:00"/>
    <x v="0"/>
    <n v="58091"/>
    <n v="2625"/>
    <n v="2488.96"/>
    <n v="200"/>
    <s v="No"/>
    <s v="TikTok"/>
    <n v="19"/>
    <n v="4.5187722710919073E-2"/>
    <n v="7.6190476190476197E-2"/>
    <n v="0.94817523809523807"/>
    <n v="12.444800000000001"/>
    <n v="12"/>
    <x v="1"/>
    <s v="December"/>
  </r>
  <r>
    <s v="CMP-01661"/>
    <s v="Q3_Winstagramter_CMP-01661"/>
    <x v="1"/>
    <s v="Winstagramter"/>
    <d v="2023-12-24T00:00:00"/>
    <d v="2024-01-20T00:00:00"/>
    <x v="0"/>
    <n v="43874"/>
    <n v="1285"/>
    <n v="1993.42"/>
    <n v="135"/>
    <s v="Yes"/>
    <s v="TikTok"/>
    <n v="27"/>
    <n v="2.9288416830013219E-2"/>
    <n v="0.10505836575875487"/>
    <n v="1.5512996108949417"/>
    <n v="14.766074074074075"/>
    <n v="12"/>
    <x v="1"/>
    <s v="December"/>
  </r>
  <r>
    <s v="CMP-01028"/>
    <s v="Q4_Summer_CMP-01028"/>
    <x v="2"/>
    <s v="Summer"/>
    <d v="2023-12-24T00:00:00"/>
    <d v="2024-01-05T00:00:00"/>
    <x v="0"/>
    <n v="54441"/>
    <n v="2158"/>
    <n v="2422.7600000000002"/>
    <n v="252"/>
    <s v="Yes"/>
    <s v="TikTok"/>
    <n v="12"/>
    <n v="3.963924248268768E-2"/>
    <n v="0.11677479147358666"/>
    <n v="1.1226876737720113"/>
    <n v="9.614126984126985"/>
    <n v="12"/>
    <x v="1"/>
    <s v="December"/>
  </r>
  <r>
    <s v="CMP-00371"/>
    <s v="Q1_BlackFriday_CMP-00371"/>
    <x v="3"/>
    <s v="BlackFriday"/>
    <d v="2023-12-25T00:00:00"/>
    <d v="2024-01-01T00:00:00"/>
    <x v="4"/>
    <n v="66726"/>
    <n v="880"/>
    <n v="1280.97"/>
    <n v="44"/>
    <s v="Yes"/>
    <s v="Google Ads"/>
    <n v="7"/>
    <n v="1.3188262446422684E-2"/>
    <n v="0.05"/>
    <n v="1.4556477272727273"/>
    <n v="29.112954545454546"/>
    <n v="12"/>
    <x v="1"/>
    <s v="December"/>
  </r>
  <r>
    <s v="CMP-00672"/>
    <s v="Q1_BlackFriday_CMP-00672"/>
    <x v="3"/>
    <s v="BlackFriday"/>
    <d v="2023-12-25T00:00:00"/>
    <d v="2023-12-28T00:00:00"/>
    <x v="2"/>
    <n v="43348"/>
    <n v="496"/>
    <n v="408.89"/>
    <n v="85"/>
    <s v="No"/>
    <s v="IG"/>
    <n v="3"/>
    <n v="1.1442281074097997E-2"/>
    <n v="0.17137096774193547"/>
    <n v="0.82437499999999997"/>
    <n v="4.8104705882352938"/>
    <n v="12"/>
    <x v="1"/>
    <s v="December"/>
  </r>
  <r>
    <s v="CMP-01905"/>
    <s v="Q3_Summer_CMP-01905"/>
    <x v="1"/>
    <s v="Summer"/>
    <d v="2023-12-25T00:00:00"/>
    <d v="2023-12-26T00:00:00"/>
    <x v="0"/>
    <n v="63046"/>
    <n v="1051"/>
    <n v="970.57"/>
    <n v="0"/>
    <s v="Yes"/>
    <s v="TikTok"/>
    <n v="1"/>
    <n v="1.6670367668051897E-2"/>
    <n v="0"/>
    <n v="0.92347288296860142"/>
    <s v="0"/>
    <n v="12"/>
    <x v="1"/>
    <s v="December"/>
  </r>
  <r>
    <s v="CMP-01067"/>
    <s v="Q4_Winstagramter_CMP-01067"/>
    <x v="2"/>
    <s v="Winstagramter"/>
    <d v="2023-12-25T00:00:00"/>
    <d v="2024-01-24T00:00:00"/>
    <x v="1"/>
    <n v="80767"/>
    <n v="3269"/>
    <n v="4523.71"/>
    <n v="380"/>
    <s v="No"/>
    <s v="Email"/>
    <n v="30"/>
    <n v="4.0474451199128354E-2"/>
    <n v="0.11624349954114407"/>
    <n v="1.3838207402875498"/>
    <n v="11.904500000000001"/>
    <n v="12"/>
    <x v="1"/>
    <s v="December"/>
  </r>
  <r>
    <s v="CMP-00412"/>
    <s v="Q1_Summer_CMP-00412"/>
    <x v="3"/>
    <s v="Summer"/>
    <d v="2023-12-26T00:00:00"/>
    <d v="2024-01-08T00:00:00"/>
    <x v="2"/>
    <n v="92083"/>
    <n v="2694"/>
    <n v="2063.0300000000002"/>
    <n v="308"/>
    <s v="Yes"/>
    <s v="IG"/>
    <n v="13"/>
    <n v="2.9256214502133945E-2"/>
    <n v="0.11432813659985153"/>
    <n v="0.76578693392724584"/>
    <n v="6.6981493506493512"/>
    <n v="12"/>
    <x v="1"/>
    <s v="December"/>
  </r>
  <r>
    <s v="CMP-00022"/>
    <s v="Q2_BlackFriday_CMP-00022"/>
    <x v="0"/>
    <s v="BlackFriday"/>
    <d v="2023-12-26T00:00:00"/>
    <d v="2024-01-02T00:00:00"/>
    <x v="4"/>
    <n v="54707"/>
    <n v="1735"/>
    <n v="2428.4"/>
    <n v="0"/>
    <s v="Yes"/>
    <s v="Google Ads"/>
    <n v="7"/>
    <n v="3.1714405834719503E-2"/>
    <n v="0"/>
    <n v="1.3996541786743517"/>
    <s v="0"/>
    <n v="12"/>
    <x v="1"/>
    <s v="December"/>
  </r>
  <r>
    <s v="CMP-00226"/>
    <s v="Q3_Winstagramter_CMP-00226"/>
    <x v="1"/>
    <s v="Winstagramter"/>
    <d v="2023-12-26T00:00:00"/>
    <d v="2024-01-20T00:00:00"/>
    <x v="2"/>
    <n v="88455"/>
    <n v="2984"/>
    <n v="2851.02"/>
    <n v="583"/>
    <s v="Yes"/>
    <s v="IG"/>
    <n v="25"/>
    <n v="3.3734667344977674E-2"/>
    <n v="0.19537533512064342"/>
    <n v="0.95543565683646114"/>
    <n v="4.8902572898799317"/>
    <n v="12"/>
    <x v="1"/>
    <s v="December"/>
  </r>
  <r>
    <s v="CMP-01140"/>
    <s v="Q3_Summer_CMP-01140"/>
    <x v="1"/>
    <s v="Summer"/>
    <d v="2023-12-26T00:00:00"/>
    <d v="2024-01-12T00:00:00"/>
    <x v="3"/>
    <n v="60379"/>
    <n v="2662"/>
    <n v="4246.58"/>
    <n v="237"/>
    <s v="No"/>
    <s v="FB"/>
    <n v="17"/>
    <n v="4.4088176352705413E-2"/>
    <n v="8.9030803906836958E-2"/>
    <n v="1.5952592036063111"/>
    <n v="17.918059071729957"/>
    <n v="12"/>
    <x v="1"/>
    <s v="December"/>
  </r>
  <r>
    <s v="CMP-01590"/>
    <s v="Q3_BlackFriday_CMP-01590"/>
    <x v="1"/>
    <s v="BlackFriday"/>
    <d v="2023-12-26T00:00:00"/>
    <d v="2024-01-23T00:00:00"/>
    <x v="0"/>
    <n v="74972"/>
    <n v="3026"/>
    <n v="5553.78"/>
    <n v="392"/>
    <s v="Yes"/>
    <s v="TikTok"/>
    <n v="28"/>
    <n v="4.036173504775116E-2"/>
    <n v="0.12954395241242564"/>
    <n v="1.8353536021150032"/>
    <n v="14.16780612244898"/>
    <n v="12"/>
    <x v="1"/>
    <s v="December"/>
  </r>
  <r>
    <s v="CMP-01775"/>
    <s v="Q3_Launch_CMP-01775"/>
    <x v="1"/>
    <s v="Launch"/>
    <d v="2023-12-26T00:00:00"/>
    <d v="2024-01-09T00:00:00"/>
    <x v="3"/>
    <n v="43207"/>
    <n v="1827"/>
    <n v="2705.2"/>
    <n v="364"/>
    <s v="Yes"/>
    <s v="FB"/>
    <n v="14"/>
    <n v="4.2284814960538798E-2"/>
    <n v="0.19923371647509577"/>
    <n v="1.4806787082649151"/>
    <n v="7.4318681318681312"/>
    <n v="12"/>
    <x v="1"/>
    <s v="December"/>
  </r>
  <r>
    <s v="CMP-00454"/>
    <s v="Q1_Summer_CMP-00454"/>
    <x v="3"/>
    <s v="Summer"/>
    <d v="2023-12-27T00:00:00"/>
    <d v="2024-01-17T00:00:00"/>
    <x v="1"/>
    <n v="87672"/>
    <n v="3616"/>
    <n v="6920.98"/>
    <n v="651"/>
    <s v="Yes"/>
    <s v="Email"/>
    <n v="21"/>
    <n v="4.1244639109407795E-2"/>
    <n v="0.18003318584070796"/>
    <n v="1.9139878318584069"/>
    <n v="10.631305683563747"/>
    <n v="12"/>
    <x v="1"/>
    <s v="December"/>
  </r>
  <r>
    <s v="CMP-00592"/>
    <s v="Q1_BlackFriday_CMP-00592"/>
    <x v="3"/>
    <s v="BlackFriday"/>
    <d v="2023-12-27T00:00:00"/>
    <d v="2024-01-18T00:00:00"/>
    <x v="4"/>
    <n v="89726"/>
    <n v="904"/>
    <n v="1049.42"/>
    <n v="142"/>
    <s v="Yes"/>
    <s v="Google Ads"/>
    <n v="22"/>
    <n v="1.0075117580188574E-2"/>
    <n v="0.15707964601769911"/>
    <n v="1.1608628318584071"/>
    <n v="7.3902816901408457"/>
    <n v="12"/>
    <x v="1"/>
    <s v="December"/>
  </r>
  <r>
    <s v="CMP-01120"/>
    <s v="Q1_Launch_CMP-01120"/>
    <x v="3"/>
    <s v="Launch"/>
    <d v="2023-12-27T00:00:00"/>
    <d v="2024-01-21T00:00:00"/>
    <x v="1"/>
    <n v="12246"/>
    <n v="209"/>
    <n v="165.56"/>
    <n v="23"/>
    <s v="Yes"/>
    <s v="Email"/>
    <n v="25"/>
    <n v="1.706679732157439E-2"/>
    <n v="0.11004784688995216"/>
    <n v="0.79215311004784694"/>
    <n v="7.1982608695652175"/>
    <n v="12"/>
    <x v="1"/>
    <s v="December"/>
  </r>
  <r>
    <s v="CMP-00328"/>
    <s v="Q2_BlackFriday_CMP-00328"/>
    <x v="0"/>
    <s v="BlackFriday"/>
    <d v="2023-12-27T00:00:00"/>
    <d v="2023-12-29T00:00:00"/>
    <x v="0"/>
    <n v="41818"/>
    <n v="818"/>
    <n v="464.77"/>
    <n v="78"/>
    <s v="No"/>
    <s v="TikTok"/>
    <n v="2"/>
    <n v="1.9560954612846144E-2"/>
    <n v="9.5354523227383858E-2"/>
    <n v="0.56817848410757943"/>
    <n v="5.9585897435897435"/>
    <n v="12"/>
    <x v="1"/>
    <s v="December"/>
  </r>
  <r>
    <s v="CMP-00727"/>
    <s v="Q2_BlackFriday_CMP-00727"/>
    <x v="0"/>
    <s v="BlackFriday"/>
    <d v="2023-12-27T00:00:00"/>
    <d v="2024-01-14T00:00:00"/>
    <x v="4"/>
    <n v="72726"/>
    <n v="1355"/>
    <n v="1903.49"/>
    <n v="229"/>
    <s v="Yes"/>
    <s v="Google Ads"/>
    <n v="18"/>
    <n v="1.8631576052580919E-2"/>
    <n v="0.16900369003690036"/>
    <n v="1.4047896678966789"/>
    <n v="8.3121834061135367"/>
    <n v="12"/>
    <x v="1"/>
    <s v="December"/>
  </r>
  <r>
    <s v="CMP-01404"/>
    <s v="Q2_Summer_CMP-01404"/>
    <x v="0"/>
    <s v="Summer"/>
    <d v="2023-12-27T00:00:00"/>
    <d v="2023-12-28T00:00:00"/>
    <x v="2"/>
    <n v="23180"/>
    <n v="854"/>
    <n v="1549.4"/>
    <n v="44"/>
    <s v="No"/>
    <s v="IG"/>
    <n v="1"/>
    <n v="3.6842105263157891E-2"/>
    <n v="5.1522248243559721E-2"/>
    <n v="1.8142857142857145"/>
    <n v="35.213636363636368"/>
    <n v="12"/>
    <x v="1"/>
    <s v="December"/>
  </r>
  <r>
    <s v="CMP-01081"/>
    <s v="Q4_Launch_CMP-01081"/>
    <x v="2"/>
    <s v="Launch"/>
    <d v="2023-12-27T00:00:00"/>
    <d v="2024-01-09T00:00:00"/>
    <x v="1"/>
    <n v="66441"/>
    <n v="2151"/>
    <n v="1369.57"/>
    <n v="204"/>
    <s v="No"/>
    <s v="Email"/>
    <n v="13"/>
    <n v="3.2374587980313362E-2"/>
    <n v="9.4839609483960946E-2"/>
    <n v="0.63671315667131567"/>
    <n v="6.7135784313725484"/>
    <n v="12"/>
    <x v="1"/>
    <s v="December"/>
  </r>
  <r>
    <s v="CMP-01864"/>
    <s v="Q4_Summer_CMP-01864"/>
    <x v="2"/>
    <s v="Summer"/>
    <d v="2023-12-27T00:00:00"/>
    <d v="2024-01-23T00:00:00"/>
    <x v="3"/>
    <n v="22563"/>
    <n v="956"/>
    <n v="1377.79"/>
    <n v="156"/>
    <s v="Yes"/>
    <s v="FB"/>
    <n v="27"/>
    <n v="4.237025218277711E-2"/>
    <n v="0.16317991631799164"/>
    <n v="1.4412029288702928"/>
    <n v="8.8319871794871787"/>
    <n v="12"/>
    <x v="1"/>
    <s v="December"/>
  </r>
  <r>
    <s v="CMP-01881"/>
    <s v="Q1_BlackFriday_CMP-01881"/>
    <x v="3"/>
    <s v="BlackFriday"/>
    <d v="2023-12-28T00:00:00"/>
    <d v="2024-01-10T00:00:00"/>
    <x v="4"/>
    <n v="53098"/>
    <n v="559"/>
    <n v="992.65"/>
    <n v="63"/>
    <s v="No"/>
    <s v="Google Ads"/>
    <n v="13"/>
    <n v="1.0527703491656937E-2"/>
    <n v="0.11270125223613596"/>
    <n v="1.7757602862254025"/>
    <n v="15.756349206349206"/>
    <n v="12"/>
    <x v="1"/>
    <s v="December"/>
  </r>
  <r>
    <s v="CMP-01945"/>
    <s v="Q1_BlackFriday_CMP-01945"/>
    <x v="3"/>
    <s v="BlackFriday"/>
    <d v="2023-12-28T00:00:00"/>
    <d v="2024-01-08T00:00:00"/>
    <x v="0"/>
    <n v="99393"/>
    <n v="3766"/>
    <n v="5924.19"/>
    <n v="271"/>
    <s v="Yes"/>
    <s v="TikTok"/>
    <n v="11"/>
    <n v="3.7889992252975561E-2"/>
    <n v="7.1959638874137019E-2"/>
    <n v="1.5730722251725968"/>
    <n v="21.860479704797047"/>
    <n v="12"/>
    <x v="1"/>
    <s v="December"/>
  </r>
  <r>
    <s v="CMP-00262"/>
    <s v="Q2_Summer_CMP-00262"/>
    <x v="0"/>
    <s v="Summer"/>
    <d v="2023-12-28T00:00:00"/>
    <d v="2024-01-03T00:00:00"/>
    <x v="3"/>
    <n v="89614"/>
    <n v="3493"/>
    <n v="6409.05"/>
    <n v="318"/>
    <s v="No"/>
    <s v="FB"/>
    <n v="6"/>
    <n v="3.8978284643024524E-2"/>
    <n v="9.1039221299742346E-2"/>
    <n v="1.8348267964500431"/>
    <n v="20.15424528301887"/>
    <n v="12"/>
    <x v="1"/>
    <s v="December"/>
  </r>
  <r>
    <s v="CMP-00535"/>
    <s v="Q4_Summer_CMP-00535"/>
    <x v="2"/>
    <s v="Summer"/>
    <d v="2023-12-28T00:00:00"/>
    <d v="2024-01-12T00:00:00"/>
    <x v="3"/>
    <n v="19071"/>
    <n v="434"/>
    <n v="802.42"/>
    <n v="70"/>
    <s v="Yes"/>
    <s v="FB"/>
    <n v="15"/>
    <n v="2.2757065701850977E-2"/>
    <n v="0.16129032258064516"/>
    <n v="1.8488940092165898"/>
    <n v="11.463142857142856"/>
    <n v="12"/>
    <x v="1"/>
    <s v="December"/>
  </r>
  <r>
    <s v="CMP-01916"/>
    <s v="Q4_BlackFriday_CMP-01916"/>
    <x v="2"/>
    <s v="BlackFriday"/>
    <d v="2023-12-28T00:00:00"/>
    <d v="2024-01-12T00:00:00"/>
    <x v="2"/>
    <n v="33981"/>
    <n v="899"/>
    <n v="1079.0899999999999"/>
    <n v="138"/>
    <s v="Yes"/>
    <s v="IG"/>
    <n v="15"/>
    <n v="2.6455960683911598E-2"/>
    <n v="0.15350389321468297"/>
    <n v="1.2003225806451612"/>
    <n v="7.8194927536231882"/>
    <n v="12"/>
    <x v="1"/>
    <s v="December"/>
  </r>
  <r>
    <s v="CMP-01033"/>
    <s v="Q2_BlackFriday_CMP-01033"/>
    <x v="0"/>
    <s v="BlackFriday"/>
    <d v="2023-12-29T00:00:00"/>
    <d v="2024-01-24T00:00:00"/>
    <x v="3"/>
    <n v="89236"/>
    <n v="3372"/>
    <n v="5858.11"/>
    <n v="597"/>
    <s v="No"/>
    <s v="FB"/>
    <n v="26"/>
    <n v="3.7787440046617958E-2"/>
    <n v="0.17704626334519574"/>
    <n v="1.7372805456702254"/>
    <n v="9.812579564489111"/>
    <n v="12"/>
    <x v="1"/>
    <s v="December"/>
  </r>
  <r>
    <s v="CMP-01147"/>
    <s v="Q2_BlackFriday_CMP-01147"/>
    <x v="0"/>
    <s v="BlackFriday"/>
    <d v="2023-12-29T00:00:00"/>
    <d v="2024-01-04T00:00:00"/>
    <x v="2"/>
    <n v="98720"/>
    <n v="2797"/>
    <n v="4464.91"/>
    <n v="412"/>
    <s v="Yes"/>
    <s v="IG"/>
    <n v="6"/>
    <n v="2.8332658022690436E-2"/>
    <n v="0.1473006792992492"/>
    <n v="1.5963210582767251"/>
    <n v="10.837160194174757"/>
    <n v="12"/>
    <x v="1"/>
    <s v="December"/>
  </r>
  <r>
    <s v="CMP-00063"/>
    <s v="Q3_Summer_CMP-00063"/>
    <x v="1"/>
    <s v="Summer"/>
    <d v="2023-12-29T00:00:00"/>
    <d v="2024-01-03T00:00:00"/>
    <x v="3"/>
    <n v="67557"/>
    <n v="3063"/>
    <n v="3502.47"/>
    <n v="554"/>
    <s v="No"/>
    <s v="FB"/>
    <n v="5"/>
    <n v="4.5339491096407475E-2"/>
    <n v="0.18086842964413974"/>
    <n v="1.1434769833496572"/>
    <n v="6.3221480144404332"/>
    <n v="12"/>
    <x v="1"/>
    <s v="December"/>
  </r>
  <r>
    <s v="CMP-00782"/>
    <s v="Q3_Launch_CMP-00782"/>
    <x v="1"/>
    <s v="Launch"/>
    <d v="2023-12-29T00:00:00"/>
    <d v="2024-01-23T00:00:00"/>
    <x v="0"/>
    <n v="9415"/>
    <n v="285"/>
    <n v="213.42"/>
    <n v="39"/>
    <s v="Yes"/>
    <s v="TikTok"/>
    <n v="25"/>
    <n v="3.0270844397238449E-2"/>
    <n v="0.1368421052631579"/>
    <n v="0.74884210526315786"/>
    <n v="5.4723076923076919"/>
    <n v="12"/>
    <x v="1"/>
    <s v="December"/>
  </r>
  <r>
    <s v="CMP-01820"/>
    <s v="Q2_BlackFriday_CMP-01820"/>
    <x v="0"/>
    <s v="BlackFriday"/>
    <d v="2023-12-30T00:00:00"/>
    <d v="2024-01-17T00:00:00"/>
    <x v="4"/>
    <n v="90186"/>
    <n v="1028"/>
    <n v="1623.06"/>
    <n v="129"/>
    <s v="No"/>
    <s v="Google Ads"/>
    <n v="18"/>
    <n v="1.139866498126095E-2"/>
    <n v="0.1254863813229572"/>
    <n v="1.578852140077821"/>
    <n v="12.581860465116279"/>
    <n v="12"/>
    <x v="1"/>
    <s v="December"/>
  </r>
  <r>
    <s v="CMP-00614"/>
    <s v="Q4_Winstagramter_CMP-00614"/>
    <x v="2"/>
    <s v="Winstagramter"/>
    <d v="2023-12-30T00:00:00"/>
    <d v="2024-01-20T00:00:00"/>
    <x v="4"/>
    <n v="64932"/>
    <n v="2586"/>
    <n v="4102.3"/>
    <n v="0"/>
    <s v="Yes"/>
    <s v="Google Ads"/>
    <n v="21"/>
    <n v="3.982627980040658E-2"/>
    <n v="0"/>
    <n v="1.5863495746326373"/>
    <s v="0"/>
    <n v="12"/>
    <x v="1"/>
    <s v="December"/>
  </r>
  <r>
    <s v="CMP-01877"/>
    <s v="Q1_Summer_CMP-01877"/>
    <x v="3"/>
    <s v="Summer"/>
    <d v="2023-12-31T00:00:00"/>
    <d v="2024-01-30T00:00:00"/>
    <x v="2"/>
    <n v="39827"/>
    <n v="1807"/>
    <n v="2001.66"/>
    <n v="0"/>
    <s v="Yes"/>
    <s v="IG"/>
    <n v="30"/>
    <n v="4.537123057222487E-2"/>
    <n v="0"/>
    <n v="1.1077255118981739"/>
    <s v="0"/>
    <n v="12"/>
    <x v="1"/>
    <s v="December"/>
  </r>
  <r>
    <s v="CMP-01879"/>
    <s v="Q1_Summer_CMP-01879"/>
    <x v="3"/>
    <s v="Summer"/>
    <d v="2023-12-31T00:00:00"/>
    <d v="2024-01-03T00:00:00"/>
    <x v="1"/>
    <n v="45859"/>
    <n v="1305"/>
    <n v="1883.52"/>
    <n v="151"/>
    <s v="No"/>
    <s v="Email"/>
    <n v="3"/>
    <n v="2.8456791469504351E-2"/>
    <n v="0.11570881226053639"/>
    <n v="1.4433103448275861"/>
    <n v="12.473642384105959"/>
    <n v="12"/>
    <x v="1"/>
    <s v="December"/>
  </r>
  <r>
    <s v="CMP-01887"/>
    <s v="Q3_Winstagramter_CMP-01887"/>
    <x v="1"/>
    <s v="Winstagramter"/>
    <d v="2023-12-31T00:00:00"/>
    <d v="2024-01-10T00:00:00"/>
    <x v="0"/>
    <n v="29541"/>
    <n v="873"/>
    <n v="1077.1400000000001"/>
    <n v="146"/>
    <s v="Yes"/>
    <s v="TikTok"/>
    <n v="10"/>
    <n v="2.9552147862293085E-2"/>
    <n v="0.1672394043528064"/>
    <n v="1.2338373424971365"/>
    <n v="7.3776712328767129"/>
    <n v="12"/>
    <x v="1"/>
    <s v="December"/>
  </r>
  <r>
    <s v="CMP-00409"/>
    <s v="Q4_Summer_CMP-00409"/>
    <x v="2"/>
    <s v="Summer"/>
    <d v="2023-12-31T00:00:00"/>
    <d v="2024-01-11T00:00:00"/>
    <x v="4"/>
    <n v="7655"/>
    <n v="276"/>
    <n v="512.57000000000005"/>
    <n v="14"/>
    <s v="Yes"/>
    <s v="Google Ads"/>
    <n v="11"/>
    <n v="3.6054866100587848E-2"/>
    <n v="5.0724637681159424E-2"/>
    <n v="1.8571376811594205"/>
    <n v="36.612142857142864"/>
    <n v="12"/>
    <x v="1"/>
    <s v="December"/>
  </r>
  <r>
    <s v="CMP-00842"/>
    <s v="Q4_Summer_CMP-00842"/>
    <x v="2"/>
    <s v="Summer"/>
    <d v="2023-12-31T00:00:00"/>
    <d v="2024-01-25T00:00:00"/>
    <x v="0"/>
    <n v="43808"/>
    <n v="989"/>
    <n v="614.72"/>
    <n v="94"/>
    <s v="Yes"/>
    <s v="TikTok"/>
    <n v="25"/>
    <n v="2.2575785244704164E-2"/>
    <n v="9.5045500505561167E-2"/>
    <n v="0.62155712841253796"/>
    <n v="6.5395744680851067"/>
    <n v="12"/>
    <x v="1"/>
    <s v="December"/>
  </r>
  <r>
    <s v="CMP-01039"/>
    <s v="Q4_BlackFriday_CMP-01039"/>
    <x v="2"/>
    <s v="BlackFriday"/>
    <d v="2023-12-31T00:00:00"/>
    <d v="2024-01-18T00:00:00"/>
    <x v="1"/>
    <n v="92922"/>
    <n v="3932"/>
    <n v="5654.2"/>
    <n v="569"/>
    <s v="Yes"/>
    <s v="Email"/>
    <n v="18"/>
    <n v="4.2315059942747681E-2"/>
    <n v="0.14471007121057985"/>
    <n v="1.437995930824008"/>
    <n v="9.937082601054481"/>
    <n v="12"/>
    <x v="1"/>
    <s v="December"/>
  </r>
  <r>
    <s v="CMP-01998"/>
    <s v="Q4_BlackFriday_CMP-01998"/>
    <x v="2"/>
    <s v="BlackFriday"/>
    <d v="2023-12-31T00:00:00"/>
    <d v="2024-01-14T00:00:00"/>
    <x v="2"/>
    <n v="29380"/>
    <n v="705"/>
    <n v="767.32"/>
    <n v="0"/>
    <s v="No"/>
    <s v="IG"/>
    <n v="14"/>
    <n v="2.3995915588835941E-2"/>
    <n v="0"/>
    <n v="1.0883971631205676"/>
    <s v="0"/>
    <n v="12"/>
    <x v="1"/>
    <s v="December"/>
  </r>
  <r>
    <s v="CMP-01254"/>
    <s v="Q1_Launch_CMP-01254"/>
    <x v="3"/>
    <s v="Launch"/>
    <d v="2024-01-01T00:00:00"/>
    <d v="2024-01-27T00:00:00"/>
    <x v="3"/>
    <n v="5757"/>
    <n v="223"/>
    <n v="236.59"/>
    <n v="41"/>
    <s v="Yes"/>
    <s v="FB"/>
    <n v="26"/>
    <n v="3.8735452492617679E-2"/>
    <n v="0.18385650224215247"/>
    <n v="1.0609417040358744"/>
    <n v="5.7704878048780488"/>
    <n v="1"/>
    <x v="2"/>
    <s v="January"/>
  </r>
  <r>
    <s v="CMP-01383"/>
    <s v="Q1_Summer_CMP-01383"/>
    <x v="3"/>
    <s v="Summer"/>
    <d v="2024-01-01T00:00:00"/>
    <d v="2024-01-26T00:00:00"/>
    <x v="2"/>
    <n v="3573"/>
    <n v="141"/>
    <n v="99.55"/>
    <n v="17"/>
    <s v="Yes"/>
    <s v="IG"/>
    <n v="25"/>
    <n v="3.9462636439966413E-2"/>
    <n v="0.12056737588652482"/>
    <n v="0.70602836879432618"/>
    <n v="5.8558823529411761"/>
    <n v="1"/>
    <x v="2"/>
    <s v="January"/>
  </r>
  <r>
    <s v="CMP-00691"/>
    <s v="Q3_BlackFriday_CMP-00691"/>
    <x v="1"/>
    <s v="BlackFriday"/>
    <d v="2024-01-01T00:00:00"/>
    <d v="2024-01-18T00:00:00"/>
    <x v="1"/>
    <n v="16485"/>
    <n v="647"/>
    <n v="442.01"/>
    <n v="111"/>
    <s v="No"/>
    <s v="Email"/>
    <n v="17"/>
    <n v="3.9247801031240523E-2"/>
    <n v="0.17156105100463678"/>
    <n v="0.68316846986089641"/>
    <n v="3.9820720720720719"/>
    <n v="1"/>
    <x v="2"/>
    <s v="January"/>
  </r>
  <r>
    <s v="CMP-01989"/>
    <s v="Q3_Launch_CMP-01989"/>
    <x v="1"/>
    <s v="Launch"/>
    <d v="2024-01-01T00:00:00"/>
    <d v="2024-01-16T00:00:00"/>
    <x v="0"/>
    <n v="2560"/>
    <n v="63"/>
    <n v="115.65"/>
    <n v="8"/>
    <s v="Yes"/>
    <s v="TikTok"/>
    <n v="15"/>
    <n v="2.4609374999999999E-2"/>
    <n v="0.12698412698412698"/>
    <n v="1.8357142857142859"/>
    <n v="14.456250000000001"/>
    <n v="1"/>
    <x v="2"/>
    <s v="January"/>
  </r>
  <r>
    <s v="CMP-00487"/>
    <s v="Q4_Winstagramter_CMP-00487"/>
    <x v="2"/>
    <s v="Winstagramter"/>
    <d v="2024-01-01T00:00:00"/>
    <d v="2024-01-11T00:00:00"/>
    <x v="5"/>
    <n v="70042"/>
    <n v="2142"/>
    <n v="1514.03"/>
    <n v="153"/>
    <s v="Yes"/>
    <s v="Not specified"/>
    <n v="10"/>
    <n v="3.0581651009394362E-2"/>
    <n v="7.1428571428571425E-2"/>
    <n v="0.70683006535947712"/>
    <n v="9.8956209150326799"/>
    <n v="1"/>
    <x v="2"/>
    <s v="January"/>
  </r>
  <r>
    <s v="CMP-01107"/>
    <s v="Q4_Summer_CMP-01107"/>
    <x v="2"/>
    <s v="Summer"/>
    <d v="2024-01-01T00:00:00"/>
    <d v="2024-01-28T00:00:00"/>
    <x v="2"/>
    <n v="30287"/>
    <n v="486"/>
    <n v="561.61"/>
    <n v="69"/>
    <s v="No"/>
    <s v="IG"/>
    <n v="27"/>
    <n v="1.6046488592465415E-2"/>
    <n v="0.1419753086419753"/>
    <n v="1.1555761316872428"/>
    <n v="8.1392753623188412"/>
    <n v="1"/>
    <x v="2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55668-F614-4B51-A8CF-A99C0A3E7BE0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Channel" colHeaderCaption="Year">
  <location ref="B60:F68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onversions" fld="10" baseField="0" baseItem="0"/>
  </dataFields>
  <formats count="1">
    <format dxfId="25">
      <pivotArea field="19" type="button" dataOnly="0" labelOnly="1" outline="0" axis="axisCol" fieldPosition="0"/>
    </format>
  </formats>
  <chartFormats count="3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FA2D8-D363-44C1-9F85-9BAF76E9A5FC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Channel" colHeaderCaption="Year">
  <location ref="B42:F50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licks " fld="8" baseField="0" baseItem="0"/>
  </dataFields>
  <formats count="1">
    <format dxfId="26">
      <pivotArea field="19" type="button" dataOnly="0" labelOnly="1" outline="0" axis="axisCol" fieldPosition="0"/>
    </format>
  </formats>
  <chartFormats count="3"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E95B3-8610-4248-B9A4-3B5E4CDD55D4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hannel" colHeaderCaption="Year">
  <location ref="B24:F32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Impressions" fld="7" baseField="0" baseItem="0"/>
  </dataFields>
  <formats count="1">
    <format dxfId="27">
      <pivotArea field="19" type="button" dataOnly="0" labelOnly="1" outline="0" axis="axisCol" fieldPosition="0"/>
    </format>
  </format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6DE5B-375A-4EA2-9625-CCD04AA4C99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annel" colHeaderCaption="Year">
  <location ref="B7:F15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Spend" fld="9" baseField="0" baseItem="0"/>
  </dataFields>
  <formats count="1">
    <format dxfId="28">
      <pivotArea field="19" type="button" dataOnly="0" labelOnly="1" outline="0" axis="axisCol" fieldPosition="0"/>
    </format>
  </format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5F964-C958-49D7-ACC8-8EAA9B4D6EA8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 rowHeaderCaption="Channel" colHeaderCaption="Year">
  <location ref="B77:F85" firstHeaderRow="1" firstDataRow="2" firstDataCol="1"/>
  <pivotFields count="21"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 Campaign_ID " fld="0" subtotal="count" baseField="0" baseItem="0"/>
  </dataFields>
  <formats count="1">
    <format dxfId="29">
      <pivotArea field="19" type="button" dataOnly="0" labelOnly="1" outline="0" axis="axisCol" fieldPosition="0"/>
    </format>
  </formats>
  <chartFormats count="3"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FA847-AB8D-482C-A11D-0D9605ED5C7F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hannel" colHeaderCaption="Year">
  <location ref="B50:F58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dataField="1"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Count of Cost_Per_Conversion" fld="17" subtotal="count" baseField="0" baseItem="0"/>
  </dataFields>
  <formats count="1">
    <format dxfId="20">
      <pivotArea field="19" type="button" dataOnly="0" labelOnly="1" outline="0" axis="axisCol" fieldPosition="0"/>
    </format>
  </formats>
  <chartFormats count="3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39049-82AE-4185-A4B9-6D20B431A024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hannel" colHeaderCaption="Year">
  <location ref="B35:F43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dataField="1"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Min. of Cost_Per_Click" fld="16" subtotal="min" baseField="6" baseItem="0"/>
  </dataFields>
  <formats count="1">
    <format dxfId="21">
      <pivotArea field="19" type="button" dataOnly="0" labelOnly="1" outline="0" axis="axisCol" fieldPosition="0"/>
    </format>
  </formats>
  <chartFormats count="3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65857-E7B5-428E-9AF3-4CA3CB19CDA8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Channel" colHeaderCaption="Year">
  <location ref="B20:F28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dataField="1"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onversion_Rate" fld="15" baseField="0" baseItem="0"/>
  </dataFields>
  <formats count="1">
    <format dxfId="22">
      <pivotArea field="19" type="button" dataOnly="0" labelOnly="1" outline="0" axis="axisCol" fieldPosition="0"/>
    </format>
  </formats>
  <chartFormats count="3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B7D24-79F1-4A28-A056-A6BC304B5E8C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hannels" colHeaderCaption="Year">
  <location ref="B5:J14" firstHeaderRow="1" firstDataRow="3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dataField="1" numFmtId="10" showAll="0"/>
    <pivotField numFmtId="10" showAll="0"/>
    <pivotField numFmtId="164" showAll="0"/>
    <pivotField showAll="0"/>
    <pivotField showAll="0"/>
    <pivotField axis="axisCol" dataField="1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2">
    <field x="1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Year" fld="19" baseField="0" baseItem="0"/>
    <dataField name="Average of CTR" fld="14" subtotal="average" baseField="6" baseItem="0"/>
  </dataFields>
  <formats count="1">
    <format dxfId="23">
      <pivotArea field="19" type="button" dataOnly="0" labelOnly="1" outline="0" axis="axisCol" fieldPosition="0"/>
    </format>
  </formats>
  <chartFormats count="25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1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9" count="1" selected="0">
            <x v="1"/>
          </reference>
        </references>
      </pivotArea>
    </chartFormat>
    <chartFormat chart="5" format="2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9" count="1" selected="0">
            <x v="2"/>
          </reference>
        </references>
      </pivotArea>
    </chartFormat>
    <chartFormat chart="5" format="2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9" count="1" selected="0">
            <x v="1"/>
          </reference>
        </references>
      </pivotArea>
    </chartFormat>
    <chartFormat chart="5" format="2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9" count="1" selected="0">
            <x v="2"/>
          </reference>
        </references>
      </pivotArea>
    </chartFormat>
    <chartFormat chart="5" format="2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9" count="1" selected="0">
            <x v="1"/>
          </reference>
        </references>
      </pivotArea>
    </chartFormat>
    <chartFormat chart="5" format="2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9" count="1" selected="0">
            <x v="1"/>
          </reference>
        </references>
      </pivotArea>
    </chartFormat>
    <chartFormat chart="5" format="2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9" count="1" selected="0">
            <x v="2"/>
          </reference>
        </references>
      </pivotArea>
    </chartFormat>
    <chartFormat chart="5" format="2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9" count="1" selected="0">
            <x v="0"/>
          </reference>
        </references>
      </pivotArea>
    </chartFormat>
    <chartFormat chart="5" format="2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9" count="1" selected="0">
            <x v="1"/>
          </reference>
        </references>
      </pivotArea>
    </chartFormat>
    <chartFormat chart="5" format="2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9" count="1" selected="0">
            <x v="2"/>
          </reference>
        </references>
      </pivotArea>
    </chartFormat>
    <chartFormat chart="5" format="2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19" count="1" selected="0">
            <x v="1"/>
          </reference>
        </references>
      </pivotArea>
    </chartFormat>
    <chartFormat chart="5" format="3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19" count="1" selected="0">
            <x v="2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96C28-E618-4F84-8CC6-60BE74F1B04F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Channel" colHeaderCaption="Year">
  <location ref="B65:F73" firstHeaderRow="1" firstDataRow="2" firstDataCol="1"/>
  <pivotFields count="21">
    <pivotField showAll="0"/>
    <pivotField showAll="0"/>
    <pivotField showAll="0"/>
    <pivotField showAll="0"/>
    <pivotField numFmtId="14" showAll="0"/>
    <pivotField numFmtId="14" showAll="0"/>
    <pivotField axis="axisRow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  <pivotField numFmtId="10" showAll="0"/>
    <pivotField numFmtId="10" showAll="0"/>
    <pivotField numFmtId="164"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Campaign_Duration_Days" fld="13" baseField="0" baseItem="0"/>
  </dataFields>
  <formats count="1">
    <format dxfId="24">
      <pivotArea field="19" type="button" dataOnly="0" labelOnly="1" outline="0" axis="axisCol" fieldPosition="0"/>
    </format>
  </formats>
  <chartFormats count="5">
    <chartFormat chart="25" format="2" series="1">
      <pivotArea type="data" outline="0" fieldPosition="0">
        <references count="1">
          <reference field="19" count="1" selected="0">
            <x v="1"/>
          </reference>
        </references>
      </pivotArea>
    </chartFormat>
    <chartFormat chart="25" format="3" series="1">
      <pivotArea type="data" outline="0" fieldPosition="0">
        <references count="1">
          <reference field="19" count="1" selected="0">
            <x v="2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5" format="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2FB22-ADDB-4245-9AEA-50CA7A4D104F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Quarter No" colHeaderCaption="Channel">
  <location ref="B40:I53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dataField="1"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um of Conversions" fld="10" baseField="0" baseItem="0"/>
  </dataFields>
  <formats count="1">
    <format dxfId="15">
      <pivotArea field="19" type="button" dataOnly="0" labelOnly="1" outline="0" axis="axisRow" fieldPosition="0"/>
    </format>
  </formats>
  <chartFormats count="19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1"/>
          </reference>
        </references>
      </pivotArea>
    </chartFormat>
    <chartFormat chart="15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1"/>
          </reference>
        </references>
      </pivotArea>
    </chartFormat>
    <chartFormat chart="15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15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15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5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47F57-C973-444B-91EA-751CD02187B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Quarter No" colHeaderCaption="Channel">
  <location ref="B23:I36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um of Clicks " fld="8" baseField="0" baseItem="0"/>
  </dataFields>
  <formats count="1">
    <format dxfId="16">
      <pivotArea field="19" type="button" dataOnly="0" labelOnly="1" outline="0" axis="axisRow" fieldPosition="0"/>
    </format>
  </formats>
  <chartFormats count="15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1"/>
          </reference>
        </references>
      </pivotArea>
    </chartFormat>
    <chartFormat chart="17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1"/>
          </reference>
        </references>
      </pivotArea>
    </chartFormat>
    <chartFormat chart="17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17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17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B7BD0-C37A-49B7-9F40-DA14D39CF6D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Quarter No" colHeaderCaption="Channel">
  <location ref="B5:I18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um of Spend" fld="9" baseField="0" baseItem="0"/>
  </dataFields>
  <formats count="1">
    <format dxfId="17">
      <pivotArea field="19" type="button" dataOnly="0" labelOnly="1" outline="0" axis="axisRow" fieldPosition="0"/>
    </format>
  </formats>
  <chartFormats count="15"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5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15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15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53AE3-996D-4BA4-8960-644BB47F01E6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Quarter No" colHeaderCaption="Channel">
  <location ref="B94:I107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numFmtId="10" showAll="0"/>
    <pivotField numFmtId="164" showAll="0"/>
    <pivotField dataField="1"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Average of Cost_Per_Conversion" fld="17" subtotal="average" baseField="2" baseItem="0"/>
  </dataFields>
  <chartFormats count="15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1"/>
          </reference>
        </references>
      </pivotArea>
    </chartFormat>
    <chartFormat chart="1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1"/>
          </reference>
        </references>
      </pivotArea>
    </chartFormat>
    <chartFormat chart="1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1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1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C22F6-2797-46B6-A2EF-52B8EA4AA92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Quarter No" colHeaderCaption="Channel">
  <location ref="B76:I89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numFmtId="10" showAll="0"/>
    <pivotField dataField="1" numFmtId="10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Average of Conversion_Rate" fld="15" subtotal="average" baseField="2" baseItem="2"/>
  </dataFields>
  <formats count="1">
    <format dxfId="18">
      <pivotArea field="19" type="button" dataOnly="0" labelOnly="1" outline="0" axis="axisRow" fieldPosition="0"/>
    </format>
  </formats>
  <chartFormats count="19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7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1"/>
          </reference>
        </references>
      </pivotArea>
    </chartFormat>
    <chartFormat chart="17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1"/>
          </reference>
        </references>
      </pivotArea>
    </chartFormat>
    <chartFormat chart="17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17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17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E4BFE-C4C7-49D2-B3F2-AB06265449BD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Quarter No" colHeaderCaption="Channel">
  <location ref="B58:I71" firstHeaderRow="1" firstDataRow="2" firstDataCol="1"/>
  <pivotFields count="21"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4" showAll="0"/>
    <pivotField numFmtId="14" showAll="0"/>
    <pivotField axis="axisCol" showAll="0">
      <items count="8">
        <item x="1"/>
        <item x="3"/>
        <item x="4"/>
        <item x="2"/>
        <item x="0"/>
        <item m="1" x="6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dataField="1" numFmtId="10" showAll="0"/>
    <pivotField numFmtId="10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</pivotFields>
  <rowFields count="2">
    <field x="19"/>
    <field x="2"/>
  </rowFields>
  <rowItems count="12">
    <i>
      <x/>
    </i>
    <i r="1">
      <x v="1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r="1"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Average of CTR" fld="14" subtotal="average" baseField="0" baseItem="0"/>
  </dataFields>
  <formats count="1">
    <format dxfId="19">
      <pivotArea field="19" type="button" dataOnly="0" labelOnly="1" outline="0" axis="axisRow" fieldPosition="0"/>
    </format>
  </formats>
  <chartFormats count="1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5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1"/>
          </reference>
        </references>
      </pivotArea>
    </chartFormat>
    <chartFormat chart="5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1"/>
          </reference>
        </references>
      </pivotArea>
    </chartFormat>
    <chartFormat chart="5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9" count="1" selected="0">
            <x v="2"/>
          </reference>
        </references>
      </pivotArea>
    </chartFormat>
    <chartFormat chart="5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9" count="1" selected="0">
            <x v="2"/>
          </reference>
        </references>
      </pivotArea>
    </chartFormat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9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7AC78-FB34-4505-9BBE-9541D8B852C0}" name="Table1" displayName="Table1" ref="A1:U2002" totalsRowShown="0" headerRowDxfId="52" dataDxfId="51" dataCellStyle="Currency">
  <autoFilter ref="A1:U2002" xr:uid="{C75E91B4-BE43-425D-98C9-1E1FFEB6CEFF}"/>
  <sortState xmlns:xlrd2="http://schemas.microsoft.com/office/spreadsheetml/2017/richdata2" ref="A2:U2002">
    <sortCondition ref="E1:E2002"/>
  </sortState>
  <tableColumns count="21">
    <tableColumn id="1" xr3:uid="{82E4936C-F9BD-4B32-8B2C-461DF32B7E17}" name=" Campaign_ID " dataDxfId="50"/>
    <tableColumn id="2" xr3:uid="{183C210F-9069-4BE2-AA7D-675932540EDA}" name="Campaign_Name" dataDxfId="49"/>
    <tableColumn id="3" xr3:uid="{92912282-4981-4B7D-8B17-03F84BC495A5}" name="Quarter_No" dataDxfId="48"/>
    <tableColumn id="4" xr3:uid="{C26A1EB9-0378-40AD-9D92-C1D7523155E6}" name="Compaign Theme" dataDxfId="47"/>
    <tableColumn id="5" xr3:uid="{24138A9C-FDF5-415B-A2CD-E159EDA9FC35}" name="Start Date" dataDxfId="46"/>
    <tableColumn id="6" xr3:uid="{B1862148-CB02-4758-9D11-86F64F368CF7}" name="End Date" dataDxfId="45"/>
    <tableColumn id="7" xr3:uid="{F158C2A5-2959-44C6-BB1C-2048083C9EC4}" name="Channel" dataDxfId="44"/>
    <tableColumn id="8" xr3:uid="{4C15AEA5-DCB6-4C63-89DE-6B97BB39D443}" name="Impressions" dataDxfId="43"/>
    <tableColumn id="9" xr3:uid="{9EADB463-EF08-443A-9D17-1CA9F8A0F2AA}" name="Clicks " dataDxfId="42"/>
    <tableColumn id="10" xr3:uid="{52557CC0-FEC5-4ABA-98DE-A6F18176FA6C}" name="Spend" dataDxfId="41"/>
    <tableColumn id="11" xr3:uid="{31F31A89-D89F-4151-A420-149A39EB11C7}" name="Conversions" dataDxfId="40"/>
    <tableColumn id="12" xr3:uid="{68A1AD46-6927-490B-8114-687F512E9D98}" name="Active" dataDxfId="39"/>
    <tableColumn id="13" xr3:uid="{5969787C-B0E9-4E83-815E-0E00D64BE3C7}" name="Campaign_Tag" dataDxfId="38"/>
    <tableColumn id="14" xr3:uid="{6929537B-8FF1-4D9E-ABA4-A4779DC55E65}" name="Campaign_Duration_Days" dataDxfId="37">
      <calculatedColumnFormula>F2-E2</calculatedColumnFormula>
    </tableColumn>
    <tableColumn id="15" xr3:uid="{638F20C5-785B-4CD0-8242-41875431E701}" name="CTR" dataDxfId="36">
      <calculatedColumnFormula>I2/H2</calculatedColumnFormula>
    </tableColumn>
    <tableColumn id="16" xr3:uid="{B6E4E017-F311-4DF9-90C6-17016AC660AF}" name="Conversion_Rate" dataDxfId="35">
      <calculatedColumnFormula>K2/I2</calculatedColumnFormula>
    </tableColumn>
    <tableColumn id="17" xr3:uid="{75717932-65F4-4048-8AE8-34CA05DC8FE3}" name="Cost_Per_Click" dataDxfId="34">
      <calculatedColumnFormula>J2/I2</calculatedColumnFormula>
    </tableColumn>
    <tableColumn id="18" xr3:uid="{B3B06981-BFAF-4DA8-8D72-AEAFB14631B3}" name="Cost_Per_Conversion" dataDxfId="33" dataCellStyle="Currency">
      <calculatedColumnFormula>IFERROR(J2/K2,"0")</calculatedColumnFormula>
    </tableColumn>
    <tableColumn id="19" xr3:uid="{72DF7E86-1D17-4138-9154-A19B9428D35B}" name="Month" dataDxfId="32" dataCellStyle="Currency">
      <calculatedColumnFormula>MONTH(E2)</calculatedColumnFormula>
    </tableColumn>
    <tableColumn id="20" xr3:uid="{837B9A1F-9E5A-44A0-896E-43648B1B4982}" name="Year" dataDxfId="31" dataCellStyle="Currency">
      <calculatedColumnFormula>YEAR(E2)</calculatedColumnFormula>
    </tableColumn>
    <tableColumn id="21" xr3:uid="{764C7C7F-3470-41C4-B892-32FAD622414F}" name=" Month_Name" dataDxfId="30" dataCellStyle="Currency">
      <calculatedColumnFormula>TEXT(E2,"mmmm")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4A88-09E3-4B84-BA4E-9F66C688DC84}">
  <dimension ref="A1:U2002"/>
  <sheetViews>
    <sheetView tabSelected="1" topLeftCell="B1" zoomScale="70" zoomScaleNormal="70" workbookViewId="0">
      <selection activeCell="G12" sqref="G12"/>
    </sheetView>
  </sheetViews>
  <sheetFormatPr defaultRowHeight="14.4" x14ac:dyDescent="0.3"/>
  <cols>
    <col min="1" max="1" width="17.77734375" customWidth="1"/>
    <col min="2" max="2" width="24" customWidth="1"/>
    <col min="3" max="3" width="14.77734375" style="4" customWidth="1"/>
    <col min="4" max="4" width="20.77734375" customWidth="1"/>
    <col min="5" max="6" width="14.33203125" style="12" customWidth="1"/>
    <col min="7" max="7" width="19.77734375" bestFit="1" customWidth="1"/>
    <col min="8" max="8" width="16.109375" style="2" customWidth="1"/>
    <col min="9" max="9" width="10.88671875" style="2" bestFit="1" customWidth="1"/>
    <col min="10" max="10" width="15.6640625" style="5" bestFit="1" customWidth="1"/>
    <col min="11" max="11" width="15.5546875" style="2" customWidth="1"/>
    <col min="12" max="12" width="9" customWidth="1"/>
    <col min="13" max="13" width="19.77734375" bestFit="1" customWidth="1"/>
    <col min="14" max="14" width="29.33203125" customWidth="1"/>
    <col min="15" max="15" width="10.77734375" style="2" customWidth="1"/>
    <col min="16" max="16" width="20.44140625" style="8" customWidth="1"/>
    <col min="17" max="17" width="18.44140625" style="2" customWidth="1"/>
    <col min="18" max="18" width="25.109375" style="9" customWidth="1"/>
    <col min="19" max="19" width="9.21875" style="10" customWidth="1"/>
    <col min="20" max="20" width="9.109375" style="10" customWidth="1"/>
    <col min="21" max="21" width="18.33203125" style="9" customWidth="1"/>
  </cols>
  <sheetData>
    <row r="1" spans="1:21" s="11" customFormat="1" ht="18" x14ac:dyDescent="0.35">
      <c r="A1" s="13" t="s">
        <v>0</v>
      </c>
      <c r="B1" s="13" t="s">
        <v>1</v>
      </c>
      <c r="C1" s="14" t="s">
        <v>3522</v>
      </c>
      <c r="D1" s="13" t="s">
        <v>3538</v>
      </c>
      <c r="E1" s="15" t="s">
        <v>3539</v>
      </c>
      <c r="F1" s="15" t="s">
        <v>3540</v>
      </c>
      <c r="G1" s="13" t="s">
        <v>2</v>
      </c>
      <c r="H1" s="16" t="s">
        <v>3</v>
      </c>
      <c r="I1" s="16" t="s">
        <v>4</v>
      </c>
      <c r="J1" s="17" t="s">
        <v>5</v>
      </c>
      <c r="K1" s="16" t="s">
        <v>6</v>
      </c>
      <c r="L1" s="13" t="s">
        <v>7</v>
      </c>
      <c r="M1" s="13" t="s">
        <v>8</v>
      </c>
      <c r="N1" s="13" t="s">
        <v>3533</v>
      </c>
      <c r="O1" s="16" t="s">
        <v>3504</v>
      </c>
      <c r="P1" s="18" t="s">
        <v>3505</v>
      </c>
      <c r="Q1" s="16" t="s">
        <v>3506</v>
      </c>
      <c r="R1" s="19" t="s">
        <v>3523</v>
      </c>
      <c r="S1" s="20" t="s">
        <v>3507</v>
      </c>
      <c r="T1" s="20" t="s">
        <v>3508</v>
      </c>
      <c r="U1" s="19" t="s">
        <v>3524</v>
      </c>
    </row>
    <row r="2" spans="1:21" ht="17.399999999999999" x14ac:dyDescent="0.3">
      <c r="A2" s="21" t="s">
        <v>2379</v>
      </c>
      <c r="B2" s="22" t="s">
        <v>3544</v>
      </c>
      <c r="C2" s="23" t="s">
        <v>3518</v>
      </c>
      <c r="D2" s="22" t="s">
        <v>3545</v>
      </c>
      <c r="E2" s="24">
        <v>44926</v>
      </c>
      <c r="F2" s="24">
        <v>45047</v>
      </c>
      <c r="G2" s="22" t="s">
        <v>11</v>
      </c>
      <c r="H2" s="25">
        <v>61500</v>
      </c>
      <c r="I2" s="25">
        <v>824</v>
      </c>
      <c r="J2" s="26">
        <v>790.59</v>
      </c>
      <c r="K2" s="25">
        <v>111</v>
      </c>
      <c r="L2" s="21" t="s">
        <v>21</v>
      </c>
      <c r="M2" s="22" t="s">
        <v>11</v>
      </c>
      <c r="N2" s="27">
        <f t="shared" ref="N2:N65" si="0">F2-E2</f>
        <v>121</v>
      </c>
      <c r="O2" s="28">
        <f t="shared" ref="O2:O65" si="1">I2/H2</f>
        <v>1.3398373983739838E-2</v>
      </c>
      <c r="P2" s="28">
        <f t="shared" ref="P2:P65" si="2">K2/I2</f>
        <v>0.13470873786407767</v>
      </c>
      <c r="Q2" s="26">
        <f t="shared" ref="Q2:Q65" si="3">J2/I2</f>
        <v>0.95945388349514571</v>
      </c>
      <c r="R2" s="29">
        <f t="shared" ref="R2:R65" si="4">IFERROR(J2/K2,"0")</f>
        <v>7.1224324324324328</v>
      </c>
      <c r="S2" s="30">
        <f t="shared" ref="S2:S65" si="5">MONTH(E2)</f>
        <v>12</v>
      </c>
      <c r="T2" s="30">
        <f t="shared" ref="T2:T65" si="6">YEAR(E2)</f>
        <v>2022</v>
      </c>
      <c r="U2" s="29" t="str">
        <f t="shared" ref="U2:U65" si="7">TEXT(E2,"mmmm")</f>
        <v>December</v>
      </c>
    </row>
    <row r="3" spans="1:21" ht="17.399999999999999" x14ac:dyDescent="0.3">
      <c r="A3" s="21" t="s">
        <v>279</v>
      </c>
      <c r="B3" s="21" t="s">
        <v>280</v>
      </c>
      <c r="C3" s="23" t="s">
        <v>3516</v>
      </c>
      <c r="D3" s="21" t="s">
        <v>3517</v>
      </c>
      <c r="E3" s="24">
        <v>44927</v>
      </c>
      <c r="F3" s="24">
        <v>44955</v>
      </c>
      <c r="G3" s="22" t="s">
        <v>16</v>
      </c>
      <c r="H3" s="25">
        <v>57044</v>
      </c>
      <c r="I3" s="25">
        <v>2553</v>
      </c>
      <c r="J3" s="26">
        <v>4652.6499999999996</v>
      </c>
      <c r="K3" s="25">
        <v>180</v>
      </c>
      <c r="L3" s="21" t="s">
        <v>21</v>
      </c>
      <c r="M3" s="22" t="s">
        <v>16</v>
      </c>
      <c r="N3" s="27">
        <f t="shared" si="0"/>
        <v>28</v>
      </c>
      <c r="O3" s="28">
        <f t="shared" si="1"/>
        <v>4.4754926022018089E-2</v>
      </c>
      <c r="P3" s="28">
        <f t="shared" si="2"/>
        <v>7.0505287896592245E-2</v>
      </c>
      <c r="Q3" s="26">
        <f t="shared" si="3"/>
        <v>1.8224245985115548</v>
      </c>
      <c r="R3" s="29">
        <f t="shared" si="4"/>
        <v>25.848055555555554</v>
      </c>
      <c r="S3" s="30">
        <f t="shared" si="5"/>
        <v>1</v>
      </c>
      <c r="T3" s="30">
        <f t="shared" si="6"/>
        <v>2023</v>
      </c>
      <c r="U3" s="29" t="str">
        <f t="shared" si="7"/>
        <v>January</v>
      </c>
    </row>
    <row r="4" spans="1:21" ht="17.399999999999999" x14ac:dyDescent="0.3">
      <c r="A4" s="21" t="s">
        <v>518</v>
      </c>
      <c r="B4" s="22" t="s">
        <v>3546</v>
      </c>
      <c r="C4" s="23" t="s">
        <v>3516</v>
      </c>
      <c r="D4" s="22" t="s">
        <v>3545</v>
      </c>
      <c r="E4" s="24">
        <v>44927</v>
      </c>
      <c r="F4" s="24">
        <v>44932</v>
      </c>
      <c r="G4" s="22" t="s">
        <v>24</v>
      </c>
      <c r="H4" s="25">
        <v>8400</v>
      </c>
      <c r="I4" s="25">
        <v>147</v>
      </c>
      <c r="J4" s="26">
        <v>270.62</v>
      </c>
      <c r="K4" s="25">
        <v>10</v>
      </c>
      <c r="L4" s="21" t="s">
        <v>21</v>
      </c>
      <c r="M4" s="22" t="s">
        <v>3536</v>
      </c>
      <c r="N4" s="27">
        <f t="shared" si="0"/>
        <v>5</v>
      </c>
      <c r="O4" s="28">
        <f t="shared" si="1"/>
        <v>1.7500000000000002E-2</v>
      </c>
      <c r="P4" s="28">
        <f t="shared" si="2"/>
        <v>6.8027210884353748E-2</v>
      </c>
      <c r="Q4" s="26">
        <f t="shared" si="3"/>
        <v>1.8409523809523809</v>
      </c>
      <c r="R4" s="29">
        <f t="shared" si="4"/>
        <v>27.062000000000001</v>
      </c>
      <c r="S4" s="30">
        <f t="shared" si="5"/>
        <v>1</v>
      </c>
      <c r="T4" s="30">
        <f t="shared" si="6"/>
        <v>2023</v>
      </c>
      <c r="U4" s="29" t="str">
        <f t="shared" si="7"/>
        <v>January</v>
      </c>
    </row>
    <row r="5" spans="1:21" ht="17.399999999999999" x14ac:dyDescent="0.3">
      <c r="A5" s="21" t="s">
        <v>1754</v>
      </c>
      <c r="B5" s="21" t="s">
        <v>1755</v>
      </c>
      <c r="C5" s="23" t="s">
        <v>3516</v>
      </c>
      <c r="D5" s="21" t="s">
        <v>3517</v>
      </c>
      <c r="E5" s="24">
        <v>44927</v>
      </c>
      <c r="F5" s="24">
        <v>44950</v>
      </c>
      <c r="G5" s="22" t="s">
        <v>24</v>
      </c>
      <c r="H5" s="25">
        <v>73274</v>
      </c>
      <c r="I5" s="25">
        <v>3456</v>
      </c>
      <c r="J5" s="26">
        <v>3771.2</v>
      </c>
      <c r="K5" s="25">
        <v>273</v>
      </c>
      <c r="L5" s="21" t="s">
        <v>17</v>
      </c>
      <c r="M5" s="22" t="s">
        <v>3536</v>
      </c>
      <c r="N5" s="27">
        <f t="shared" si="0"/>
        <v>23</v>
      </c>
      <c r="O5" s="28">
        <f t="shared" si="1"/>
        <v>4.7165433851024917E-2</v>
      </c>
      <c r="P5" s="28">
        <f t="shared" si="2"/>
        <v>7.8993055555555552E-2</v>
      </c>
      <c r="Q5" s="26">
        <f t="shared" si="3"/>
        <v>1.0912037037037037</v>
      </c>
      <c r="R5" s="29">
        <f t="shared" si="4"/>
        <v>13.813919413919413</v>
      </c>
      <c r="S5" s="30">
        <f t="shared" si="5"/>
        <v>1</v>
      </c>
      <c r="T5" s="30">
        <f t="shared" si="6"/>
        <v>2023</v>
      </c>
      <c r="U5" s="29" t="str">
        <f t="shared" si="7"/>
        <v>January</v>
      </c>
    </row>
    <row r="6" spans="1:21" ht="17.399999999999999" x14ac:dyDescent="0.3">
      <c r="A6" s="21" t="s">
        <v>1886</v>
      </c>
      <c r="B6" s="21" t="s">
        <v>1887</v>
      </c>
      <c r="C6" s="23" t="s">
        <v>3516</v>
      </c>
      <c r="D6" s="21" t="s">
        <v>3517</v>
      </c>
      <c r="E6" s="24">
        <v>44927</v>
      </c>
      <c r="F6" s="24">
        <v>44937</v>
      </c>
      <c r="G6" s="22" t="s">
        <v>11</v>
      </c>
      <c r="H6" s="25">
        <v>9512</v>
      </c>
      <c r="I6" s="25">
        <v>295</v>
      </c>
      <c r="J6" s="26">
        <v>511.39</v>
      </c>
      <c r="K6" s="25">
        <v>33</v>
      </c>
      <c r="L6" s="21" t="s">
        <v>21</v>
      </c>
      <c r="M6" s="22" t="s">
        <v>11</v>
      </c>
      <c r="N6" s="27">
        <f t="shared" si="0"/>
        <v>10</v>
      </c>
      <c r="O6" s="28">
        <f t="shared" si="1"/>
        <v>3.1013456686291001E-2</v>
      </c>
      <c r="P6" s="28">
        <f t="shared" si="2"/>
        <v>0.11186440677966102</v>
      </c>
      <c r="Q6" s="26">
        <f t="shared" si="3"/>
        <v>1.7335254237288136</v>
      </c>
      <c r="R6" s="29">
        <f t="shared" si="4"/>
        <v>15.496666666666666</v>
      </c>
      <c r="S6" s="30">
        <f t="shared" si="5"/>
        <v>1</v>
      </c>
      <c r="T6" s="30">
        <f t="shared" si="6"/>
        <v>2023</v>
      </c>
      <c r="U6" s="29" t="str">
        <f t="shared" si="7"/>
        <v>January</v>
      </c>
    </row>
    <row r="7" spans="1:21" ht="17.399999999999999" x14ac:dyDescent="0.3">
      <c r="A7" s="21" t="s">
        <v>2387</v>
      </c>
      <c r="B7" s="22" t="s">
        <v>3547</v>
      </c>
      <c r="C7" s="23" t="s">
        <v>3516</v>
      </c>
      <c r="D7" s="22" t="s">
        <v>3545</v>
      </c>
      <c r="E7" s="24">
        <v>44927</v>
      </c>
      <c r="F7" s="24">
        <v>44931</v>
      </c>
      <c r="G7" s="22" t="s">
        <v>11</v>
      </c>
      <c r="H7" s="25">
        <v>14859</v>
      </c>
      <c r="I7" s="25">
        <v>471</v>
      </c>
      <c r="J7" s="26">
        <v>400.17</v>
      </c>
      <c r="K7" s="25">
        <v>41</v>
      </c>
      <c r="L7" s="21" t="s">
        <v>17</v>
      </c>
      <c r="M7" s="22" t="s">
        <v>11</v>
      </c>
      <c r="N7" s="27">
        <f t="shared" si="0"/>
        <v>4</v>
      </c>
      <c r="O7" s="28">
        <f t="shared" si="1"/>
        <v>3.1697960831819097E-2</v>
      </c>
      <c r="P7" s="28">
        <f t="shared" si="2"/>
        <v>8.7048832271762203E-2</v>
      </c>
      <c r="Q7" s="26">
        <f t="shared" si="3"/>
        <v>0.84961783439490446</v>
      </c>
      <c r="R7" s="29">
        <f t="shared" si="4"/>
        <v>9.760243902439024</v>
      </c>
      <c r="S7" s="30">
        <f t="shared" si="5"/>
        <v>1</v>
      </c>
      <c r="T7" s="30">
        <f t="shared" si="6"/>
        <v>2023</v>
      </c>
      <c r="U7" s="29" t="str">
        <f t="shared" si="7"/>
        <v>January</v>
      </c>
    </row>
    <row r="8" spans="1:21" ht="17.399999999999999" x14ac:dyDescent="0.3">
      <c r="A8" s="21" t="s">
        <v>98</v>
      </c>
      <c r="B8" s="22" t="s">
        <v>3548</v>
      </c>
      <c r="C8" s="23" t="s">
        <v>3515</v>
      </c>
      <c r="D8" s="22" t="s">
        <v>3545</v>
      </c>
      <c r="E8" s="24">
        <v>44927</v>
      </c>
      <c r="F8" s="24">
        <v>44943</v>
      </c>
      <c r="G8" s="22" t="s">
        <v>14</v>
      </c>
      <c r="H8" s="25">
        <v>44001</v>
      </c>
      <c r="I8" s="25">
        <v>1483</v>
      </c>
      <c r="J8" s="26">
        <v>2928.86</v>
      </c>
      <c r="K8" s="25">
        <v>0</v>
      </c>
      <c r="L8" s="21" t="s">
        <v>17</v>
      </c>
      <c r="M8" s="22" t="s">
        <v>3537</v>
      </c>
      <c r="N8" s="27">
        <f t="shared" si="0"/>
        <v>16</v>
      </c>
      <c r="O8" s="28">
        <f t="shared" si="1"/>
        <v>3.3703779459557735E-2</v>
      </c>
      <c r="P8" s="28">
        <f t="shared" si="2"/>
        <v>0</v>
      </c>
      <c r="Q8" s="26">
        <f t="shared" si="3"/>
        <v>1.974956169925826</v>
      </c>
      <c r="R8" s="29" t="str">
        <f t="shared" si="4"/>
        <v>0</v>
      </c>
      <c r="S8" s="30">
        <f t="shared" si="5"/>
        <v>1</v>
      </c>
      <c r="T8" s="30">
        <f t="shared" si="6"/>
        <v>2023</v>
      </c>
      <c r="U8" s="29" t="str">
        <f t="shared" si="7"/>
        <v>January</v>
      </c>
    </row>
    <row r="9" spans="1:21" ht="17.399999999999999" x14ac:dyDescent="0.3">
      <c r="A9" s="21" t="s">
        <v>468</v>
      </c>
      <c r="B9" s="21" t="s">
        <v>469</v>
      </c>
      <c r="C9" s="23" t="s">
        <v>3518</v>
      </c>
      <c r="D9" s="21" t="s">
        <v>3517</v>
      </c>
      <c r="E9" s="24">
        <v>44928</v>
      </c>
      <c r="F9" s="24">
        <v>44939</v>
      </c>
      <c r="G9" s="22" t="s">
        <v>24</v>
      </c>
      <c r="H9" s="25">
        <v>84879</v>
      </c>
      <c r="I9" s="25">
        <v>2351</v>
      </c>
      <c r="J9" s="26">
        <v>2987.59</v>
      </c>
      <c r="K9" s="25">
        <v>0</v>
      </c>
      <c r="L9" s="21" t="s">
        <v>17</v>
      </c>
      <c r="M9" s="22" t="s">
        <v>3536</v>
      </c>
      <c r="N9" s="27">
        <f t="shared" si="0"/>
        <v>11</v>
      </c>
      <c r="O9" s="28">
        <f t="shared" si="1"/>
        <v>2.7698252806936934E-2</v>
      </c>
      <c r="P9" s="28">
        <f t="shared" si="2"/>
        <v>0</v>
      </c>
      <c r="Q9" s="26">
        <f t="shared" si="3"/>
        <v>1.2707741386643983</v>
      </c>
      <c r="R9" s="29" t="str">
        <f t="shared" si="4"/>
        <v>0</v>
      </c>
      <c r="S9" s="30">
        <f t="shared" si="5"/>
        <v>1</v>
      </c>
      <c r="T9" s="30">
        <f t="shared" si="6"/>
        <v>2023</v>
      </c>
      <c r="U9" s="29" t="str">
        <f t="shared" si="7"/>
        <v>January</v>
      </c>
    </row>
    <row r="10" spans="1:21" ht="17.399999999999999" x14ac:dyDescent="0.3">
      <c r="A10" s="21" t="s">
        <v>2072</v>
      </c>
      <c r="B10" s="21" t="s">
        <v>2073</v>
      </c>
      <c r="C10" s="23" t="s">
        <v>3516</v>
      </c>
      <c r="D10" s="21" t="s">
        <v>3517</v>
      </c>
      <c r="E10" s="24">
        <v>44928</v>
      </c>
      <c r="F10" s="24">
        <v>44937</v>
      </c>
      <c r="G10" s="22" t="s">
        <v>14</v>
      </c>
      <c r="H10" s="25">
        <v>85291</v>
      </c>
      <c r="I10" s="25">
        <v>3904</v>
      </c>
      <c r="J10" s="26">
        <v>3810.14</v>
      </c>
      <c r="K10" s="25">
        <v>280</v>
      </c>
      <c r="L10" s="21" t="s">
        <v>21</v>
      </c>
      <c r="M10" s="22" t="s">
        <v>3537</v>
      </c>
      <c r="N10" s="27">
        <f t="shared" si="0"/>
        <v>9</v>
      </c>
      <c r="O10" s="28">
        <f t="shared" si="1"/>
        <v>4.5772707554138183E-2</v>
      </c>
      <c r="P10" s="28">
        <f t="shared" si="2"/>
        <v>7.1721311475409832E-2</v>
      </c>
      <c r="Q10" s="26">
        <f t="shared" si="3"/>
        <v>0.97595799180327869</v>
      </c>
      <c r="R10" s="29">
        <f t="shared" si="4"/>
        <v>13.607642857142856</v>
      </c>
      <c r="S10" s="30">
        <f t="shared" si="5"/>
        <v>1</v>
      </c>
      <c r="T10" s="30">
        <f t="shared" si="6"/>
        <v>2023</v>
      </c>
      <c r="U10" s="29" t="str">
        <f t="shared" si="7"/>
        <v>January</v>
      </c>
    </row>
    <row r="11" spans="1:21" ht="17.399999999999999" x14ac:dyDescent="0.3">
      <c r="A11" s="21" t="s">
        <v>1338</v>
      </c>
      <c r="B11" s="22" t="s">
        <v>3549</v>
      </c>
      <c r="C11" s="23" t="s">
        <v>3515</v>
      </c>
      <c r="D11" s="22" t="s">
        <v>3545</v>
      </c>
      <c r="E11" s="24">
        <v>44928</v>
      </c>
      <c r="F11" s="24">
        <v>44941</v>
      </c>
      <c r="G11" s="22" t="s">
        <v>16</v>
      </c>
      <c r="H11" s="25">
        <v>30703</v>
      </c>
      <c r="I11" s="25">
        <v>462</v>
      </c>
      <c r="J11" s="26">
        <v>885.14</v>
      </c>
      <c r="K11" s="25">
        <v>34</v>
      </c>
      <c r="L11" s="21" t="s">
        <v>17</v>
      </c>
      <c r="M11" s="22" t="s">
        <v>16</v>
      </c>
      <c r="N11" s="27">
        <f t="shared" si="0"/>
        <v>13</v>
      </c>
      <c r="O11" s="28">
        <f t="shared" si="1"/>
        <v>1.5047389505911474E-2</v>
      </c>
      <c r="P11" s="28">
        <f t="shared" si="2"/>
        <v>7.3593073593073599E-2</v>
      </c>
      <c r="Q11" s="26">
        <f t="shared" si="3"/>
        <v>1.9158874458874458</v>
      </c>
      <c r="R11" s="29">
        <f t="shared" si="4"/>
        <v>26.033529411764704</v>
      </c>
      <c r="S11" s="30">
        <f t="shared" si="5"/>
        <v>1</v>
      </c>
      <c r="T11" s="30">
        <f t="shared" si="6"/>
        <v>2023</v>
      </c>
      <c r="U11" s="29" t="str">
        <f t="shared" si="7"/>
        <v>January</v>
      </c>
    </row>
    <row r="12" spans="1:21" ht="17.399999999999999" x14ac:dyDescent="0.3">
      <c r="A12" s="21" t="s">
        <v>298</v>
      </c>
      <c r="B12" s="21" t="s">
        <v>299</v>
      </c>
      <c r="C12" s="23" t="s">
        <v>3519</v>
      </c>
      <c r="D12" s="21" t="s">
        <v>3520</v>
      </c>
      <c r="E12" s="24">
        <v>44929</v>
      </c>
      <c r="F12" s="24">
        <v>44945</v>
      </c>
      <c r="G12" s="22" t="s">
        <v>31</v>
      </c>
      <c r="H12" s="25">
        <v>50080</v>
      </c>
      <c r="I12" s="25">
        <v>1391</v>
      </c>
      <c r="J12" s="26">
        <v>1981.44</v>
      </c>
      <c r="K12" s="25">
        <v>159</v>
      </c>
      <c r="L12" s="21" t="s">
        <v>21</v>
      </c>
      <c r="M12" s="22" t="s">
        <v>31</v>
      </c>
      <c r="N12" s="27">
        <f t="shared" si="0"/>
        <v>16</v>
      </c>
      <c r="O12" s="28">
        <f t="shared" si="1"/>
        <v>2.7775559105431311E-2</v>
      </c>
      <c r="P12" s="28">
        <f t="shared" si="2"/>
        <v>0.11430625449317038</v>
      </c>
      <c r="Q12" s="26">
        <f t="shared" si="3"/>
        <v>1.4244716031631919</v>
      </c>
      <c r="R12" s="29">
        <f t="shared" si="4"/>
        <v>12.46188679245283</v>
      </c>
      <c r="S12" s="30">
        <f t="shared" si="5"/>
        <v>1</v>
      </c>
      <c r="T12" s="30">
        <f t="shared" si="6"/>
        <v>2023</v>
      </c>
      <c r="U12" s="29" t="str">
        <f t="shared" si="7"/>
        <v>January</v>
      </c>
    </row>
    <row r="13" spans="1:21" ht="17.399999999999999" x14ac:dyDescent="0.3">
      <c r="A13" s="21" t="s">
        <v>2493</v>
      </c>
      <c r="B13" s="21" t="s">
        <v>2494</v>
      </c>
      <c r="C13" s="23" t="s">
        <v>3516</v>
      </c>
      <c r="D13" s="21" t="s">
        <v>3517</v>
      </c>
      <c r="E13" s="24">
        <v>44929</v>
      </c>
      <c r="F13" s="24">
        <v>44955</v>
      </c>
      <c r="G13" s="22" t="s">
        <v>24</v>
      </c>
      <c r="H13" s="25">
        <v>62396</v>
      </c>
      <c r="I13" s="25">
        <v>2024</v>
      </c>
      <c r="J13" s="26">
        <v>3270.87</v>
      </c>
      <c r="K13" s="25">
        <v>235</v>
      </c>
      <c r="L13" s="21" t="s">
        <v>21</v>
      </c>
      <c r="M13" s="22" t="s">
        <v>3536</v>
      </c>
      <c r="N13" s="27">
        <f t="shared" si="0"/>
        <v>26</v>
      </c>
      <c r="O13" s="28">
        <f t="shared" si="1"/>
        <v>3.2437976793384192E-2</v>
      </c>
      <c r="P13" s="28">
        <f t="shared" si="2"/>
        <v>0.11610671936758893</v>
      </c>
      <c r="Q13" s="26">
        <f t="shared" si="3"/>
        <v>1.616042490118577</v>
      </c>
      <c r="R13" s="29">
        <f t="shared" si="4"/>
        <v>13.91859574468085</v>
      </c>
      <c r="S13" s="30">
        <f t="shared" si="5"/>
        <v>1</v>
      </c>
      <c r="T13" s="30">
        <f t="shared" si="6"/>
        <v>2023</v>
      </c>
      <c r="U13" s="29" t="str">
        <f t="shared" si="7"/>
        <v>January</v>
      </c>
    </row>
    <row r="14" spans="1:21" ht="17.399999999999999" x14ac:dyDescent="0.3">
      <c r="A14" s="21" t="s">
        <v>3312</v>
      </c>
      <c r="B14" s="21" t="s">
        <v>3313</v>
      </c>
      <c r="C14" s="23" t="s">
        <v>3515</v>
      </c>
      <c r="D14" s="21" t="s">
        <v>3517</v>
      </c>
      <c r="E14" s="24">
        <v>44929</v>
      </c>
      <c r="F14" s="24">
        <v>44936</v>
      </c>
      <c r="G14" s="22" t="s">
        <v>24</v>
      </c>
      <c r="H14" s="25">
        <v>75744</v>
      </c>
      <c r="I14" s="25">
        <v>1656</v>
      </c>
      <c r="J14" s="26">
        <v>1546.48</v>
      </c>
      <c r="K14" s="25">
        <v>324</v>
      </c>
      <c r="L14" s="21" t="s">
        <v>21</v>
      </c>
      <c r="M14" s="22" t="s">
        <v>3536</v>
      </c>
      <c r="N14" s="27">
        <f t="shared" si="0"/>
        <v>7</v>
      </c>
      <c r="O14" s="28">
        <f t="shared" si="1"/>
        <v>2.1863117870722433E-2</v>
      </c>
      <c r="P14" s="28">
        <f t="shared" si="2"/>
        <v>0.19565217391304349</v>
      </c>
      <c r="Q14" s="26">
        <f t="shared" si="3"/>
        <v>0.93386473429951689</v>
      </c>
      <c r="R14" s="29">
        <f t="shared" si="4"/>
        <v>4.7730864197530867</v>
      </c>
      <c r="S14" s="30">
        <f t="shared" si="5"/>
        <v>1</v>
      </c>
      <c r="T14" s="30">
        <f t="shared" si="6"/>
        <v>2023</v>
      </c>
      <c r="U14" s="29" t="str">
        <f t="shared" si="7"/>
        <v>January</v>
      </c>
    </row>
    <row r="15" spans="1:21" ht="17.399999999999999" x14ac:dyDescent="0.3">
      <c r="A15" s="21" t="s">
        <v>2551</v>
      </c>
      <c r="B15" s="21" t="s">
        <v>2552</v>
      </c>
      <c r="C15" s="23" t="s">
        <v>3519</v>
      </c>
      <c r="D15" s="21" t="s">
        <v>3520</v>
      </c>
      <c r="E15" s="24">
        <v>44930</v>
      </c>
      <c r="F15" s="24">
        <v>44944</v>
      </c>
      <c r="G15" s="22" t="s">
        <v>11</v>
      </c>
      <c r="H15" s="25">
        <v>29769</v>
      </c>
      <c r="I15" s="25">
        <v>1203</v>
      </c>
      <c r="J15" s="26">
        <v>821.43</v>
      </c>
      <c r="K15" s="25">
        <v>69</v>
      </c>
      <c r="L15" s="21" t="s">
        <v>21</v>
      </c>
      <c r="M15" s="22" t="s">
        <v>11</v>
      </c>
      <c r="N15" s="27">
        <f t="shared" si="0"/>
        <v>14</v>
      </c>
      <c r="O15" s="28">
        <f t="shared" si="1"/>
        <v>4.0411165978030836E-2</v>
      </c>
      <c r="P15" s="28">
        <f t="shared" si="2"/>
        <v>5.7356608478802994E-2</v>
      </c>
      <c r="Q15" s="26">
        <f t="shared" si="3"/>
        <v>0.68281795511221943</v>
      </c>
      <c r="R15" s="29">
        <f t="shared" si="4"/>
        <v>11.904782608695651</v>
      </c>
      <c r="S15" s="30">
        <f t="shared" si="5"/>
        <v>1</v>
      </c>
      <c r="T15" s="30">
        <f t="shared" si="6"/>
        <v>2023</v>
      </c>
      <c r="U15" s="29" t="str">
        <f t="shared" si="7"/>
        <v>January</v>
      </c>
    </row>
    <row r="16" spans="1:21" ht="17.399999999999999" x14ac:dyDescent="0.3">
      <c r="A16" s="21" t="s">
        <v>2725</v>
      </c>
      <c r="B16" s="21" t="s">
        <v>2726</v>
      </c>
      <c r="C16" s="23" t="s">
        <v>3519</v>
      </c>
      <c r="D16" s="21" t="s">
        <v>3517</v>
      </c>
      <c r="E16" s="24">
        <v>44930</v>
      </c>
      <c r="F16" s="24">
        <v>44951</v>
      </c>
      <c r="G16" s="22" t="s">
        <v>14</v>
      </c>
      <c r="H16" s="25">
        <v>90613</v>
      </c>
      <c r="I16" s="25">
        <v>3672</v>
      </c>
      <c r="J16" s="26">
        <v>5458.97</v>
      </c>
      <c r="K16" s="25">
        <v>364</v>
      </c>
      <c r="L16" s="21" t="s">
        <v>17</v>
      </c>
      <c r="M16" s="22" t="s">
        <v>3537</v>
      </c>
      <c r="N16" s="27">
        <f t="shared" si="0"/>
        <v>21</v>
      </c>
      <c r="O16" s="28">
        <f t="shared" si="1"/>
        <v>4.0523986624435786E-2</v>
      </c>
      <c r="P16" s="28">
        <f t="shared" si="2"/>
        <v>9.9128540305010893E-2</v>
      </c>
      <c r="Q16" s="26">
        <f t="shared" si="3"/>
        <v>1.4866476034858389</v>
      </c>
      <c r="R16" s="29">
        <f t="shared" si="4"/>
        <v>14.997170329670331</v>
      </c>
      <c r="S16" s="30">
        <f t="shared" si="5"/>
        <v>1</v>
      </c>
      <c r="T16" s="30">
        <f t="shared" si="6"/>
        <v>2023</v>
      </c>
      <c r="U16" s="29" t="str">
        <f t="shared" si="7"/>
        <v>January</v>
      </c>
    </row>
    <row r="17" spans="1:21" ht="17.399999999999999" x14ac:dyDescent="0.3">
      <c r="A17" s="21" t="s">
        <v>3103</v>
      </c>
      <c r="B17" s="22" t="s">
        <v>3550</v>
      </c>
      <c r="C17" s="23" t="s">
        <v>3519</v>
      </c>
      <c r="D17" s="22" t="s">
        <v>3545</v>
      </c>
      <c r="E17" s="24">
        <v>44930</v>
      </c>
      <c r="F17" s="24">
        <v>44939</v>
      </c>
      <c r="G17" s="22" t="s">
        <v>11</v>
      </c>
      <c r="H17" s="25">
        <v>73545</v>
      </c>
      <c r="I17" s="25">
        <v>1384</v>
      </c>
      <c r="J17" s="26">
        <v>1574.2</v>
      </c>
      <c r="K17" s="25">
        <v>226</v>
      </c>
      <c r="L17" s="21" t="s">
        <v>21</v>
      </c>
      <c r="M17" s="22" t="s">
        <v>11</v>
      </c>
      <c r="N17" s="27">
        <f t="shared" si="0"/>
        <v>9</v>
      </c>
      <c r="O17" s="28">
        <f t="shared" si="1"/>
        <v>1.8818410496974643E-2</v>
      </c>
      <c r="P17" s="28">
        <f t="shared" si="2"/>
        <v>0.16329479768786126</v>
      </c>
      <c r="Q17" s="26">
        <f t="shared" si="3"/>
        <v>1.1374277456647399</v>
      </c>
      <c r="R17" s="29">
        <f t="shared" si="4"/>
        <v>6.965486725663717</v>
      </c>
      <c r="S17" s="30">
        <f t="shared" si="5"/>
        <v>1</v>
      </c>
      <c r="T17" s="30">
        <f t="shared" si="6"/>
        <v>2023</v>
      </c>
      <c r="U17" s="29" t="str">
        <f t="shared" si="7"/>
        <v>January</v>
      </c>
    </row>
    <row r="18" spans="1:21" ht="17.399999999999999" x14ac:dyDescent="0.3">
      <c r="A18" s="21" t="s">
        <v>3318</v>
      </c>
      <c r="B18" s="21" t="s">
        <v>3319</v>
      </c>
      <c r="C18" s="23" t="s">
        <v>3519</v>
      </c>
      <c r="D18" s="21" t="s">
        <v>3521</v>
      </c>
      <c r="E18" s="24">
        <v>44930</v>
      </c>
      <c r="F18" s="24">
        <v>44957</v>
      </c>
      <c r="G18" s="22" t="s">
        <v>31</v>
      </c>
      <c r="H18" s="25">
        <v>55615</v>
      </c>
      <c r="I18" s="25">
        <v>1477</v>
      </c>
      <c r="J18" s="26">
        <v>1000.46</v>
      </c>
      <c r="K18" s="25">
        <v>288</v>
      </c>
      <c r="L18" s="21" t="s">
        <v>21</v>
      </c>
      <c r="M18" s="22" t="s">
        <v>31</v>
      </c>
      <c r="N18" s="27">
        <f t="shared" si="0"/>
        <v>27</v>
      </c>
      <c r="O18" s="28">
        <f t="shared" si="1"/>
        <v>2.6557583385777218E-2</v>
      </c>
      <c r="P18" s="28">
        <f t="shared" si="2"/>
        <v>0.19498984427894381</v>
      </c>
      <c r="Q18" s="26">
        <f t="shared" si="3"/>
        <v>0.67735951252538928</v>
      </c>
      <c r="R18" s="29">
        <f t="shared" si="4"/>
        <v>3.4738194444444446</v>
      </c>
      <c r="S18" s="30">
        <f t="shared" si="5"/>
        <v>1</v>
      </c>
      <c r="T18" s="30">
        <f t="shared" si="6"/>
        <v>2023</v>
      </c>
      <c r="U18" s="29" t="str">
        <f t="shared" si="7"/>
        <v>January</v>
      </c>
    </row>
    <row r="19" spans="1:21" ht="17.399999999999999" x14ac:dyDescent="0.3">
      <c r="A19" s="21" t="s">
        <v>1293</v>
      </c>
      <c r="B19" s="21" t="s">
        <v>1294</v>
      </c>
      <c r="C19" s="23" t="s">
        <v>3518</v>
      </c>
      <c r="D19" s="21" t="s">
        <v>3520</v>
      </c>
      <c r="E19" s="24">
        <v>44930</v>
      </c>
      <c r="F19" s="24">
        <v>44947</v>
      </c>
      <c r="G19" s="22" t="s">
        <v>3535</v>
      </c>
      <c r="H19" s="25">
        <v>62642</v>
      </c>
      <c r="I19" s="25">
        <v>2162</v>
      </c>
      <c r="J19" s="26">
        <v>3172.28</v>
      </c>
      <c r="K19" s="25">
        <v>170</v>
      </c>
      <c r="L19" s="21" t="s">
        <v>21</v>
      </c>
      <c r="M19" s="22" t="s">
        <v>3535</v>
      </c>
      <c r="N19" s="27">
        <f t="shared" si="0"/>
        <v>17</v>
      </c>
      <c r="O19" s="28">
        <f t="shared" si="1"/>
        <v>3.4513585134574247E-2</v>
      </c>
      <c r="P19" s="28">
        <f t="shared" si="2"/>
        <v>7.8630897317298803E-2</v>
      </c>
      <c r="Q19" s="26">
        <f t="shared" si="3"/>
        <v>1.4672895467160039</v>
      </c>
      <c r="R19" s="29">
        <f t="shared" si="4"/>
        <v>18.660470588235295</v>
      </c>
      <c r="S19" s="30">
        <f t="shared" si="5"/>
        <v>1</v>
      </c>
      <c r="T19" s="30">
        <f t="shared" si="6"/>
        <v>2023</v>
      </c>
      <c r="U19" s="29" t="str">
        <f t="shared" si="7"/>
        <v>January</v>
      </c>
    </row>
    <row r="20" spans="1:21" ht="17.399999999999999" x14ac:dyDescent="0.3">
      <c r="A20" s="21" t="s">
        <v>2724</v>
      </c>
      <c r="B20" s="22" t="s">
        <v>3551</v>
      </c>
      <c r="C20" s="23" t="s">
        <v>3516</v>
      </c>
      <c r="D20" s="22" t="s">
        <v>3545</v>
      </c>
      <c r="E20" s="24">
        <v>44930</v>
      </c>
      <c r="F20" s="24">
        <v>44949</v>
      </c>
      <c r="G20" s="22" t="s">
        <v>24</v>
      </c>
      <c r="H20" s="25">
        <v>88312</v>
      </c>
      <c r="I20" s="25">
        <v>2299</v>
      </c>
      <c r="J20" s="26">
        <v>4486.76</v>
      </c>
      <c r="K20" s="25">
        <v>0</v>
      </c>
      <c r="L20" s="21" t="s">
        <v>17</v>
      </c>
      <c r="M20" s="22" t="s">
        <v>3536</v>
      </c>
      <c r="N20" s="27">
        <f t="shared" si="0"/>
        <v>19</v>
      </c>
      <c r="O20" s="28">
        <f t="shared" si="1"/>
        <v>2.6032702237521514E-2</v>
      </c>
      <c r="P20" s="28">
        <f t="shared" si="2"/>
        <v>0</v>
      </c>
      <c r="Q20" s="26">
        <f t="shared" si="3"/>
        <v>1.9516137451065683</v>
      </c>
      <c r="R20" s="29" t="str">
        <f t="shared" si="4"/>
        <v>0</v>
      </c>
      <c r="S20" s="30">
        <f t="shared" si="5"/>
        <v>1</v>
      </c>
      <c r="T20" s="30">
        <f t="shared" si="6"/>
        <v>2023</v>
      </c>
      <c r="U20" s="29" t="str">
        <f t="shared" si="7"/>
        <v>January</v>
      </c>
    </row>
    <row r="21" spans="1:21" ht="17.399999999999999" x14ac:dyDescent="0.3">
      <c r="A21" s="21" t="s">
        <v>1453</v>
      </c>
      <c r="B21" s="22" t="s">
        <v>3552</v>
      </c>
      <c r="C21" s="23" t="s">
        <v>3515</v>
      </c>
      <c r="D21" s="22" t="s">
        <v>3545</v>
      </c>
      <c r="E21" s="24">
        <v>44930</v>
      </c>
      <c r="F21" s="24">
        <v>44950</v>
      </c>
      <c r="G21" s="22" t="s">
        <v>16</v>
      </c>
      <c r="H21" s="25">
        <v>33201</v>
      </c>
      <c r="I21" s="25">
        <v>1551</v>
      </c>
      <c r="J21" s="26">
        <v>1069.27</v>
      </c>
      <c r="K21" s="25">
        <v>187</v>
      </c>
      <c r="L21" s="21" t="s">
        <v>21</v>
      </c>
      <c r="M21" s="22" t="s">
        <v>16</v>
      </c>
      <c r="N21" s="27">
        <f t="shared" si="0"/>
        <v>20</v>
      </c>
      <c r="O21" s="28">
        <f t="shared" si="1"/>
        <v>4.6715460377699469E-2</v>
      </c>
      <c r="P21" s="28">
        <f t="shared" si="2"/>
        <v>0.12056737588652482</v>
      </c>
      <c r="Q21" s="26">
        <f t="shared" si="3"/>
        <v>0.68940683430045135</v>
      </c>
      <c r="R21" s="29">
        <f t="shared" si="4"/>
        <v>5.7180213903743313</v>
      </c>
      <c r="S21" s="30">
        <f t="shared" si="5"/>
        <v>1</v>
      </c>
      <c r="T21" s="30">
        <f t="shared" si="6"/>
        <v>2023</v>
      </c>
      <c r="U21" s="29" t="str">
        <f t="shared" si="7"/>
        <v>January</v>
      </c>
    </row>
    <row r="22" spans="1:21" ht="17.399999999999999" x14ac:dyDescent="0.3">
      <c r="A22" s="21" t="s">
        <v>1156</v>
      </c>
      <c r="B22" s="21" t="s">
        <v>1157</v>
      </c>
      <c r="C22" s="23" t="s">
        <v>3518</v>
      </c>
      <c r="D22" s="21" t="s">
        <v>3521</v>
      </c>
      <c r="E22" s="24">
        <v>44931</v>
      </c>
      <c r="F22" s="24">
        <v>44949</v>
      </c>
      <c r="G22" s="22" t="s">
        <v>14</v>
      </c>
      <c r="H22" s="25">
        <v>39102</v>
      </c>
      <c r="I22" s="25">
        <v>1845</v>
      </c>
      <c r="J22" s="26">
        <v>2489.1</v>
      </c>
      <c r="K22" s="25">
        <v>133</v>
      </c>
      <c r="L22" s="21" t="s">
        <v>21</v>
      </c>
      <c r="M22" s="22" t="s">
        <v>3537</v>
      </c>
      <c r="N22" s="27">
        <f t="shared" si="0"/>
        <v>18</v>
      </c>
      <c r="O22" s="28">
        <f t="shared" si="1"/>
        <v>4.718428724873408E-2</v>
      </c>
      <c r="P22" s="28">
        <f t="shared" si="2"/>
        <v>7.2086720867208673E-2</v>
      </c>
      <c r="Q22" s="26">
        <f t="shared" si="3"/>
        <v>1.3491056910569106</v>
      </c>
      <c r="R22" s="29">
        <f t="shared" si="4"/>
        <v>18.715037593984963</v>
      </c>
      <c r="S22" s="30">
        <f t="shared" si="5"/>
        <v>1</v>
      </c>
      <c r="T22" s="30">
        <f t="shared" si="6"/>
        <v>2023</v>
      </c>
      <c r="U22" s="29" t="str">
        <f t="shared" si="7"/>
        <v>January</v>
      </c>
    </row>
    <row r="23" spans="1:21" ht="17.399999999999999" x14ac:dyDescent="0.3">
      <c r="A23" s="21" t="s">
        <v>2189</v>
      </c>
      <c r="B23" s="22" t="s">
        <v>3553</v>
      </c>
      <c r="C23" s="23" t="s">
        <v>3518</v>
      </c>
      <c r="D23" s="22" t="s">
        <v>3545</v>
      </c>
      <c r="E23" s="24">
        <v>44931</v>
      </c>
      <c r="F23" s="24">
        <v>44938</v>
      </c>
      <c r="G23" s="22" t="s">
        <v>31</v>
      </c>
      <c r="H23" s="25">
        <v>74509</v>
      </c>
      <c r="I23" s="25">
        <v>2861</v>
      </c>
      <c r="J23" s="26">
        <v>2802.68</v>
      </c>
      <c r="K23" s="25">
        <v>433</v>
      </c>
      <c r="L23" s="21" t="s">
        <v>21</v>
      </c>
      <c r="M23" s="22" t="s">
        <v>31</v>
      </c>
      <c r="N23" s="27">
        <f t="shared" si="0"/>
        <v>7</v>
      </c>
      <c r="O23" s="28">
        <f t="shared" si="1"/>
        <v>3.839804587365285E-2</v>
      </c>
      <c r="P23" s="28">
        <f t="shared" si="2"/>
        <v>0.15134568332750786</v>
      </c>
      <c r="Q23" s="26">
        <f t="shared" si="3"/>
        <v>0.97961551904928346</v>
      </c>
      <c r="R23" s="29">
        <f t="shared" si="4"/>
        <v>6.47270207852194</v>
      </c>
      <c r="S23" s="30">
        <f t="shared" si="5"/>
        <v>1</v>
      </c>
      <c r="T23" s="30">
        <f t="shared" si="6"/>
        <v>2023</v>
      </c>
      <c r="U23" s="29" t="str">
        <f t="shared" si="7"/>
        <v>January</v>
      </c>
    </row>
    <row r="24" spans="1:21" ht="17.399999999999999" x14ac:dyDescent="0.3">
      <c r="A24" s="21" t="s">
        <v>1758</v>
      </c>
      <c r="B24" s="21" t="s">
        <v>1759</v>
      </c>
      <c r="C24" s="23" t="s">
        <v>3516</v>
      </c>
      <c r="D24" s="21" t="s">
        <v>3521</v>
      </c>
      <c r="E24" s="24">
        <v>44931</v>
      </c>
      <c r="F24" s="24">
        <v>44952</v>
      </c>
      <c r="G24" s="22" t="s">
        <v>16</v>
      </c>
      <c r="H24" s="25">
        <v>61004</v>
      </c>
      <c r="I24" s="25">
        <v>1561</v>
      </c>
      <c r="J24" s="26">
        <v>2657.64</v>
      </c>
      <c r="K24" s="25">
        <v>151</v>
      </c>
      <c r="L24" s="21" t="s">
        <v>17</v>
      </c>
      <c r="M24" s="22" t="s">
        <v>16</v>
      </c>
      <c r="N24" s="27">
        <f t="shared" si="0"/>
        <v>21</v>
      </c>
      <c r="O24" s="28">
        <f t="shared" si="1"/>
        <v>2.5588486000917971E-2</v>
      </c>
      <c r="P24" s="28">
        <f t="shared" si="2"/>
        <v>9.673286354900705E-2</v>
      </c>
      <c r="Q24" s="26">
        <f t="shared" si="3"/>
        <v>1.7025240230621397</v>
      </c>
      <c r="R24" s="29">
        <f t="shared" si="4"/>
        <v>17.60026490066225</v>
      </c>
      <c r="S24" s="30">
        <f t="shared" si="5"/>
        <v>1</v>
      </c>
      <c r="T24" s="30">
        <f t="shared" si="6"/>
        <v>2023</v>
      </c>
      <c r="U24" s="29" t="str">
        <f t="shared" si="7"/>
        <v>January</v>
      </c>
    </row>
    <row r="25" spans="1:21" ht="17.399999999999999" x14ac:dyDescent="0.3">
      <c r="A25" s="21" t="s">
        <v>1874</v>
      </c>
      <c r="B25" s="21" t="s">
        <v>1875</v>
      </c>
      <c r="C25" s="23" t="s">
        <v>3516</v>
      </c>
      <c r="D25" s="21" t="s">
        <v>3520</v>
      </c>
      <c r="E25" s="24">
        <v>44931</v>
      </c>
      <c r="F25" s="24">
        <v>44935</v>
      </c>
      <c r="G25" s="22" t="s">
        <v>31</v>
      </c>
      <c r="H25" s="25">
        <v>83180</v>
      </c>
      <c r="I25" s="25">
        <v>3358</v>
      </c>
      <c r="J25" s="26">
        <v>4300.5</v>
      </c>
      <c r="K25" s="25">
        <v>493</v>
      </c>
      <c r="L25" s="21" t="s">
        <v>21</v>
      </c>
      <c r="M25" s="22" t="s">
        <v>31</v>
      </c>
      <c r="N25" s="27">
        <f t="shared" si="0"/>
        <v>4</v>
      </c>
      <c r="O25" s="28">
        <f t="shared" si="1"/>
        <v>4.0370281317624428E-2</v>
      </c>
      <c r="P25" s="28">
        <f t="shared" si="2"/>
        <v>0.14681357951161406</v>
      </c>
      <c r="Q25" s="26">
        <f t="shared" si="3"/>
        <v>1.2806730196545564</v>
      </c>
      <c r="R25" s="29">
        <f t="shared" si="4"/>
        <v>8.7231237322515209</v>
      </c>
      <c r="S25" s="30">
        <f t="shared" si="5"/>
        <v>1</v>
      </c>
      <c r="T25" s="30">
        <f t="shared" si="6"/>
        <v>2023</v>
      </c>
      <c r="U25" s="29" t="str">
        <f t="shared" si="7"/>
        <v>January</v>
      </c>
    </row>
    <row r="26" spans="1:21" ht="17.399999999999999" x14ac:dyDescent="0.3">
      <c r="A26" s="21" t="s">
        <v>211</v>
      </c>
      <c r="B26" s="21" t="s">
        <v>212</v>
      </c>
      <c r="C26" s="23" t="s">
        <v>3515</v>
      </c>
      <c r="D26" s="21" t="s">
        <v>3517</v>
      </c>
      <c r="E26" s="24">
        <v>44931</v>
      </c>
      <c r="F26" s="24">
        <v>44958</v>
      </c>
      <c r="G26" s="22" t="s">
        <v>14</v>
      </c>
      <c r="H26" s="25">
        <v>65505</v>
      </c>
      <c r="I26" s="25">
        <v>1064</v>
      </c>
      <c r="J26" s="26">
        <v>1280.98</v>
      </c>
      <c r="K26" s="25">
        <v>161</v>
      </c>
      <c r="L26" s="21" t="s">
        <v>21</v>
      </c>
      <c r="M26" s="22" t="s">
        <v>3537</v>
      </c>
      <c r="N26" s="27">
        <f t="shared" si="0"/>
        <v>27</v>
      </c>
      <c r="O26" s="28">
        <f t="shared" si="1"/>
        <v>1.6243034882833372E-2</v>
      </c>
      <c r="P26" s="28">
        <f t="shared" si="2"/>
        <v>0.15131578947368421</v>
      </c>
      <c r="Q26" s="26">
        <f t="shared" si="3"/>
        <v>1.2039285714285715</v>
      </c>
      <c r="R26" s="29">
        <f t="shared" si="4"/>
        <v>7.95639751552795</v>
      </c>
      <c r="S26" s="30">
        <f t="shared" si="5"/>
        <v>1</v>
      </c>
      <c r="T26" s="30">
        <f t="shared" si="6"/>
        <v>2023</v>
      </c>
      <c r="U26" s="29" t="str">
        <f t="shared" si="7"/>
        <v>January</v>
      </c>
    </row>
    <row r="27" spans="1:21" ht="17.399999999999999" x14ac:dyDescent="0.3">
      <c r="A27" s="21" t="s">
        <v>2370</v>
      </c>
      <c r="B27" s="21" t="s">
        <v>2371</v>
      </c>
      <c r="C27" s="23" t="s">
        <v>3518</v>
      </c>
      <c r="D27" s="21" t="s">
        <v>3521</v>
      </c>
      <c r="E27" s="24">
        <v>44932</v>
      </c>
      <c r="F27" s="24">
        <v>44938</v>
      </c>
      <c r="G27" s="22" t="s">
        <v>14</v>
      </c>
      <c r="H27" s="25">
        <v>48057</v>
      </c>
      <c r="I27" s="25">
        <v>2354</v>
      </c>
      <c r="J27" s="26">
        <v>4433.26</v>
      </c>
      <c r="K27" s="25">
        <v>216</v>
      </c>
      <c r="L27" s="21" t="s">
        <v>17</v>
      </c>
      <c r="M27" s="22" t="s">
        <v>3537</v>
      </c>
      <c r="N27" s="27">
        <f t="shared" si="0"/>
        <v>6</v>
      </c>
      <c r="O27" s="28">
        <f t="shared" si="1"/>
        <v>4.8983498761886929E-2</v>
      </c>
      <c r="P27" s="28">
        <f t="shared" si="2"/>
        <v>9.1758708581138493E-2</v>
      </c>
      <c r="Q27" s="26">
        <f t="shared" si="3"/>
        <v>1.8832880203908242</v>
      </c>
      <c r="R27" s="29">
        <f t="shared" si="4"/>
        <v>20.524351851851854</v>
      </c>
      <c r="S27" s="30">
        <f t="shared" si="5"/>
        <v>1</v>
      </c>
      <c r="T27" s="30">
        <f t="shared" si="6"/>
        <v>2023</v>
      </c>
      <c r="U27" s="29" t="str">
        <f t="shared" si="7"/>
        <v>January</v>
      </c>
    </row>
    <row r="28" spans="1:21" ht="17.399999999999999" x14ac:dyDescent="0.3">
      <c r="A28" s="21" t="s">
        <v>1603</v>
      </c>
      <c r="B28" s="22" t="s">
        <v>3554</v>
      </c>
      <c r="C28" s="23" t="s">
        <v>3516</v>
      </c>
      <c r="D28" s="22" t="s">
        <v>3545</v>
      </c>
      <c r="E28" s="24">
        <v>44932</v>
      </c>
      <c r="F28" s="24">
        <v>44933</v>
      </c>
      <c r="G28" s="22" t="s">
        <v>16</v>
      </c>
      <c r="H28" s="25">
        <v>25071</v>
      </c>
      <c r="I28" s="25">
        <v>1077</v>
      </c>
      <c r="J28" s="26">
        <v>659.08</v>
      </c>
      <c r="K28" s="25">
        <v>208</v>
      </c>
      <c r="L28" s="21" t="s">
        <v>21</v>
      </c>
      <c r="M28" s="22" t="s">
        <v>16</v>
      </c>
      <c r="N28" s="27">
        <f t="shared" si="0"/>
        <v>1</v>
      </c>
      <c r="O28" s="28">
        <f t="shared" si="1"/>
        <v>4.2957999282039007E-2</v>
      </c>
      <c r="P28" s="28">
        <f t="shared" si="2"/>
        <v>0.19312906220984216</v>
      </c>
      <c r="Q28" s="26">
        <f t="shared" si="3"/>
        <v>0.61195914577530175</v>
      </c>
      <c r="R28" s="29">
        <f t="shared" si="4"/>
        <v>3.1686538461538465</v>
      </c>
      <c r="S28" s="30">
        <f t="shared" si="5"/>
        <v>1</v>
      </c>
      <c r="T28" s="30">
        <f t="shared" si="6"/>
        <v>2023</v>
      </c>
      <c r="U28" s="29" t="str">
        <f t="shared" si="7"/>
        <v>January</v>
      </c>
    </row>
    <row r="29" spans="1:21" ht="17.399999999999999" x14ac:dyDescent="0.3">
      <c r="A29" s="21" t="s">
        <v>82</v>
      </c>
      <c r="B29" s="21" t="s">
        <v>83</v>
      </c>
      <c r="C29" s="23" t="s">
        <v>3515</v>
      </c>
      <c r="D29" s="21" t="s">
        <v>3517</v>
      </c>
      <c r="E29" s="24">
        <v>44932</v>
      </c>
      <c r="F29" s="24">
        <v>44952</v>
      </c>
      <c r="G29" s="22" t="s">
        <v>16</v>
      </c>
      <c r="H29" s="25">
        <v>70092</v>
      </c>
      <c r="I29" s="25">
        <v>2388</v>
      </c>
      <c r="J29" s="26">
        <v>4152.4399999999996</v>
      </c>
      <c r="K29" s="25">
        <v>424</v>
      </c>
      <c r="L29" s="21" t="s">
        <v>17</v>
      </c>
      <c r="M29" s="22" t="s">
        <v>16</v>
      </c>
      <c r="N29" s="27">
        <f t="shared" si="0"/>
        <v>20</v>
      </c>
      <c r="O29" s="28">
        <f t="shared" si="1"/>
        <v>3.4069508645779831E-2</v>
      </c>
      <c r="P29" s="28">
        <f t="shared" si="2"/>
        <v>0.17755443886097153</v>
      </c>
      <c r="Q29" s="26">
        <f t="shared" si="3"/>
        <v>1.7388777219430485</v>
      </c>
      <c r="R29" s="29">
        <f t="shared" si="4"/>
        <v>9.7934905660377343</v>
      </c>
      <c r="S29" s="30">
        <f t="shared" si="5"/>
        <v>1</v>
      </c>
      <c r="T29" s="30">
        <f t="shared" si="6"/>
        <v>2023</v>
      </c>
      <c r="U29" s="29" t="str">
        <f t="shared" si="7"/>
        <v>January</v>
      </c>
    </row>
    <row r="30" spans="1:21" ht="17.399999999999999" x14ac:dyDescent="0.3">
      <c r="A30" s="21" t="s">
        <v>3127</v>
      </c>
      <c r="B30" s="21" t="s">
        <v>3128</v>
      </c>
      <c r="C30" s="23" t="s">
        <v>3515</v>
      </c>
      <c r="D30" s="21" t="s">
        <v>3517</v>
      </c>
      <c r="E30" s="24">
        <v>44932</v>
      </c>
      <c r="F30" s="24">
        <v>44962</v>
      </c>
      <c r="G30" s="22" t="s">
        <v>16</v>
      </c>
      <c r="H30" s="25">
        <v>27660</v>
      </c>
      <c r="I30" s="25">
        <v>530</v>
      </c>
      <c r="J30" s="26">
        <v>1054.6500000000001</v>
      </c>
      <c r="K30" s="25">
        <v>103</v>
      </c>
      <c r="L30" s="21" t="s">
        <v>17</v>
      </c>
      <c r="M30" s="22" t="s">
        <v>16</v>
      </c>
      <c r="N30" s="27">
        <f t="shared" si="0"/>
        <v>30</v>
      </c>
      <c r="O30" s="28">
        <f t="shared" si="1"/>
        <v>1.9161243673174257E-2</v>
      </c>
      <c r="P30" s="28">
        <f t="shared" si="2"/>
        <v>0.19433962264150945</v>
      </c>
      <c r="Q30" s="26">
        <f t="shared" si="3"/>
        <v>1.9899056603773586</v>
      </c>
      <c r="R30" s="29">
        <f t="shared" si="4"/>
        <v>10.239320388349515</v>
      </c>
      <c r="S30" s="30">
        <f t="shared" si="5"/>
        <v>1</v>
      </c>
      <c r="T30" s="30">
        <f t="shared" si="6"/>
        <v>2023</v>
      </c>
      <c r="U30" s="29" t="str">
        <f t="shared" si="7"/>
        <v>January</v>
      </c>
    </row>
    <row r="31" spans="1:21" ht="17.399999999999999" x14ac:dyDescent="0.3">
      <c r="A31" s="21" t="s">
        <v>3375</v>
      </c>
      <c r="B31" s="21" t="s">
        <v>3376</v>
      </c>
      <c r="C31" s="23" t="s">
        <v>3515</v>
      </c>
      <c r="D31" s="21" t="s">
        <v>3520</v>
      </c>
      <c r="E31" s="24">
        <v>44932</v>
      </c>
      <c r="F31" s="24">
        <v>44961</v>
      </c>
      <c r="G31" s="22" t="s">
        <v>16</v>
      </c>
      <c r="H31" s="25">
        <v>49787</v>
      </c>
      <c r="I31" s="25">
        <v>1372</v>
      </c>
      <c r="J31" s="26">
        <v>2737.43</v>
      </c>
      <c r="K31" s="25">
        <v>149</v>
      </c>
      <c r="L31" s="21" t="s">
        <v>21</v>
      </c>
      <c r="M31" s="22" t="s">
        <v>16</v>
      </c>
      <c r="N31" s="27">
        <f t="shared" si="0"/>
        <v>29</v>
      </c>
      <c r="O31" s="28">
        <f t="shared" si="1"/>
        <v>2.755739450057244E-2</v>
      </c>
      <c r="P31" s="28">
        <f t="shared" si="2"/>
        <v>0.10860058309037901</v>
      </c>
      <c r="Q31" s="26">
        <f t="shared" si="3"/>
        <v>1.9952113702623906</v>
      </c>
      <c r="R31" s="29">
        <f t="shared" si="4"/>
        <v>18.372013422818792</v>
      </c>
      <c r="S31" s="30">
        <f t="shared" si="5"/>
        <v>1</v>
      </c>
      <c r="T31" s="30">
        <f t="shared" si="6"/>
        <v>2023</v>
      </c>
      <c r="U31" s="29" t="str">
        <f t="shared" si="7"/>
        <v>January</v>
      </c>
    </row>
    <row r="32" spans="1:21" ht="17.399999999999999" x14ac:dyDescent="0.3">
      <c r="A32" s="21" t="s">
        <v>366</v>
      </c>
      <c r="B32" s="21" t="s">
        <v>367</v>
      </c>
      <c r="C32" s="23" t="s">
        <v>3516</v>
      </c>
      <c r="D32" s="21" t="s">
        <v>3517</v>
      </c>
      <c r="E32" s="24">
        <v>44932</v>
      </c>
      <c r="F32" s="24">
        <v>44937</v>
      </c>
      <c r="G32" s="22" t="s">
        <v>24</v>
      </c>
      <c r="H32" s="25">
        <v>69840</v>
      </c>
      <c r="I32" s="25">
        <v>2185</v>
      </c>
      <c r="J32" s="26">
        <v>1467.55</v>
      </c>
      <c r="K32" s="25">
        <v>272</v>
      </c>
      <c r="L32" s="21" t="s">
        <v>21</v>
      </c>
      <c r="M32" s="22" t="s">
        <v>3536</v>
      </c>
      <c r="N32" s="27">
        <f t="shared" si="0"/>
        <v>5</v>
      </c>
      <c r="O32" s="28">
        <f t="shared" si="1"/>
        <v>3.1285796105383734E-2</v>
      </c>
      <c r="P32" s="28">
        <f t="shared" si="2"/>
        <v>0.12448512585812357</v>
      </c>
      <c r="Q32" s="26">
        <f t="shared" si="3"/>
        <v>0.67164759725400458</v>
      </c>
      <c r="R32" s="29">
        <f t="shared" si="4"/>
        <v>5.395404411764706</v>
      </c>
      <c r="S32" s="30">
        <f t="shared" si="5"/>
        <v>1</v>
      </c>
      <c r="T32" s="30">
        <f t="shared" si="6"/>
        <v>2023</v>
      </c>
      <c r="U32" s="29" t="str">
        <f t="shared" si="7"/>
        <v>January</v>
      </c>
    </row>
    <row r="33" spans="1:21" ht="17.399999999999999" x14ac:dyDescent="0.3">
      <c r="A33" s="21" t="s">
        <v>2839</v>
      </c>
      <c r="B33" s="21" t="s">
        <v>2840</v>
      </c>
      <c r="C33" s="23" t="s">
        <v>3519</v>
      </c>
      <c r="D33" s="21" t="s">
        <v>3520</v>
      </c>
      <c r="E33" s="24">
        <v>44933</v>
      </c>
      <c r="F33" s="24">
        <v>44953</v>
      </c>
      <c r="G33" s="22" t="s">
        <v>16</v>
      </c>
      <c r="H33" s="25">
        <v>41600</v>
      </c>
      <c r="I33" s="25">
        <v>1217</v>
      </c>
      <c r="J33" s="26">
        <v>1178.4100000000001</v>
      </c>
      <c r="K33" s="25">
        <v>116</v>
      </c>
      <c r="L33" s="21" t="s">
        <v>21</v>
      </c>
      <c r="M33" s="22" t="s">
        <v>16</v>
      </c>
      <c r="N33" s="27">
        <f t="shared" si="0"/>
        <v>20</v>
      </c>
      <c r="O33" s="28">
        <f t="shared" si="1"/>
        <v>2.9254807692307691E-2</v>
      </c>
      <c r="P33" s="28">
        <f t="shared" si="2"/>
        <v>9.5316351684470002E-2</v>
      </c>
      <c r="Q33" s="26">
        <f t="shared" si="3"/>
        <v>0.96829087921117507</v>
      </c>
      <c r="R33" s="29">
        <f t="shared" si="4"/>
        <v>10.158706896551724</v>
      </c>
      <c r="S33" s="30">
        <f t="shared" si="5"/>
        <v>1</v>
      </c>
      <c r="T33" s="30">
        <f t="shared" si="6"/>
        <v>2023</v>
      </c>
      <c r="U33" s="29" t="str">
        <f t="shared" si="7"/>
        <v>January</v>
      </c>
    </row>
    <row r="34" spans="1:21" ht="17.399999999999999" x14ac:dyDescent="0.3">
      <c r="A34" s="21" t="s">
        <v>1856</v>
      </c>
      <c r="B34" s="21" t="s">
        <v>1857</v>
      </c>
      <c r="C34" s="23" t="s">
        <v>3518</v>
      </c>
      <c r="D34" s="21" t="s">
        <v>3520</v>
      </c>
      <c r="E34" s="24">
        <v>44933</v>
      </c>
      <c r="F34" s="24">
        <v>44938</v>
      </c>
      <c r="G34" s="22" t="s">
        <v>16</v>
      </c>
      <c r="H34" s="25">
        <v>79477</v>
      </c>
      <c r="I34" s="25">
        <v>3502</v>
      </c>
      <c r="J34" s="26">
        <v>3773.94</v>
      </c>
      <c r="K34" s="25">
        <v>493</v>
      </c>
      <c r="L34" s="21" t="s">
        <v>21</v>
      </c>
      <c r="M34" s="22" t="s">
        <v>16</v>
      </c>
      <c r="N34" s="27">
        <f t="shared" si="0"/>
        <v>5</v>
      </c>
      <c r="O34" s="28">
        <f t="shared" si="1"/>
        <v>4.4063062269587429E-2</v>
      </c>
      <c r="P34" s="28">
        <f t="shared" si="2"/>
        <v>0.14077669902912621</v>
      </c>
      <c r="Q34" s="26">
        <f t="shared" si="3"/>
        <v>1.0776527698458025</v>
      </c>
      <c r="R34" s="29">
        <f t="shared" si="4"/>
        <v>7.6550507099391485</v>
      </c>
      <c r="S34" s="30">
        <f t="shared" si="5"/>
        <v>1</v>
      </c>
      <c r="T34" s="30">
        <f t="shared" si="6"/>
        <v>2023</v>
      </c>
      <c r="U34" s="29" t="str">
        <f t="shared" si="7"/>
        <v>January</v>
      </c>
    </row>
    <row r="35" spans="1:21" ht="17.399999999999999" x14ac:dyDescent="0.3">
      <c r="A35" s="21" t="s">
        <v>2123</v>
      </c>
      <c r="B35" s="21" t="s">
        <v>2124</v>
      </c>
      <c r="C35" s="23" t="s">
        <v>3518</v>
      </c>
      <c r="D35" s="21" t="s">
        <v>3517</v>
      </c>
      <c r="E35" s="24">
        <v>44933</v>
      </c>
      <c r="F35" s="24">
        <v>44953</v>
      </c>
      <c r="G35" s="22" t="s">
        <v>24</v>
      </c>
      <c r="H35" s="25">
        <v>61279</v>
      </c>
      <c r="I35" s="25">
        <v>1908</v>
      </c>
      <c r="J35" s="26">
        <v>1800.43</v>
      </c>
      <c r="K35" s="25">
        <v>0</v>
      </c>
      <c r="L35" s="21" t="s">
        <v>21</v>
      </c>
      <c r="M35" s="22" t="s">
        <v>3536</v>
      </c>
      <c r="N35" s="27">
        <f t="shared" si="0"/>
        <v>20</v>
      </c>
      <c r="O35" s="28">
        <f t="shared" si="1"/>
        <v>3.1136278333523719E-2</v>
      </c>
      <c r="P35" s="28">
        <f t="shared" si="2"/>
        <v>0</v>
      </c>
      <c r="Q35" s="26">
        <f t="shared" si="3"/>
        <v>0.9436215932914046</v>
      </c>
      <c r="R35" s="29" t="str">
        <f t="shared" si="4"/>
        <v>0</v>
      </c>
      <c r="S35" s="30">
        <f t="shared" si="5"/>
        <v>1</v>
      </c>
      <c r="T35" s="30">
        <f t="shared" si="6"/>
        <v>2023</v>
      </c>
      <c r="U35" s="29" t="str">
        <f t="shared" si="7"/>
        <v>January</v>
      </c>
    </row>
    <row r="36" spans="1:21" ht="17.399999999999999" x14ac:dyDescent="0.3">
      <c r="A36" s="21" t="s">
        <v>2455</v>
      </c>
      <c r="B36" s="22" t="s">
        <v>3555</v>
      </c>
      <c r="C36" s="23" t="s">
        <v>3518</v>
      </c>
      <c r="D36" s="22" t="s">
        <v>3545</v>
      </c>
      <c r="E36" s="24">
        <v>44933</v>
      </c>
      <c r="F36" s="24">
        <v>45113</v>
      </c>
      <c r="G36" s="22" t="s">
        <v>16</v>
      </c>
      <c r="H36" s="25">
        <v>52693</v>
      </c>
      <c r="I36" s="25">
        <v>2380</v>
      </c>
      <c r="J36" s="26">
        <v>4208.9799999999996</v>
      </c>
      <c r="K36" s="25">
        <v>205</v>
      </c>
      <c r="L36" s="21" t="s">
        <v>21</v>
      </c>
      <c r="M36" s="22" t="s">
        <v>16</v>
      </c>
      <c r="N36" s="27">
        <f t="shared" si="0"/>
        <v>180</v>
      </c>
      <c r="O36" s="28">
        <f t="shared" si="1"/>
        <v>4.5167289772835101E-2</v>
      </c>
      <c r="P36" s="28">
        <f t="shared" si="2"/>
        <v>8.6134453781512604E-2</v>
      </c>
      <c r="Q36" s="26">
        <f t="shared" si="3"/>
        <v>1.7684789915966386</v>
      </c>
      <c r="R36" s="29">
        <f t="shared" si="4"/>
        <v>20.531609756097559</v>
      </c>
      <c r="S36" s="30">
        <f t="shared" si="5"/>
        <v>1</v>
      </c>
      <c r="T36" s="30">
        <f t="shared" si="6"/>
        <v>2023</v>
      </c>
      <c r="U36" s="29" t="str">
        <f t="shared" si="7"/>
        <v>January</v>
      </c>
    </row>
    <row r="37" spans="1:21" ht="17.399999999999999" x14ac:dyDescent="0.3">
      <c r="A37" s="21" t="s">
        <v>2475</v>
      </c>
      <c r="B37" s="21" t="s">
        <v>2476</v>
      </c>
      <c r="C37" s="23" t="s">
        <v>3518</v>
      </c>
      <c r="D37" s="21" t="s">
        <v>3517</v>
      </c>
      <c r="E37" s="24">
        <v>44933</v>
      </c>
      <c r="F37" s="24">
        <v>44951</v>
      </c>
      <c r="G37" s="22" t="s">
        <v>16</v>
      </c>
      <c r="H37" s="25">
        <v>27657</v>
      </c>
      <c r="I37" s="25">
        <v>800</v>
      </c>
      <c r="J37" s="26">
        <v>1303.42</v>
      </c>
      <c r="K37" s="25">
        <v>96</v>
      </c>
      <c r="L37" s="21" t="s">
        <v>21</v>
      </c>
      <c r="M37" s="22" t="s">
        <v>16</v>
      </c>
      <c r="N37" s="27">
        <f t="shared" si="0"/>
        <v>18</v>
      </c>
      <c r="O37" s="28">
        <f t="shared" si="1"/>
        <v>2.892576924467585E-2</v>
      </c>
      <c r="P37" s="28">
        <f t="shared" si="2"/>
        <v>0.12</v>
      </c>
      <c r="Q37" s="26">
        <f t="shared" si="3"/>
        <v>1.629275</v>
      </c>
      <c r="R37" s="29">
        <f t="shared" si="4"/>
        <v>13.577291666666667</v>
      </c>
      <c r="S37" s="30">
        <f t="shared" si="5"/>
        <v>1</v>
      </c>
      <c r="T37" s="30">
        <f t="shared" si="6"/>
        <v>2023</v>
      </c>
      <c r="U37" s="29" t="str">
        <f t="shared" si="7"/>
        <v>January</v>
      </c>
    </row>
    <row r="38" spans="1:21" ht="17.399999999999999" x14ac:dyDescent="0.3">
      <c r="A38" s="21" t="s">
        <v>1798</v>
      </c>
      <c r="B38" s="21" t="s">
        <v>1799</v>
      </c>
      <c r="C38" s="23" t="s">
        <v>3516</v>
      </c>
      <c r="D38" s="21" t="s">
        <v>3521</v>
      </c>
      <c r="E38" s="24">
        <v>44933</v>
      </c>
      <c r="F38" s="24">
        <v>44963</v>
      </c>
      <c r="G38" s="22" t="s">
        <v>16</v>
      </c>
      <c r="H38" s="25">
        <v>28446</v>
      </c>
      <c r="I38" s="25">
        <v>1308</v>
      </c>
      <c r="J38" s="26">
        <v>2293</v>
      </c>
      <c r="K38" s="25">
        <v>86</v>
      </c>
      <c r="L38" s="21" t="s">
        <v>17</v>
      </c>
      <c r="M38" s="22" t="s">
        <v>16</v>
      </c>
      <c r="N38" s="27">
        <f t="shared" si="0"/>
        <v>30</v>
      </c>
      <c r="O38" s="28">
        <f t="shared" si="1"/>
        <v>4.5981860367011178E-2</v>
      </c>
      <c r="P38" s="28">
        <f t="shared" si="2"/>
        <v>6.5749235474006115E-2</v>
      </c>
      <c r="Q38" s="26">
        <f t="shared" si="3"/>
        <v>1.7530581039755351</v>
      </c>
      <c r="R38" s="29">
        <f t="shared" si="4"/>
        <v>26.662790697674417</v>
      </c>
      <c r="S38" s="30">
        <f t="shared" si="5"/>
        <v>1</v>
      </c>
      <c r="T38" s="30">
        <f t="shared" si="6"/>
        <v>2023</v>
      </c>
      <c r="U38" s="29" t="str">
        <f t="shared" si="7"/>
        <v>January</v>
      </c>
    </row>
    <row r="39" spans="1:21" ht="17.399999999999999" x14ac:dyDescent="0.3">
      <c r="A39" s="21" t="s">
        <v>3001</v>
      </c>
      <c r="B39" s="21" t="s">
        <v>3002</v>
      </c>
      <c r="C39" s="23" t="s">
        <v>3519</v>
      </c>
      <c r="D39" s="21" t="s">
        <v>3517</v>
      </c>
      <c r="E39" s="24">
        <v>44934</v>
      </c>
      <c r="F39" s="24">
        <v>44958</v>
      </c>
      <c r="G39" s="22" t="s">
        <v>14</v>
      </c>
      <c r="H39" s="25">
        <v>42755</v>
      </c>
      <c r="I39" s="25">
        <v>2121</v>
      </c>
      <c r="J39" s="26">
        <v>1615.96</v>
      </c>
      <c r="K39" s="25">
        <v>250</v>
      </c>
      <c r="L39" s="21" t="s">
        <v>17</v>
      </c>
      <c r="M39" s="22" t="s">
        <v>3537</v>
      </c>
      <c r="N39" s="27">
        <f t="shared" si="0"/>
        <v>24</v>
      </c>
      <c r="O39" s="28">
        <f t="shared" si="1"/>
        <v>4.960823295520992E-2</v>
      </c>
      <c r="P39" s="28">
        <f t="shared" si="2"/>
        <v>0.11786892975011787</v>
      </c>
      <c r="Q39" s="26">
        <f t="shared" si="3"/>
        <v>0.76188590287600189</v>
      </c>
      <c r="R39" s="29">
        <f t="shared" si="4"/>
        <v>6.4638400000000003</v>
      </c>
      <c r="S39" s="30">
        <f t="shared" si="5"/>
        <v>1</v>
      </c>
      <c r="T39" s="30">
        <f t="shared" si="6"/>
        <v>2023</v>
      </c>
      <c r="U39" s="29" t="str">
        <f t="shared" si="7"/>
        <v>January</v>
      </c>
    </row>
    <row r="40" spans="1:21" ht="17.399999999999999" x14ac:dyDescent="0.3">
      <c r="A40" s="21" t="s">
        <v>531</v>
      </c>
      <c r="B40" s="21" t="s">
        <v>532</v>
      </c>
      <c r="C40" s="23" t="s">
        <v>3518</v>
      </c>
      <c r="D40" s="21" t="s">
        <v>3521</v>
      </c>
      <c r="E40" s="24">
        <v>44934</v>
      </c>
      <c r="F40" s="24">
        <v>45151</v>
      </c>
      <c r="G40" s="22" t="s">
        <v>31</v>
      </c>
      <c r="H40" s="25">
        <v>13183</v>
      </c>
      <c r="I40" s="25">
        <v>178</v>
      </c>
      <c r="J40" s="26">
        <v>227.86</v>
      </c>
      <c r="K40" s="25">
        <v>9</v>
      </c>
      <c r="L40" s="21" t="s">
        <v>17</v>
      </c>
      <c r="M40" s="22" t="s">
        <v>31</v>
      </c>
      <c r="N40" s="27">
        <f t="shared" si="0"/>
        <v>217</v>
      </c>
      <c r="O40" s="28">
        <f t="shared" si="1"/>
        <v>1.3502237730410377E-2</v>
      </c>
      <c r="P40" s="28">
        <f t="shared" si="2"/>
        <v>5.0561797752808987E-2</v>
      </c>
      <c r="Q40" s="26">
        <f t="shared" si="3"/>
        <v>1.2801123595505619</v>
      </c>
      <c r="R40" s="29">
        <f t="shared" si="4"/>
        <v>25.317777777777778</v>
      </c>
      <c r="S40" s="30">
        <f t="shared" si="5"/>
        <v>1</v>
      </c>
      <c r="T40" s="30">
        <f t="shared" si="6"/>
        <v>2023</v>
      </c>
      <c r="U40" s="29" t="str">
        <f t="shared" si="7"/>
        <v>January</v>
      </c>
    </row>
    <row r="41" spans="1:21" ht="17.399999999999999" x14ac:dyDescent="0.3">
      <c r="A41" s="21" t="s">
        <v>3255</v>
      </c>
      <c r="B41" s="22" t="s">
        <v>3556</v>
      </c>
      <c r="C41" s="23" t="s">
        <v>3518</v>
      </c>
      <c r="D41" s="22" t="s">
        <v>3545</v>
      </c>
      <c r="E41" s="24">
        <v>44934</v>
      </c>
      <c r="F41" s="24">
        <v>44952</v>
      </c>
      <c r="G41" s="22" t="s">
        <v>3535</v>
      </c>
      <c r="H41" s="25">
        <v>27431</v>
      </c>
      <c r="I41" s="25">
        <v>760</v>
      </c>
      <c r="J41" s="26">
        <v>593.1</v>
      </c>
      <c r="K41" s="25">
        <v>93</v>
      </c>
      <c r="L41" s="21" t="s">
        <v>21</v>
      </c>
      <c r="M41" s="22" t="s">
        <v>3535</v>
      </c>
      <c r="N41" s="27">
        <f t="shared" si="0"/>
        <v>18</v>
      </c>
      <c r="O41" s="28">
        <f t="shared" si="1"/>
        <v>2.7705880208523204E-2</v>
      </c>
      <c r="P41" s="28">
        <f t="shared" si="2"/>
        <v>0.12236842105263158</v>
      </c>
      <c r="Q41" s="26">
        <f t="shared" si="3"/>
        <v>0.78039473684210525</v>
      </c>
      <c r="R41" s="29">
        <f t="shared" si="4"/>
        <v>6.3774193548387101</v>
      </c>
      <c r="S41" s="30">
        <f t="shared" si="5"/>
        <v>1</v>
      </c>
      <c r="T41" s="30">
        <f t="shared" si="6"/>
        <v>2023</v>
      </c>
      <c r="U41" s="29" t="str">
        <f t="shared" si="7"/>
        <v>January</v>
      </c>
    </row>
    <row r="42" spans="1:21" ht="17.399999999999999" x14ac:dyDescent="0.3">
      <c r="A42" s="21" t="s">
        <v>3443</v>
      </c>
      <c r="B42" s="22" t="s">
        <v>3557</v>
      </c>
      <c r="C42" s="23" t="s">
        <v>3518</v>
      </c>
      <c r="D42" s="22" t="s">
        <v>3545</v>
      </c>
      <c r="E42" s="24">
        <v>44934</v>
      </c>
      <c r="F42" s="24">
        <v>44943</v>
      </c>
      <c r="G42" s="22" t="s">
        <v>31</v>
      </c>
      <c r="H42" s="25">
        <v>26683</v>
      </c>
      <c r="I42" s="25">
        <v>1059</v>
      </c>
      <c r="J42" s="26">
        <v>604.25</v>
      </c>
      <c r="K42" s="25">
        <v>155</v>
      </c>
      <c r="L42" s="21" t="s">
        <v>21</v>
      </c>
      <c r="M42" s="22" t="s">
        <v>31</v>
      </c>
      <c r="N42" s="27">
        <f t="shared" si="0"/>
        <v>9</v>
      </c>
      <c r="O42" s="28">
        <f t="shared" si="1"/>
        <v>3.9688190983022897E-2</v>
      </c>
      <c r="P42" s="28">
        <f t="shared" si="2"/>
        <v>0.14636449480642116</v>
      </c>
      <c r="Q42" s="26">
        <f t="shared" si="3"/>
        <v>0.57058545797922566</v>
      </c>
      <c r="R42" s="29">
        <f t="shared" si="4"/>
        <v>3.8983870967741936</v>
      </c>
      <c r="S42" s="30">
        <f t="shared" si="5"/>
        <v>1</v>
      </c>
      <c r="T42" s="30">
        <f t="shared" si="6"/>
        <v>2023</v>
      </c>
      <c r="U42" s="29" t="str">
        <f t="shared" si="7"/>
        <v>January</v>
      </c>
    </row>
    <row r="43" spans="1:21" ht="17.399999999999999" x14ac:dyDescent="0.3">
      <c r="A43" s="21" t="s">
        <v>1283</v>
      </c>
      <c r="B43" s="21" t="s">
        <v>1284</v>
      </c>
      <c r="C43" s="23" t="s">
        <v>3516</v>
      </c>
      <c r="D43" s="21" t="s">
        <v>3521</v>
      </c>
      <c r="E43" s="24">
        <v>44934</v>
      </c>
      <c r="F43" s="24">
        <v>44948</v>
      </c>
      <c r="G43" s="22" t="s">
        <v>11</v>
      </c>
      <c r="H43" s="25">
        <v>37395</v>
      </c>
      <c r="I43" s="25">
        <v>1840</v>
      </c>
      <c r="J43" s="26">
        <v>3039.7</v>
      </c>
      <c r="K43" s="25">
        <v>216</v>
      </c>
      <c r="L43" s="21" t="s">
        <v>17</v>
      </c>
      <c r="M43" s="22" t="s">
        <v>11</v>
      </c>
      <c r="N43" s="27">
        <f t="shared" si="0"/>
        <v>14</v>
      </c>
      <c r="O43" s="28">
        <f t="shared" si="1"/>
        <v>4.9204439096135845E-2</v>
      </c>
      <c r="P43" s="28">
        <f t="shared" si="2"/>
        <v>0.11739130434782609</v>
      </c>
      <c r="Q43" s="26">
        <f t="shared" si="3"/>
        <v>1.6520108695652174</v>
      </c>
      <c r="R43" s="29">
        <f t="shared" si="4"/>
        <v>14.072685185185184</v>
      </c>
      <c r="S43" s="30">
        <f t="shared" si="5"/>
        <v>1</v>
      </c>
      <c r="T43" s="30">
        <f t="shared" si="6"/>
        <v>2023</v>
      </c>
      <c r="U43" s="29" t="str">
        <f t="shared" si="7"/>
        <v>January</v>
      </c>
    </row>
    <row r="44" spans="1:21" ht="17.399999999999999" x14ac:dyDescent="0.3">
      <c r="A44" s="21" t="s">
        <v>657</v>
      </c>
      <c r="B44" s="21" t="s">
        <v>658</v>
      </c>
      <c r="C44" s="23" t="s">
        <v>3515</v>
      </c>
      <c r="D44" s="21" t="s">
        <v>3521</v>
      </c>
      <c r="E44" s="24">
        <v>44934</v>
      </c>
      <c r="F44" s="24">
        <v>44948</v>
      </c>
      <c r="G44" s="22" t="s">
        <v>24</v>
      </c>
      <c r="H44" s="25">
        <v>19711</v>
      </c>
      <c r="I44" s="25">
        <v>948</v>
      </c>
      <c r="J44" s="26">
        <v>598.49</v>
      </c>
      <c r="K44" s="25">
        <v>129</v>
      </c>
      <c r="L44" s="21" t="s">
        <v>21</v>
      </c>
      <c r="M44" s="22" t="s">
        <v>3536</v>
      </c>
      <c r="N44" s="27">
        <f t="shared" si="0"/>
        <v>14</v>
      </c>
      <c r="O44" s="28">
        <f t="shared" si="1"/>
        <v>4.8094972350464206E-2</v>
      </c>
      <c r="P44" s="28">
        <f t="shared" si="2"/>
        <v>0.13607594936708861</v>
      </c>
      <c r="Q44" s="26">
        <f t="shared" si="3"/>
        <v>0.63131856540084386</v>
      </c>
      <c r="R44" s="29">
        <f t="shared" si="4"/>
        <v>4.6394573643410855</v>
      </c>
      <c r="S44" s="30">
        <f t="shared" si="5"/>
        <v>1</v>
      </c>
      <c r="T44" s="30">
        <f t="shared" si="6"/>
        <v>2023</v>
      </c>
      <c r="U44" s="29" t="str">
        <f t="shared" si="7"/>
        <v>January</v>
      </c>
    </row>
    <row r="45" spans="1:21" ht="17.399999999999999" x14ac:dyDescent="0.3">
      <c r="A45" s="21" t="s">
        <v>2265</v>
      </c>
      <c r="B45" s="21" t="s">
        <v>2266</v>
      </c>
      <c r="C45" s="23" t="s">
        <v>3515</v>
      </c>
      <c r="D45" s="21" t="s">
        <v>3517</v>
      </c>
      <c r="E45" s="24">
        <v>44934</v>
      </c>
      <c r="F45" s="24">
        <v>44954</v>
      </c>
      <c r="G45" s="22" t="s">
        <v>11</v>
      </c>
      <c r="H45" s="25">
        <v>3717</v>
      </c>
      <c r="I45" s="25">
        <v>125</v>
      </c>
      <c r="J45" s="26">
        <v>185.82</v>
      </c>
      <c r="K45" s="25">
        <v>23</v>
      </c>
      <c r="L45" s="21" t="s">
        <v>21</v>
      </c>
      <c r="M45" s="22" t="s">
        <v>11</v>
      </c>
      <c r="N45" s="27">
        <f t="shared" si="0"/>
        <v>20</v>
      </c>
      <c r="O45" s="28">
        <f t="shared" si="1"/>
        <v>3.3629270917406508E-2</v>
      </c>
      <c r="P45" s="28">
        <f t="shared" si="2"/>
        <v>0.184</v>
      </c>
      <c r="Q45" s="26">
        <f t="shared" si="3"/>
        <v>1.4865599999999999</v>
      </c>
      <c r="R45" s="29">
        <f t="shared" si="4"/>
        <v>8.0791304347826092</v>
      </c>
      <c r="S45" s="30">
        <f t="shared" si="5"/>
        <v>1</v>
      </c>
      <c r="T45" s="30">
        <f t="shared" si="6"/>
        <v>2023</v>
      </c>
      <c r="U45" s="29" t="str">
        <f t="shared" si="7"/>
        <v>January</v>
      </c>
    </row>
    <row r="46" spans="1:21" ht="17.399999999999999" x14ac:dyDescent="0.3">
      <c r="A46" s="21" t="s">
        <v>2549</v>
      </c>
      <c r="B46" s="21" t="s">
        <v>2550</v>
      </c>
      <c r="C46" s="23" t="s">
        <v>3519</v>
      </c>
      <c r="D46" s="21" t="s">
        <v>3520</v>
      </c>
      <c r="E46" s="24">
        <v>44935</v>
      </c>
      <c r="F46" s="24">
        <v>44938</v>
      </c>
      <c r="G46" s="22" t="s">
        <v>31</v>
      </c>
      <c r="H46" s="25">
        <v>97999</v>
      </c>
      <c r="I46" s="25">
        <v>4620</v>
      </c>
      <c r="J46" s="26">
        <v>8921.51</v>
      </c>
      <c r="K46" s="25">
        <v>790</v>
      </c>
      <c r="L46" s="21" t="s">
        <v>17</v>
      </c>
      <c r="M46" s="22" t="s">
        <v>31</v>
      </c>
      <c r="N46" s="27">
        <f t="shared" si="0"/>
        <v>3</v>
      </c>
      <c r="O46" s="28">
        <f t="shared" si="1"/>
        <v>4.7143338197328542E-2</v>
      </c>
      <c r="P46" s="28">
        <f t="shared" si="2"/>
        <v>0.17099567099567101</v>
      </c>
      <c r="Q46" s="26">
        <f t="shared" si="3"/>
        <v>1.9310627705627705</v>
      </c>
      <c r="R46" s="29">
        <f t="shared" si="4"/>
        <v>11.293050632911394</v>
      </c>
      <c r="S46" s="30">
        <f t="shared" si="5"/>
        <v>1</v>
      </c>
      <c r="T46" s="30">
        <f t="shared" si="6"/>
        <v>2023</v>
      </c>
      <c r="U46" s="29" t="str">
        <f t="shared" si="7"/>
        <v>January</v>
      </c>
    </row>
    <row r="47" spans="1:21" ht="17.399999999999999" x14ac:dyDescent="0.3">
      <c r="A47" s="21" t="s">
        <v>992</v>
      </c>
      <c r="B47" s="21" t="s">
        <v>993</v>
      </c>
      <c r="C47" s="23" t="s">
        <v>3518</v>
      </c>
      <c r="D47" s="21" t="s">
        <v>3520</v>
      </c>
      <c r="E47" s="24">
        <v>44935</v>
      </c>
      <c r="F47" s="24">
        <v>45186</v>
      </c>
      <c r="G47" s="22" t="s">
        <v>24</v>
      </c>
      <c r="H47" s="25">
        <v>4373</v>
      </c>
      <c r="I47" s="25">
        <v>70</v>
      </c>
      <c r="J47" s="26">
        <v>68.36</v>
      </c>
      <c r="K47" s="25">
        <v>10</v>
      </c>
      <c r="L47" s="21" t="s">
        <v>21</v>
      </c>
      <c r="M47" s="22" t="s">
        <v>3536</v>
      </c>
      <c r="N47" s="27">
        <f t="shared" si="0"/>
        <v>251</v>
      </c>
      <c r="O47" s="28">
        <f t="shared" si="1"/>
        <v>1.6007317630916992E-2</v>
      </c>
      <c r="P47" s="28">
        <f t="shared" si="2"/>
        <v>0.14285714285714285</v>
      </c>
      <c r="Q47" s="26">
        <f t="shared" si="3"/>
        <v>0.97657142857142853</v>
      </c>
      <c r="R47" s="29">
        <f t="shared" si="4"/>
        <v>6.8360000000000003</v>
      </c>
      <c r="S47" s="30">
        <f t="shared" si="5"/>
        <v>1</v>
      </c>
      <c r="T47" s="30">
        <f t="shared" si="6"/>
        <v>2023</v>
      </c>
      <c r="U47" s="29" t="str">
        <f t="shared" si="7"/>
        <v>January</v>
      </c>
    </row>
    <row r="48" spans="1:21" ht="17.399999999999999" x14ac:dyDescent="0.3">
      <c r="A48" s="21" t="s">
        <v>1369</v>
      </c>
      <c r="B48" s="22" t="s">
        <v>3558</v>
      </c>
      <c r="C48" s="23" t="s">
        <v>3518</v>
      </c>
      <c r="D48" s="22" t="s">
        <v>3545</v>
      </c>
      <c r="E48" s="24">
        <v>44935</v>
      </c>
      <c r="F48" s="24">
        <v>45193</v>
      </c>
      <c r="G48" s="22" t="s">
        <v>3535</v>
      </c>
      <c r="H48" s="25">
        <v>35349</v>
      </c>
      <c r="I48" s="25">
        <v>630</v>
      </c>
      <c r="J48" s="26">
        <v>488.36</v>
      </c>
      <c r="K48" s="25">
        <v>58</v>
      </c>
      <c r="L48" s="21" t="s">
        <v>17</v>
      </c>
      <c r="M48" s="22" t="s">
        <v>3535</v>
      </c>
      <c r="N48" s="27">
        <f t="shared" si="0"/>
        <v>258</v>
      </c>
      <c r="O48" s="28">
        <f t="shared" si="1"/>
        <v>1.7822286344733939E-2</v>
      </c>
      <c r="P48" s="28">
        <f t="shared" si="2"/>
        <v>9.2063492063492069E-2</v>
      </c>
      <c r="Q48" s="26">
        <f t="shared" si="3"/>
        <v>0.77517460317460318</v>
      </c>
      <c r="R48" s="29">
        <f t="shared" si="4"/>
        <v>8.42</v>
      </c>
      <c r="S48" s="30">
        <f t="shared" si="5"/>
        <v>1</v>
      </c>
      <c r="T48" s="30">
        <f t="shared" si="6"/>
        <v>2023</v>
      </c>
      <c r="U48" s="29" t="str">
        <f t="shared" si="7"/>
        <v>January</v>
      </c>
    </row>
    <row r="49" spans="1:21" ht="17.399999999999999" x14ac:dyDescent="0.3">
      <c r="A49" s="21" t="s">
        <v>1435</v>
      </c>
      <c r="B49" s="21" t="s">
        <v>1436</v>
      </c>
      <c r="C49" s="23" t="s">
        <v>3518</v>
      </c>
      <c r="D49" s="21" t="s">
        <v>3521</v>
      </c>
      <c r="E49" s="24">
        <v>44935</v>
      </c>
      <c r="F49" s="24">
        <v>44938</v>
      </c>
      <c r="G49" s="22" t="s">
        <v>16</v>
      </c>
      <c r="H49" s="25">
        <v>19384</v>
      </c>
      <c r="I49" s="25">
        <v>702</v>
      </c>
      <c r="J49" s="26">
        <v>1147.42</v>
      </c>
      <c r="K49" s="25">
        <v>105</v>
      </c>
      <c r="L49" s="21" t="s">
        <v>21</v>
      </c>
      <c r="M49" s="22" t="s">
        <v>16</v>
      </c>
      <c r="N49" s="27">
        <f t="shared" si="0"/>
        <v>3</v>
      </c>
      <c r="O49" s="28">
        <f t="shared" si="1"/>
        <v>3.6215435410647957E-2</v>
      </c>
      <c r="P49" s="28">
        <f t="shared" si="2"/>
        <v>0.14957264957264957</v>
      </c>
      <c r="Q49" s="26">
        <f t="shared" si="3"/>
        <v>1.6345014245014247</v>
      </c>
      <c r="R49" s="29">
        <f t="shared" si="4"/>
        <v>10.927809523809524</v>
      </c>
      <c r="S49" s="30">
        <f t="shared" si="5"/>
        <v>1</v>
      </c>
      <c r="T49" s="30">
        <f t="shared" si="6"/>
        <v>2023</v>
      </c>
      <c r="U49" s="29" t="str">
        <f t="shared" si="7"/>
        <v>January</v>
      </c>
    </row>
    <row r="50" spans="1:21" ht="17.399999999999999" x14ac:dyDescent="0.3">
      <c r="A50" s="21" t="s">
        <v>1806</v>
      </c>
      <c r="B50" s="21" t="s">
        <v>1807</v>
      </c>
      <c r="C50" s="23" t="s">
        <v>3518</v>
      </c>
      <c r="D50" s="21" t="s">
        <v>3521</v>
      </c>
      <c r="E50" s="24">
        <v>44935</v>
      </c>
      <c r="F50" s="24">
        <v>45174</v>
      </c>
      <c r="G50" s="22" t="s">
        <v>16</v>
      </c>
      <c r="H50" s="25">
        <v>77323</v>
      </c>
      <c r="I50" s="25">
        <v>2049</v>
      </c>
      <c r="J50" s="26">
        <v>1837.35</v>
      </c>
      <c r="K50" s="25">
        <v>0</v>
      </c>
      <c r="L50" s="21" t="s">
        <v>21</v>
      </c>
      <c r="M50" s="22" t="s">
        <v>16</v>
      </c>
      <c r="N50" s="27">
        <f t="shared" si="0"/>
        <v>239</v>
      </c>
      <c r="O50" s="28">
        <f t="shared" si="1"/>
        <v>2.649923050062724E-2</v>
      </c>
      <c r="P50" s="28">
        <f t="shared" si="2"/>
        <v>0</v>
      </c>
      <c r="Q50" s="26">
        <f t="shared" si="3"/>
        <v>0.89670571010248901</v>
      </c>
      <c r="R50" s="29" t="str">
        <f t="shared" si="4"/>
        <v>0</v>
      </c>
      <c r="S50" s="30">
        <f t="shared" si="5"/>
        <v>1</v>
      </c>
      <c r="T50" s="30">
        <f t="shared" si="6"/>
        <v>2023</v>
      </c>
      <c r="U50" s="29" t="str">
        <f t="shared" si="7"/>
        <v>January</v>
      </c>
    </row>
    <row r="51" spans="1:21" ht="17.399999999999999" x14ac:dyDescent="0.3">
      <c r="A51" s="21" t="s">
        <v>1267</v>
      </c>
      <c r="B51" s="21" t="s">
        <v>1268</v>
      </c>
      <c r="C51" s="23" t="s">
        <v>3518</v>
      </c>
      <c r="D51" s="21" t="s">
        <v>3517</v>
      </c>
      <c r="E51" s="24">
        <v>44935</v>
      </c>
      <c r="F51" s="24">
        <v>45017</v>
      </c>
      <c r="G51" s="22" t="s">
        <v>16</v>
      </c>
      <c r="H51" s="25">
        <v>40298</v>
      </c>
      <c r="I51" s="25">
        <v>1929</v>
      </c>
      <c r="J51" s="26">
        <v>2250.7399999999998</v>
      </c>
      <c r="K51" s="25">
        <v>124</v>
      </c>
      <c r="L51" s="21" t="s">
        <v>21</v>
      </c>
      <c r="M51" s="22" t="s">
        <v>16</v>
      </c>
      <c r="N51" s="27">
        <f t="shared" si="0"/>
        <v>82</v>
      </c>
      <c r="O51" s="28">
        <f t="shared" si="1"/>
        <v>4.7868380564792298E-2</v>
      </c>
      <c r="P51" s="28">
        <f t="shared" si="2"/>
        <v>6.4282011404872996E-2</v>
      </c>
      <c r="Q51" s="26">
        <f t="shared" si="3"/>
        <v>1.166791083462934</v>
      </c>
      <c r="R51" s="29">
        <f t="shared" si="4"/>
        <v>18.151129032258062</v>
      </c>
      <c r="S51" s="30">
        <f t="shared" si="5"/>
        <v>1</v>
      </c>
      <c r="T51" s="30">
        <f t="shared" si="6"/>
        <v>2023</v>
      </c>
      <c r="U51" s="29" t="str">
        <f t="shared" si="7"/>
        <v>January</v>
      </c>
    </row>
    <row r="52" spans="1:21" ht="17.399999999999999" x14ac:dyDescent="0.3">
      <c r="A52" s="21" t="s">
        <v>3205</v>
      </c>
      <c r="B52" s="22" t="s">
        <v>3559</v>
      </c>
      <c r="C52" s="23" t="s">
        <v>3519</v>
      </c>
      <c r="D52" s="22" t="s">
        <v>3545</v>
      </c>
      <c r="E52" s="24">
        <v>44936</v>
      </c>
      <c r="F52" s="24">
        <v>44957</v>
      </c>
      <c r="G52" s="22" t="s">
        <v>31</v>
      </c>
      <c r="H52" s="25">
        <v>76932</v>
      </c>
      <c r="I52" s="25">
        <v>2306</v>
      </c>
      <c r="J52" s="26">
        <v>2544.81</v>
      </c>
      <c r="K52" s="25">
        <v>399</v>
      </c>
      <c r="L52" s="21" t="s">
        <v>17</v>
      </c>
      <c r="M52" s="22" t="s">
        <v>31</v>
      </c>
      <c r="N52" s="27">
        <f t="shared" si="0"/>
        <v>21</v>
      </c>
      <c r="O52" s="28">
        <f t="shared" si="1"/>
        <v>2.9974522955337181E-2</v>
      </c>
      <c r="P52" s="28">
        <f t="shared" si="2"/>
        <v>0.17302688638334779</v>
      </c>
      <c r="Q52" s="26">
        <f t="shared" si="3"/>
        <v>1.1035602775368603</v>
      </c>
      <c r="R52" s="29">
        <f t="shared" si="4"/>
        <v>6.3779699248120298</v>
      </c>
      <c r="S52" s="30">
        <f t="shared" si="5"/>
        <v>1</v>
      </c>
      <c r="T52" s="30">
        <f t="shared" si="6"/>
        <v>2023</v>
      </c>
      <c r="U52" s="29" t="str">
        <f t="shared" si="7"/>
        <v>January</v>
      </c>
    </row>
    <row r="53" spans="1:21" ht="17.399999999999999" x14ac:dyDescent="0.3">
      <c r="A53" s="21" t="s">
        <v>358</v>
      </c>
      <c r="B53" s="21" t="s">
        <v>359</v>
      </c>
      <c r="C53" s="23" t="s">
        <v>3516</v>
      </c>
      <c r="D53" s="21" t="s">
        <v>3520</v>
      </c>
      <c r="E53" s="24">
        <v>44936</v>
      </c>
      <c r="F53" s="24">
        <v>45214</v>
      </c>
      <c r="G53" s="22" t="s">
        <v>24</v>
      </c>
      <c r="H53" s="25">
        <v>74530</v>
      </c>
      <c r="I53" s="25">
        <v>2585</v>
      </c>
      <c r="J53" s="26">
        <v>2992.62</v>
      </c>
      <c r="K53" s="25">
        <v>226</v>
      </c>
      <c r="L53" s="21" t="s">
        <v>21</v>
      </c>
      <c r="M53" s="22" t="s">
        <v>3536</v>
      </c>
      <c r="N53" s="27">
        <f t="shared" si="0"/>
        <v>278</v>
      </c>
      <c r="O53" s="28">
        <f t="shared" si="1"/>
        <v>3.4684019857775396E-2</v>
      </c>
      <c r="P53" s="28">
        <f t="shared" si="2"/>
        <v>8.7427466150870409E-2</v>
      </c>
      <c r="Q53" s="26">
        <f t="shared" si="3"/>
        <v>1.1576866537717601</v>
      </c>
      <c r="R53" s="29">
        <f t="shared" si="4"/>
        <v>13.241681415929204</v>
      </c>
      <c r="S53" s="30">
        <f t="shared" si="5"/>
        <v>1</v>
      </c>
      <c r="T53" s="30">
        <f t="shared" si="6"/>
        <v>2023</v>
      </c>
      <c r="U53" s="29" t="str">
        <f t="shared" si="7"/>
        <v>January</v>
      </c>
    </row>
    <row r="54" spans="1:21" ht="17.399999999999999" x14ac:dyDescent="0.3">
      <c r="A54" s="21" t="s">
        <v>3036</v>
      </c>
      <c r="B54" s="22" t="s">
        <v>3560</v>
      </c>
      <c r="C54" s="23" t="s">
        <v>3516</v>
      </c>
      <c r="D54" s="22" t="s">
        <v>3545</v>
      </c>
      <c r="E54" s="24">
        <v>44936</v>
      </c>
      <c r="F54" s="24">
        <v>44940</v>
      </c>
      <c r="G54" s="22" t="s">
        <v>11</v>
      </c>
      <c r="H54" s="25">
        <v>34130</v>
      </c>
      <c r="I54" s="25">
        <v>1091</v>
      </c>
      <c r="J54" s="26">
        <v>1176.46</v>
      </c>
      <c r="K54" s="25">
        <v>99</v>
      </c>
      <c r="L54" s="21" t="s">
        <v>17</v>
      </c>
      <c r="M54" s="22" t="s">
        <v>11</v>
      </c>
      <c r="N54" s="27">
        <f t="shared" si="0"/>
        <v>4</v>
      </c>
      <c r="O54" s="28">
        <f t="shared" si="1"/>
        <v>3.1966012305889246E-2</v>
      </c>
      <c r="P54" s="28">
        <f t="shared" si="2"/>
        <v>9.0742438130155825E-2</v>
      </c>
      <c r="Q54" s="26">
        <f t="shared" si="3"/>
        <v>1.0783318056828597</v>
      </c>
      <c r="R54" s="29">
        <f t="shared" si="4"/>
        <v>11.883434343434343</v>
      </c>
      <c r="S54" s="30">
        <f t="shared" si="5"/>
        <v>1</v>
      </c>
      <c r="T54" s="30">
        <f t="shared" si="6"/>
        <v>2023</v>
      </c>
      <c r="U54" s="29" t="str">
        <f t="shared" si="7"/>
        <v>January</v>
      </c>
    </row>
    <row r="55" spans="1:21" ht="17.399999999999999" x14ac:dyDescent="0.3">
      <c r="A55" s="21" t="s">
        <v>701</v>
      </c>
      <c r="B55" s="22" t="s">
        <v>3561</v>
      </c>
      <c r="C55" s="23" t="s">
        <v>3516</v>
      </c>
      <c r="D55" s="22" t="s">
        <v>3545</v>
      </c>
      <c r="E55" s="24">
        <v>44937</v>
      </c>
      <c r="F55" s="24">
        <v>44944</v>
      </c>
      <c r="G55" s="22" t="s">
        <v>14</v>
      </c>
      <c r="H55" s="25">
        <v>36777</v>
      </c>
      <c r="I55" s="25">
        <v>1080</v>
      </c>
      <c r="J55" s="26">
        <v>1827.06</v>
      </c>
      <c r="K55" s="25">
        <v>138</v>
      </c>
      <c r="L55" s="21" t="s">
        <v>17</v>
      </c>
      <c r="M55" s="22" t="s">
        <v>3537</v>
      </c>
      <c r="N55" s="27">
        <f t="shared" si="0"/>
        <v>7</v>
      </c>
      <c r="O55" s="28">
        <f t="shared" si="1"/>
        <v>2.9366179949424913E-2</v>
      </c>
      <c r="P55" s="28">
        <f t="shared" si="2"/>
        <v>0.12777777777777777</v>
      </c>
      <c r="Q55" s="26">
        <f t="shared" si="3"/>
        <v>1.6917222222222221</v>
      </c>
      <c r="R55" s="29">
        <f t="shared" si="4"/>
        <v>13.239565217391304</v>
      </c>
      <c r="S55" s="30">
        <f t="shared" si="5"/>
        <v>1</v>
      </c>
      <c r="T55" s="30">
        <f t="shared" si="6"/>
        <v>2023</v>
      </c>
      <c r="U55" s="29" t="str">
        <f t="shared" si="7"/>
        <v>January</v>
      </c>
    </row>
    <row r="56" spans="1:21" ht="17.399999999999999" x14ac:dyDescent="0.3">
      <c r="A56" s="21" t="s">
        <v>2294</v>
      </c>
      <c r="B56" s="22" t="s">
        <v>3562</v>
      </c>
      <c r="C56" s="23" t="s">
        <v>3516</v>
      </c>
      <c r="D56" s="22" t="s">
        <v>3545</v>
      </c>
      <c r="E56" s="24">
        <v>44937</v>
      </c>
      <c r="F56" s="24">
        <v>44967</v>
      </c>
      <c r="G56" s="22" t="s">
        <v>14</v>
      </c>
      <c r="H56" s="25">
        <v>39000</v>
      </c>
      <c r="I56" s="25">
        <v>978</v>
      </c>
      <c r="J56" s="26">
        <v>632.04</v>
      </c>
      <c r="K56" s="25">
        <v>0</v>
      </c>
      <c r="L56" s="21" t="s">
        <v>21</v>
      </c>
      <c r="M56" s="22" t="s">
        <v>3537</v>
      </c>
      <c r="N56" s="27">
        <f t="shared" si="0"/>
        <v>30</v>
      </c>
      <c r="O56" s="28">
        <f t="shared" si="1"/>
        <v>2.5076923076923077E-2</v>
      </c>
      <c r="P56" s="28">
        <f t="shared" si="2"/>
        <v>0</v>
      </c>
      <c r="Q56" s="26">
        <f t="shared" si="3"/>
        <v>0.64625766871165635</v>
      </c>
      <c r="R56" s="29" t="str">
        <f t="shared" si="4"/>
        <v>0</v>
      </c>
      <c r="S56" s="30">
        <f t="shared" si="5"/>
        <v>1</v>
      </c>
      <c r="T56" s="30">
        <f t="shared" si="6"/>
        <v>2023</v>
      </c>
      <c r="U56" s="29" t="str">
        <f t="shared" si="7"/>
        <v>January</v>
      </c>
    </row>
    <row r="57" spans="1:21" ht="17.399999999999999" x14ac:dyDescent="0.3">
      <c r="A57" s="21" t="s">
        <v>1925</v>
      </c>
      <c r="B57" s="21" t="s">
        <v>1926</v>
      </c>
      <c r="C57" s="23" t="s">
        <v>3516</v>
      </c>
      <c r="D57" s="21" t="s">
        <v>3517</v>
      </c>
      <c r="E57" s="24">
        <v>44937</v>
      </c>
      <c r="F57" s="24">
        <v>44942</v>
      </c>
      <c r="G57" s="22" t="s">
        <v>24</v>
      </c>
      <c r="H57" s="25">
        <v>37159</v>
      </c>
      <c r="I57" s="25">
        <v>711</v>
      </c>
      <c r="J57" s="26">
        <v>414.6</v>
      </c>
      <c r="K57" s="25">
        <v>55</v>
      </c>
      <c r="L57" s="21" t="s">
        <v>21</v>
      </c>
      <c r="M57" s="22" t="s">
        <v>3536</v>
      </c>
      <c r="N57" s="27">
        <f t="shared" si="0"/>
        <v>5</v>
      </c>
      <c r="O57" s="28">
        <f t="shared" si="1"/>
        <v>1.9133991765117469E-2</v>
      </c>
      <c r="P57" s="28">
        <f t="shared" si="2"/>
        <v>7.7355836849507739E-2</v>
      </c>
      <c r="Q57" s="26">
        <f t="shared" si="3"/>
        <v>0.58312236286919839</v>
      </c>
      <c r="R57" s="29">
        <f t="shared" si="4"/>
        <v>7.538181818181819</v>
      </c>
      <c r="S57" s="30">
        <f t="shared" si="5"/>
        <v>1</v>
      </c>
      <c r="T57" s="30">
        <f t="shared" si="6"/>
        <v>2023</v>
      </c>
      <c r="U57" s="29" t="str">
        <f t="shared" si="7"/>
        <v>January</v>
      </c>
    </row>
    <row r="58" spans="1:21" ht="17.399999999999999" x14ac:dyDescent="0.3">
      <c r="A58" s="21" t="s">
        <v>437</v>
      </c>
      <c r="B58" s="21" t="s">
        <v>438</v>
      </c>
      <c r="C58" s="23" t="s">
        <v>3515</v>
      </c>
      <c r="D58" s="21" t="s">
        <v>3521</v>
      </c>
      <c r="E58" s="24">
        <v>44937</v>
      </c>
      <c r="F58" s="24">
        <v>45200</v>
      </c>
      <c r="G58" s="22" t="s">
        <v>24</v>
      </c>
      <c r="H58" s="25">
        <v>94384</v>
      </c>
      <c r="I58" s="25">
        <v>2544</v>
      </c>
      <c r="J58" s="26">
        <v>2032.32</v>
      </c>
      <c r="K58" s="25">
        <v>259</v>
      </c>
      <c r="L58" s="21" t="s">
        <v>21</v>
      </c>
      <c r="M58" s="22" t="s">
        <v>3536</v>
      </c>
      <c r="N58" s="27">
        <f t="shared" si="0"/>
        <v>263</v>
      </c>
      <c r="O58" s="28">
        <f t="shared" si="1"/>
        <v>2.6953720969655873E-2</v>
      </c>
      <c r="P58" s="28">
        <f t="shared" si="2"/>
        <v>0.10180817610062894</v>
      </c>
      <c r="Q58" s="26">
        <f t="shared" si="3"/>
        <v>0.79886792452830191</v>
      </c>
      <c r="R58" s="29">
        <f t="shared" si="4"/>
        <v>7.8467953667953667</v>
      </c>
      <c r="S58" s="30">
        <f t="shared" si="5"/>
        <v>1</v>
      </c>
      <c r="T58" s="30">
        <f t="shared" si="6"/>
        <v>2023</v>
      </c>
      <c r="U58" s="29" t="str">
        <f t="shared" si="7"/>
        <v>January</v>
      </c>
    </row>
    <row r="59" spans="1:21" ht="17.399999999999999" x14ac:dyDescent="0.3">
      <c r="A59" s="21" t="s">
        <v>2901</v>
      </c>
      <c r="B59" s="21" t="s">
        <v>2902</v>
      </c>
      <c r="C59" s="23" t="s">
        <v>3518</v>
      </c>
      <c r="D59" s="21" t="s">
        <v>3517</v>
      </c>
      <c r="E59" s="24">
        <v>44938</v>
      </c>
      <c r="F59" s="24">
        <v>44955</v>
      </c>
      <c r="G59" s="22" t="s">
        <v>24</v>
      </c>
      <c r="H59" s="25">
        <v>28376</v>
      </c>
      <c r="I59" s="25">
        <v>301</v>
      </c>
      <c r="J59" s="26">
        <v>457.82</v>
      </c>
      <c r="K59" s="25">
        <v>28</v>
      </c>
      <c r="L59" s="21" t="s">
        <v>21</v>
      </c>
      <c r="M59" s="22" t="s">
        <v>3536</v>
      </c>
      <c r="N59" s="27">
        <f t="shared" si="0"/>
        <v>17</v>
      </c>
      <c r="O59" s="28">
        <f t="shared" si="1"/>
        <v>1.0607555680857063E-2</v>
      </c>
      <c r="P59" s="28">
        <f t="shared" si="2"/>
        <v>9.3023255813953487E-2</v>
      </c>
      <c r="Q59" s="26">
        <f t="shared" si="3"/>
        <v>1.5209966777408637</v>
      </c>
      <c r="R59" s="29">
        <f t="shared" si="4"/>
        <v>16.350714285714286</v>
      </c>
      <c r="S59" s="30">
        <f t="shared" si="5"/>
        <v>1</v>
      </c>
      <c r="T59" s="30">
        <f t="shared" si="6"/>
        <v>2023</v>
      </c>
      <c r="U59" s="29" t="str">
        <f t="shared" si="7"/>
        <v>January</v>
      </c>
    </row>
    <row r="60" spans="1:21" ht="17.399999999999999" x14ac:dyDescent="0.3">
      <c r="A60" s="21" t="s">
        <v>2286</v>
      </c>
      <c r="B60" s="21" t="s">
        <v>2287</v>
      </c>
      <c r="C60" s="23" t="s">
        <v>3516</v>
      </c>
      <c r="D60" s="21" t="s">
        <v>3520</v>
      </c>
      <c r="E60" s="24">
        <v>44938</v>
      </c>
      <c r="F60" s="24">
        <v>44946</v>
      </c>
      <c r="G60" s="22" t="s">
        <v>24</v>
      </c>
      <c r="H60" s="25">
        <v>65077</v>
      </c>
      <c r="I60" s="25">
        <v>2906</v>
      </c>
      <c r="J60" s="26">
        <v>5490.33</v>
      </c>
      <c r="K60" s="25">
        <v>232</v>
      </c>
      <c r="L60" s="21" t="s">
        <v>21</v>
      </c>
      <c r="M60" s="22" t="s">
        <v>3536</v>
      </c>
      <c r="N60" s="27">
        <f t="shared" si="0"/>
        <v>8</v>
      </c>
      <c r="O60" s="28">
        <f t="shared" si="1"/>
        <v>4.4654793552253484E-2</v>
      </c>
      <c r="P60" s="28">
        <f t="shared" si="2"/>
        <v>7.9834824501032353E-2</v>
      </c>
      <c r="Q60" s="26">
        <f t="shared" si="3"/>
        <v>1.8893083275980729</v>
      </c>
      <c r="R60" s="29">
        <f t="shared" si="4"/>
        <v>23.665215517241379</v>
      </c>
      <c r="S60" s="30">
        <f t="shared" si="5"/>
        <v>1</v>
      </c>
      <c r="T60" s="30">
        <f t="shared" si="6"/>
        <v>2023</v>
      </c>
      <c r="U60" s="29" t="str">
        <f t="shared" si="7"/>
        <v>January</v>
      </c>
    </row>
    <row r="61" spans="1:21" ht="17.399999999999999" x14ac:dyDescent="0.3">
      <c r="A61" s="21" t="s">
        <v>664</v>
      </c>
      <c r="B61" s="21" t="s">
        <v>665</v>
      </c>
      <c r="C61" s="23" t="s">
        <v>3519</v>
      </c>
      <c r="D61" s="21" t="s">
        <v>3520</v>
      </c>
      <c r="E61" s="24">
        <v>44939</v>
      </c>
      <c r="F61" s="24">
        <v>44946</v>
      </c>
      <c r="G61" s="22" t="s">
        <v>31</v>
      </c>
      <c r="H61" s="25">
        <v>46236</v>
      </c>
      <c r="I61" s="25">
        <v>1346</v>
      </c>
      <c r="J61" s="26">
        <v>1343.72</v>
      </c>
      <c r="K61" s="25">
        <v>251</v>
      </c>
      <c r="L61" s="21" t="s">
        <v>21</v>
      </c>
      <c r="M61" s="22" t="s">
        <v>31</v>
      </c>
      <c r="N61" s="27">
        <f t="shared" si="0"/>
        <v>7</v>
      </c>
      <c r="O61" s="28">
        <f t="shared" si="1"/>
        <v>2.9111514836923608E-2</v>
      </c>
      <c r="P61" s="28">
        <f t="shared" si="2"/>
        <v>0.18647845468053492</v>
      </c>
      <c r="Q61" s="26">
        <f t="shared" si="3"/>
        <v>0.99830609212481425</v>
      </c>
      <c r="R61" s="29">
        <f t="shared" si="4"/>
        <v>5.3534661354581674</v>
      </c>
      <c r="S61" s="30">
        <f t="shared" si="5"/>
        <v>1</v>
      </c>
      <c r="T61" s="30">
        <f t="shared" si="6"/>
        <v>2023</v>
      </c>
      <c r="U61" s="29" t="str">
        <f t="shared" si="7"/>
        <v>January</v>
      </c>
    </row>
    <row r="62" spans="1:21" ht="17.399999999999999" x14ac:dyDescent="0.3">
      <c r="A62" s="21" t="s">
        <v>3419</v>
      </c>
      <c r="B62" s="21" t="s">
        <v>3420</v>
      </c>
      <c r="C62" s="23" t="s">
        <v>3518</v>
      </c>
      <c r="D62" s="21" t="s">
        <v>3521</v>
      </c>
      <c r="E62" s="24">
        <v>44939</v>
      </c>
      <c r="F62" s="24">
        <v>44962</v>
      </c>
      <c r="G62" s="22" t="s">
        <v>14</v>
      </c>
      <c r="H62" s="25">
        <v>10078</v>
      </c>
      <c r="I62" s="25">
        <v>215</v>
      </c>
      <c r="J62" s="26">
        <v>372.13</v>
      </c>
      <c r="K62" s="25">
        <v>42</v>
      </c>
      <c r="L62" s="21" t="s">
        <v>21</v>
      </c>
      <c r="M62" s="22" t="s">
        <v>3537</v>
      </c>
      <c r="N62" s="27">
        <f t="shared" si="0"/>
        <v>23</v>
      </c>
      <c r="O62" s="28">
        <f t="shared" si="1"/>
        <v>2.1333597936098431E-2</v>
      </c>
      <c r="P62" s="28">
        <f t="shared" si="2"/>
        <v>0.19534883720930232</v>
      </c>
      <c r="Q62" s="26">
        <f t="shared" si="3"/>
        <v>1.7308372093023257</v>
      </c>
      <c r="R62" s="29">
        <f t="shared" si="4"/>
        <v>8.8602380952380955</v>
      </c>
      <c r="S62" s="30">
        <f t="shared" si="5"/>
        <v>1</v>
      </c>
      <c r="T62" s="30">
        <f t="shared" si="6"/>
        <v>2023</v>
      </c>
      <c r="U62" s="29" t="str">
        <f t="shared" si="7"/>
        <v>January</v>
      </c>
    </row>
    <row r="63" spans="1:21" ht="17.399999999999999" x14ac:dyDescent="0.3">
      <c r="A63" s="21" t="s">
        <v>1883</v>
      </c>
      <c r="B63" s="21" t="s">
        <v>1884</v>
      </c>
      <c r="C63" s="23" t="s">
        <v>3516</v>
      </c>
      <c r="D63" s="21" t="s">
        <v>3517</v>
      </c>
      <c r="E63" s="24">
        <v>44939</v>
      </c>
      <c r="F63" s="24">
        <v>44956</v>
      </c>
      <c r="G63" s="22" t="s">
        <v>14</v>
      </c>
      <c r="H63" s="25">
        <v>6287</v>
      </c>
      <c r="I63" s="25">
        <v>69</v>
      </c>
      <c r="J63" s="26">
        <v>129.47</v>
      </c>
      <c r="K63" s="25">
        <v>6</v>
      </c>
      <c r="L63" s="21" t="s">
        <v>21</v>
      </c>
      <c r="M63" s="22" t="s">
        <v>3537</v>
      </c>
      <c r="N63" s="27">
        <f t="shared" si="0"/>
        <v>17</v>
      </c>
      <c r="O63" s="28">
        <f t="shared" si="1"/>
        <v>1.0975027835215524E-2</v>
      </c>
      <c r="P63" s="28">
        <f t="shared" si="2"/>
        <v>8.6956521739130432E-2</v>
      </c>
      <c r="Q63" s="26">
        <f t="shared" si="3"/>
        <v>1.8763768115942028</v>
      </c>
      <c r="R63" s="29">
        <f t="shared" si="4"/>
        <v>21.578333333333333</v>
      </c>
      <c r="S63" s="30">
        <f t="shared" si="5"/>
        <v>1</v>
      </c>
      <c r="T63" s="30">
        <f t="shared" si="6"/>
        <v>2023</v>
      </c>
      <c r="U63" s="29" t="str">
        <f t="shared" si="7"/>
        <v>January</v>
      </c>
    </row>
    <row r="64" spans="1:21" ht="17.399999999999999" x14ac:dyDescent="0.3">
      <c r="A64" s="21" t="s">
        <v>3368</v>
      </c>
      <c r="B64" s="21" t="s">
        <v>3369</v>
      </c>
      <c r="C64" s="23" t="s">
        <v>3516</v>
      </c>
      <c r="D64" s="21" t="s">
        <v>3521</v>
      </c>
      <c r="E64" s="24">
        <v>44939</v>
      </c>
      <c r="F64" s="24">
        <v>44942</v>
      </c>
      <c r="G64" s="22" t="s">
        <v>14</v>
      </c>
      <c r="H64" s="25">
        <v>39559</v>
      </c>
      <c r="I64" s="25">
        <v>1891</v>
      </c>
      <c r="J64" s="26">
        <v>2294.15</v>
      </c>
      <c r="K64" s="25">
        <v>219</v>
      </c>
      <c r="L64" s="21" t="s">
        <v>21</v>
      </c>
      <c r="M64" s="22" t="s">
        <v>3537</v>
      </c>
      <c r="N64" s="27">
        <f t="shared" si="0"/>
        <v>3</v>
      </c>
      <c r="O64" s="28">
        <f t="shared" si="1"/>
        <v>4.7802017240071791E-2</v>
      </c>
      <c r="P64" s="28">
        <f t="shared" si="2"/>
        <v>0.11581173982020095</v>
      </c>
      <c r="Q64" s="26">
        <f t="shared" si="3"/>
        <v>1.2131940772078267</v>
      </c>
      <c r="R64" s="29">
        <f t="shared" si="4"/>
        <v>10.475570776255708</v>
      </c>
      <c r="S64" s="30">
        <f t="shared" si="5"/>
        <v>1</v>
      </c>
      <c r="T64" s="30">
        <f t="shared" si="6"/>
        <v>2023</v>
      </c>
      <c r="U64" s="29" t="str">
        <f t="shared" si="7"/>
        <v>January</v>
      </c>
    </row>
    <row r="65" spans="1:21" ht="17.399999999999999" x14ac:dyDescent="0.3">
      <c r="A65" s="21" t="s">
        <v>1609</v>
      </c>
      <c r="B65" s="21" t="s">
        <v>1610</v>
      </c>
      <c r="C65" s="23" t="s">
        <v>3515</v>
      </c>
      <c r="D65" s="21" t="s">
        <v>3520</v>
      </c>
      <c r="E65" s="24">
        <v>44939</v>
      </c>
      <c r="F65" s="24">
        <v>44956</v>
      </c>
      <c r="G65" s="22" t="s">
        <v>31</v>
      </c>
      <c r="H65" s="25">
        <v>70724</v>
      </c>
      <c r="I65" s="25">
        <v>889</v>
      </c>
      <c r="J65" s="26">
        <v>894.29</v>
      </c>
      <c r="K65" s="25">
        <v>44</v>
      </c>
      <c r="L65" s="21" t="s">
        <v>21</v>
      </c>
      <c r="M65" s="22" t="s">
        <v>31</v>
      </c>
      <c r="N65" s="27">
        <f t="shared" si="0"/>
        <v>17</v>
      </c>
      <c r="O65" s="28">
        <f t="shared" si="1"/>
        <v>1.256999038515921E-2</v>
      </c>
      <c r="P65" s="28">
        <f t="shared" si="2"/>
        <v>4.9493813273340834E-2</v>
      </c>
      <c r="Q65" s="26">
        <f t="shared" si="3"/>
        <v>1.0059505061867267</v>
      </c>
      <c r="R65" s="29">
        <f t="shared" si="4"/>
        <v>20.324772727272727</v>
      </c>
      <c r="S65" s="30">
        <f t="shared" si="5"/>
        <v>1</v>
      </c>
      <c r="T65" s="30">
        <f t="shared" si="6"/>
        <v>2023</v>
      </c>
      <c r="U65" s="29" t="str">
        <f t="shared" si="7"/>
        <v>January</v>
      </c>
    </row>
    <row r="66" spans="1:21" ht="17.399999999999999" x14ac:dyDescent="0.3">
      <c r="A66" s="21" t="s">
        <v>3284</v>
      </c>
      <c r="B66" s="21" t="s">
        <v>3285</v>
      </c>
      <c r="C66" s="23" t="s">
        <v>3515</v>
      </c>
      <c r="D66" s="21" t="s">
        <v>3517</v>
      </c>
      <c r="E66" s="24">
        <v>44939</v>
      </c>
      <c r="F66" s="24">
        <v>44964</v>
      </c>
      <c r="G66" s="22" t="s">
        <v>14</v>
      </c>
      <c r="H66" s="25">
        <v>83879</v>
      </c>
      <c r="I66" s="25">
        <v>3504</v>
      </c>
      <c r="J66" s="26">
        <v>3532.8</v>
      </c>
      <c r="K66" s="25">
        <v>656</v>
      </c>
      <c r="L66" s="21" t="s">
        <v>17</v>
      </c>
      <c r="M66" s="22" t="s">
        <v>3537</v>
      </c>
      <c r="N66" s="27">
        <f t="shared" ref="N66:N129" si="8">F66-E66</f>
        <v>25</v>
      </c>
      <c r="O66" s="28">
        <f t="shared" ref="O66:O129" si="9">I66/H66</f>
        <v>4.1774460830482002E-2</v>
      </c>
      <c r="P66" s="28">
        <f t="shared" ref="P66:P129" si="10">K66/I66</f>
        <v>0.18721461187214611</v>
      </c>
      <c r="Q66" s="26">
        <f t="shared" ref="Q66:Q129" si="11">J66/I66</f>
        <v>1.0082191780821919</v>
      </c>
      <c r="R66" s="29">
        <f t="shared" ref="R66:R129" si="12">IFERROR(J66/K66,"0")</f>
        <v>5.3853658536585369</v>
      </c>
      <c r="S66" s="30">
        <f t="shared" ref="S66:S129" si="13">MONTH(E66)</f>
        <v>1</v>
      </c>
      <c r="T66" s="30">
        <f t="shared" ref="T66:T129" si="14">YEAR(E66)</f>
        <v>2023</v>
      </c>
      <c r="U66" s="29" t="str">
        <f t="shared" ref="U66:U129" si="15">TEXT(E66,"mmmm")</f>
        <v>January</v>
      </c>
    </row>
    <row r="67" spans="1:21" ht="17.399999999999999" x14ac:dyDescent="0.3">
      <c r="A67" s="21" t="s">
        <v>3119</v>
      </c>
      <c r="B67" s="22" t="s">
        <v>3563</v>
      </c>
      <c r="C67" s="23" t="s">
        <v>3516</v>
      </c>
      <c r="D67" s="22" t="s">
        <v>3545</v>
      </c>
      <c r="E67" s="24">
        <v>44939</v>
      </c>
      <c r="F67" s="24">
        <v>45231</v>
      </c>
      <c r="G67" s="22" t="s">
        <v>31</v>
      </c>
      <c r="H67" s="25">
        <v>14281</v>
      </c>
      <c r="I67" s="25">
        <v>634</v>
      </c>
      <c r="J67" s="26">
        <v>650.04</v>
      </c>
      <c r="K67" s="25">
        <v>49</v>
      </c>
      <c r="L67" s="21" t="s">
        <v>21</v>
      </c>
      <c r="M67" s="22" t="s">
        <v>31</v>
      </c>
      <c r="N67" s="27">
        <f t="shared" si="8"/>
        <v>292</v>
      </c>
      <c r="O67" s="28">
        <f t="shared" si="9"/>
        <v>4.4394650234577414E-2</v>
      </c>
      <c r="P67" s="28">
        <f t="shared" si="10"/>
        <v>7.7287066246056788E-2</v>
      </c>
      <c r="Q67" s="26">
        <f t="shared" si="11"/>
        <v>1.0252996845425868</v>
      </c>
      <c r="R67" s="29">
        <f t="shared" si="12"/>
        <v>13.266122448979591</v>
      </c>
      <c r="S67" s="30">
        <f t="shared" si="13"/>
        <v>1</v>
      </c>
      <c r="T67" s="30">
        <f t="shared" si="14"/>
        <v>2023</v>
      </c>
      <c r="U67" s="29" t="str">
        <f t="shared" si="15"/>
        <v>January</v>
      </c>
    </row>
    <row r="68" spans="1:21" ht="17.399999999999999" x14ac:dyDescent="0.3">
      <c r="A68" s="21" t="s">
        <v>1788</v>
      </c>
      <c r="B68" s="21" t="s">
        <v>1789</v>
      </c>
      <c r="C68" s="23" t="s">
        <v>3519</v>
      </c>
      <c r="D68" s="21" t="s">
        <v>3517</v>
      </c>
      <c r="E68" s="24">
        <v>44940</v>
      </c>
      <c r="F68" s="24">
        <v>44952</v>
      </c>
      <c r="G68" s="22" t="s">
        <v>31</v>
      </c>
      <c r="H68" s="25">
        <v>28139</v>
      </c>
      <c r="I68" s="25">
        <v>1030</v>
      </c>
      <c r="J68" s="26">
        <v>694.93</v>
      </c>
      <c r="K68" s="25">
        <v>66</v>
      </c>
      <c r="L68" s="21" t="s">
        <v>21</v>
      </c>
      <c r="M68" s="22" t="s">
        <v>31</v>
      </c>
      <c r="N68" s="27">
        <f t="shared" si="8"/>
        <v>12</v>
      </c>
      <c r="O68" s="28">
        <f t="shared" si="9"/>
        <v>3.6604001563666083E-2</v>
      </c>
      <c r="P68" s="28">
        <f t="shared" si="10"/>
        <v>6.4077669902912623E-2</v>
      </c>
      <c r="Q68" s="26">
        <f t="shared" si="11"/>
        <v>0.6746893203883495</v>
      </c>
      <c r="R68" s="29">
        <f t="shared" si="12"/>
        <v>10.529242424242424</v>
      </c>
      <c r="S68" s="30">
        <f t="shared" si="13"/>
        <v>1</v>
      </c>
      <c r="T68" s="30">
        <f t="shared" si="14"/>
        <v>2023</v>
      </c>
      <c r="U68" s="29" t="str">
        <f t="shared" si="15"/>
        <v>January</v>
      </c>
    </row>
    <row r="69" spans="1:21" ht="17.399999999999999" x14ac:dyDescent="0.3">
      <c r="A69" s="21" t="s">
        <v>953</v>
      </c>
      <c r="B69" s="21" t="s">
        <v>954</v>
      </c>
      <c r="C69" s="23" t="s">
        <v>3515</v>
      </c>
      <c r="D69" s="21" t="s">
        <v>3521</v>
      </c>
      <c r="E69" s="24">
        <v>44940</v>
      </c>
      <c r="F69" s="24">
        <v>44942</v>
      </c>
      <c r="G69" s="22" t="s">
        <v>16</v>
      </c>
      <c r="H69" s="25">
        <v>95704</v>
      </c>
      <c r="I69" s="25">
        <v>1803</v>
      </c>
      <c r="J69" s="26">
        <v>1527.54</v>
      </c>
      <c r="K69" s="25">
        <v>276</v>
      </c>
      <c r="L69" s="21" t="s">
        <v>17</v>
      </c>
      <c r="M69" s="22" t="s">
        <v>16</v>
      </c>
      <c r="N69" s="27">
        <f t="shared" si="8"/>
        <v>2</v>
      </c>
      <c r="O69" s="28">
        <f t="shared" si="9"/>
        <v>1.8839337958706012E-2</v>
      </c>
      <c r="P69" s="28">
        <f t="shared" si="10"/>
        <v>0.15307820299500832</v>
      </c>
      <c r="Q69" s="26">
        <f t="shared" si="11"/>
        <v>0.84722129783693845</v>
      </c>
      <c r="R69" s="29">
        <f t="shared" si="12"/>
        <v>5.5345652173913038</v>
      </c>
      <c r="S69" s="30">
        <f t="shared" si="13"/>
        <v>1</v>
      </c>
      <c r="T69" s="30">
        <f t="shared" si="14"/>
        <v>2023</v>
      </c>
      <c r="U69" s="29" t="str">
        <f t="shared" si="15"/>
        <v>January</v>
      </c>
    </row>
    <row r="70" spans="1:21" ht="17.399999999999999" x14ac:dyDescent="0.3">
      <c r="A70" s="21" t="s">
        <v>528</v>
      </c>
      <c r="B70" s="21" t="s">
        <v>529</v>
      </c>
      <c r="C70" s="23" t="s">
        <v>3519</v>
      </c>
      <c r="D70" s="21" t="s">
        <v>3520</v>
      </c>
      <c r="E70" s="24">
        <v>44941</v>
      </c>
      <c r="F70" s="24">
        <v>44944</v>
      </c>
      <c r="G70" s="22" t="s">
        <v>24</v>
      </c>
      <c r="H70" s="25">
        <v>7295</v>
      </c>
      <c r="I70" s="25">
        <v>170</v>
      </c>
      <c r="J70" s="26">
        <v>91.44</v>
      </c>
      <c r="K70" s="25">
        <v>14</v>
      </c>
      <c r="L70" s="21" t="s">
        <v>21</v>
      </c>
      <c r="M70" s="22" t="s">
        <v>3536</v>
      </c>
      <c r="N70" s="27">
        <f t="shared" si="8"/>
        <v>3</v>
      </c>
      <c r="O70" s="28">
        <f t="shared" si="9"/>
        <v>2.3303632625085675E-2</v>
      </c>
      <c r="P70" s="28">
        <f t="shared" si="10"/>
        <v>8.2352941176470587E-2</v>
      </c>
      <c r="Q70" s="26">
        <f t="shared" si="11"/>
        <v>0.53788235294117648</v>
      </c>
      <c r="R70" s="29">
        <f t="shared" si="12"/>
        <v>6.5314285714285711</v>
      </c>
      <c r="S70" s="30">
        <f t="shared" si="13"/>
        <v>1</v>
      </c>
      <c r="T70" s="30">
        <f t="shared" si="14"/>
        <v>2023</v>
      </c>
      <c r="U70" s="29" t="str">
        <f t="shared" si="15"/>
        <v>January</v>
      </c>
    </row>
    <row r="71" spans="1:21" ht="17.399999999999999" x14ac:dyDescent="0.3">
      <c r="A71" s="21" t="s">
        <v>250</v>
      </c>
      <c r="B71" s="22" t="s">
        <v>3564</v>
      </c>
      <c r="C71" s="23" t="s">
        <v>3518</v>
      </c>
      <c r="D71" s="22" t="s">
        <v>3545</v>
      </c>
      <c r="E71" s="24">
        <v>44941</v>
      </c>
      <c r="F71" s="24">
        <v>44961</v>
      </c>
      <c r="G71" s="22" t="s">
        <v>31</v>
      </c>
      <c r="H71" s="25">
        <v>53992</v>
      </c>
      <c r="I71" s="25">
        <v>883</v>
      </c>
      <c r="J71" s="26">
        <v>989.61</v>
      </c>
      <c r="K71" s="25">
        <v>91</v>
      </c>
      <c r="L71" s="21" t="s">
        <v>21</v>
      </c>
      <c r="M71" s="22" t="s">
        <v>31</v>
      </c>
      <c r="N71" s="27">
        <f t="shared" si="8"/>
        <v>20</v>
      </c>
      <c r="O71" s="28">
        <f t="shared" si="9"/>
        <v>1.6354274707364055E-2</v>
      </c>
      <c r="P71" s="28">
        <f t="shared" si="10"/>
        <v>0.10305775764439411</v>
      </c>
      <c r="Q71" s="26">
        <f t="shared" si="11"/>
        <v>1.1207361268403171</v>
      </c>
      <c r="R71" s="29">
        <f t="shared" si="12"/>
        <v>10.874835164835165</v>
      </c>
      <c r="S71" s="30">
        <f t="shared" si="13"/>
        <v>1</v>
      </c>
      <c r="T71" s="30">
        <f t="shared" si="14"/>
        <v>2023</v>
      </c>
      <c r="U71" s="29" t="str">
        <f t="shared" si="15"/>
        <v>January</v>
      </c>
    </row>
    <row r="72" spans="1:21" ht="17.399999999999999" x14ac:dyDescent="0.3">
      <c r="A72" s="21" t="s">
        <v>2178</v>
      </c>
      <c r="B72" s="21" t="s">
        <v>2179</v>
      </c>
      <c r="C72" s="23" t="s">
        <v>3518</v>
      </c>
      <c r="D72" s="21" t="s">
        <v>3521</v>
      </c>
      <c r="E72" s="24">
        <v>44941</v>
      </c>
      <c r="F72" s="24">
        <v>44971</v>
      </c>
      <c r="G72" s="22" t="s">
        <v>14</v>
      </c>
      <c r="H72" s="25">
        <v>98945</v>
      </c>
      <c r="I72" s="25">
        <v>3687</v>
      </c>
      <c r="J72" s="26">
        <v>6356.83</v>
      </c>
      <c r="K72" s="25">
        <v>185</v>
      </c>
      <c r="L72" s="21" t="s">
        <v>21</v>
      </c>
      <c r="M72" s="22" t="s">
        <v>3537</v>
      </c>
      <c r="N72" s="27">
        <f t="shared" si="8"/>
        <v>30</v>
      </c>
      <c r="O72" s="28">
        <f t="shared" si="9"/>
        <v>3.7263125979079284E-2</v>
      </c>
      <c r="P72" s="28">
        <f t="shared" si="10"/>
        <v>5.0176295090859781E-2</v>
      </c>
      <c r="Q72" s="26">
        <f t="shared" si="11"/>
        <v>1.7241198806617846</v>
      </c>
      <c r="R72" s="29">
        <f t="shared" si="12"/>
        <v>34.361243243243244</v>
      </c>
      <c r="S72" s="30">
        <f t="shared" si="13"/>
        <v>1</v>
      </c>
      <c r="T72" s="30">
        <f t="shared" si="14"/>
        <v>2023</v>
      </c>
      <c r="U72" s="29" t="str">
        <f t="shared" si="15"/>
        <v>January</v>
      </c>
    </row>
    <row r="73" spans="1:21" ht="17.399999999999999" x14ac:dyDescent="0.3">
      <c r="A73" s="21" t="s">
        <v>3452</v>
      </c>
      <c r="B73" s="22" t="s">
        <v>3565</v>
      </c>
      <c r="C73" s="23" t="s">
        <v>3516</v>
      </c>
      <c r="D73" s="22" t="s">
        <v>3545</v>
      </c>
      <c r="E73" s="24">
        <v>44941</v>
      </c>
      <c r="F73" s="24">
        <v>44954</v>
      </c>
      <c r="G73" s="22" t="s">
        <v>16</v>
      </c>
      <c r="H73" s="25">
        <v>47163</v>
      </c>
      <c r="I73" s="25">
        <v>2337</v>
      </c>
      <c r="J73" s="26">
        <v>2185.9899999999998</v>
      </c>
      <c r="K73" s="25">
        <v>0</v>
      </c>
      <c r="L73" s="21" t="s">
        <v>21</v>
      </c>
      <c r="M73" s="22" t="s">
        <v>16</v>
      </c>
      <c r="N73" s="27">
        <f t="shared" si="8"/>
        <v>13</v>
      </c>
      <c r="O73" s="28">
        <f t="shared" si="9"/>
        <v>4.9551555244577314E-2</v>
      </c>
      <c r="P73" s="28">
        <f t="shared" si="10"/>
        <v>0</v>
      </c>
      <c r="Q73" s="26">
        <f t="shared" si="11"/>
        <v>0.93538296961916978</v>
      </c>
      <c r="R73" s="29" t="str">
        <f t="shared" si="12"/>
        <v>0</v>
      </c>
      <c r="S73" s="30">
        <f t="shared" si="13"/>
        <v>1</v>
      </c>
      <c r="T73" s="30">
        <f t="shared" si="14"/>
        <v>2023</v>
      </c>
      <c r="U73" s="29" t="str">
        <f t="shared" si="15"/>
        <v>January</v>
      </c>
    </row>
    <row r="74" spans="1:21" ht="17.399999999999999" x14ac:dyDescent="0.3">
      <c r="A74" s="21" t="s">
        <v>364</v>
      </c>
      <c r="B74" s="21" t="s">
        <v>365</v>
      </c>
      <c r="C74" s="23" t="s">
        <v>3518</v>
      </c>
      <c r="D74" s="21" t="s">
        <v>3517</v>
      </c>
      <c r="E74" s="24">
        <v>44942</v>
      </c>
      <c r="F74" s="24">
        <v>44970</v>
      </c>
      <c r="G74" s="22" t="s">
        <v>31</v>
      </c>
      <c r="H74" s="25">
        <v>96839</v>
      </c>
      <c r="I74" s="25">
        <v>4569</v>
      </c>
      <c r="J74" s="26">
        <v>3422.33</v>
      </c>
      <c r="K74" s="25">
        <v>0</v>
      </c>
      <c r="L74" s="21" t="s">
        <v>17</v>
      </c>
      <c r="M74" s="22" t="s">
        <v>31</v>
      </c>
      <c r="N74" s="27">
        <f t="shared" si="8"/>
        <v>28</v>
      </c>
      <c r="O74" s="28">
        <f t="shared" si="9"/>
        <v>4.7181404186329885E-2</v>
      </c>
      <c r="P74" s="28">
        <f t="shared" si="10"/>
        <v>0</v>
      </c>
      <c r="Q74" s="26">
        <f t="shared" si="11"/>
        <v>0.74903261107463337</v>
      </c>
      <c r="R74" s="29" t="str">
        <f t="shared" si="12"/>
        <v>0</v>
      </c>
      <c r="S74" s="30">
        <f t="shared" si="13"/>
        <v>1</v>
      </c>
      <c r="T74" s="30">
        <f t="shared" si="14"/>
        <v>2023</v>
      </c>
      <c r="U74" s="29" t="str">
        <f t="shared" si="15"/>
        <v>January</v>
      </c>
    </row>
    <row r="75" spans="1:21" ht="17.399999999999999" x14ac:dyDescent="0.3">
      <c r="A75" s="21" t="s">
        <v>726</v>
      </c>
      <c r="B75" s="21" t="s">
        <v>727</v>
      </c>
      <c r="C75" s="23" t="s">
        <v>3518</v>
      </c>
      <c r="D75" s="21" t="s">
        <v>3521</v>
      </c>
      <c r="E75" s="24">
        <v>44942</v>
      </c>
      <c r="F75" s="24">
        <v>44949</v>
      </c>
      <c r="G75" s="22" t="s">
        <v>24</v>
      </c>
      <c r="H75" s="25">
        <v>89891</v>
      </c>
      <c r="I75" s="25">
        <v>1523</v>
      </c>
      <c r="J75" s="26">
        <v>1541.49</v>
      </c>
      <c r="K75" s="25">
        <v>113</v>
      </c>
      <c r="L75" s="21" t="s">
        <v>21</v>
      </c>
      <c r="M75" s="22" t="s">
        <v>3536</v>
      </c>
      <c r="N75" s="27">
        <f t="shared" si="8"/>
        <v>7</v>
      </c>
      <c r="O75" s="28">
        <f t="shared" si="9"/>
        <v>1.6942741765026532E-2</v>
      </c>
      <c r="P75" s="28">
        <f t="shared" si="10"/>
        <v>7.4195666447800387E-2</v>
      </c>
      <c r="Q75" s="26">
        <f t="shared" si="11"/>
        <v>1.0121405121470781</v>
      </c>
      <c r="R75" s="29">
        <f t="shared" si="12"/>
        <v>13.641504424778761</v>
      </c>
      <c r="S75" s="30">
        <f t="shared" si="13"/>
        <v>1</v>
      </c>
      <c r="T75" s="30">
        <f t="shared" si="14"/>
        <v>2023</v>
      </c>
      <c r="U75" s="29" t="str">
        <f t="shared" si="15"/>
        <v>January</v>
      </c>
    </row>
    <row r="76" spans="1:21" ht="17.399999999999999" x14ac:dyDescent="0.3">
      <c r="A76" s="21" t="s">
        <v>1842</v>
      </c>
      <c r="B76" s="22" t="s">
        <v>3566</v>
      </c>
      <c r="C76" s="23" t="s">
        <v>3518</v>
      </c>
      <c r="D76" s="22" t="s">
        <v>3545</v>
      </c>
      <c r="E76" s="24">
        <v>44942</v>
      </c>
      <c r="F76" s="24">
        <v>44956</v>
      </c>
      <c r="G76" s="22" t="s">
        <v>16</v>
      </c>
      <c r="H76" s="25">
        <v>43101</v>
      </c>
      <c r="I76" s="25">
        <v>1119</v>
      </c>
      <c r="J76" s="26">
        <v>1470.92</v>
      </c>
      <c r="K76" s="25">
        <v>99</v>
      </c>
      <c r="L76" s="21" t="s">
        <v>21</v>
      </c>
      <c r="M76" s="22" t="s">
        <v>16</v>
      </c>
      <c r="N76" s="27">
        <f t="shared" si="8"/>
        <v>14</v>
      </c>
      <c r="O76" s="28">
        <f t="shared" si="9"/>
        <v>2.5962274657200531E-2</v>
      </c>
      <c r="P76" s="28">
        <f t="shared" si="10"/>
        <v>8.8471849865951746E-2</v>
      </c>
      <c r="Q76" s="26">
        <f t="shared" si="11"/>
        <v>1.3144950848972297</v>
      </c>
      <c r="R76" s="29">
        <f t="shared" si="12"/>
        <v>14.857777777777779</v>
      </c>
      <c r="S76" s="30">
        <f t="shared" si="13"/>
        <v>1</v>
      </c>
      <c r="T76" s="30">
        <f t="shared" si="14"/>
        <v>2023</v>
      </c>
      <c r="U76" s="29" t="str">
        <f t="shared" si="15"/>
        <v>January</v>
      </c>
    </row>
    <row r="77" spans="1:21" ht="17.399999999999999" x14ac:dyDescent="0.3">
      <c r="A77" s="21" t="s">
        <v>3212</v>
      </c>
      <c r="B77" s="21" t="s">
        <v>3213</v>
      </c>
      <c r="C77" s="23" t="s">
        <v>3518</v>
      </c>
      <c r="D77" s="21" t="s">
        <v>3521</v>
      </c>
      <c r="E77" s="24">
        <v>44942</v>
      </c>
      <c r="F77" s="24">
        <v>44957</v>
      </c>
      <c r="G77" s="22" t="s">
        <v>3535</v>
      </c>
      <c r="H77" s="25">
        <v>61545</v>
      </c>
      <c r="I77" s="25">
        <v>1647</v>
      </c>
      <c r="J77" s="26">
        <v>1745</v>
      </c>
      <c r="K77" s="25">
        <v>262</v>
      </c>
      <c r="L77" s="21" t="s">
        <v>21</v>
      </c>
      <c r="M77" s="22" t="s">
        <v>3535</v>
      </c>
      <c r="N77" s="27">
        <f t="shared" si="8"/>
        <v>15</v>
      </c>
      <c r="O77" s="28">
        <f t="shared" si="9"/>
        <v>2.6760906653668048E-2</v>
      </c>
      <c r="P77" s="28">
        <f t="shared" si="10"/>
        <v>0.15907710989678203</v>
      </c>
      <c r="Q77" s="26">
        <f t="shared" si="11"/>
        <v>1.0595021250758956</v>
      </c>
      <c r="R77" s="29">
        <f t="shared" si="12"/>
        <v>6.6603053435114505</v>
      </c>
      <c r="S77" s="30">
        <f t="shared" si="13"/>
        <v>1</v>
      </c>
      <c r="T77" s="30">
        <f t="shared" si="14"/>
        <v>2023</v>
      </c>
      <c r="U77" s="29" t="str">
        <f t="shared" si="15"/>
        <v>January</v>
      </c>
    </row>
    <row r="78" spans="1:21" ht="17.399999999999999" x14ac:dyDescent="0.3">
      <c r="A78" s="21" t="s">
        <v>1045</v>
      </c>
      <c r="B78" s="22" t="s">
        <v>3567</v>
      </c>
      <c r="C78" s="23" t="s">
        <v>3515</v>
      </c>
      <c r="D78" s="22" t="s">
        <v>3545</v>
      </c>
      <c r="E78" s="24">
        <v>44942</v>
      </c>
      <c r="F78" s="24">
        <v>44944</v>
      </c>
      <c r="G78" s="22" t="s">
        <v>31</v>
      </c>
      <c r="H78" s="25">
        <v>19888</v>
      </c>
      <c r="I78" s="25">
        <v>800</v>
      </c>
      <c r="J78" s="26">
        <v>658.25</v>
      </c>
      <c r="K78" s="25">
        <v>46</v>
      </c>
      <c r="L78" s="21" t="s">
        <v>17</v>
      </c>
      <c r="M78" s="22" t="s">
        <v>31</v>
      </c>
      <c r="N78" s="27">
        <f t="shared" si="8"/>
        <v>2</v>
      </c>
      <c r="O78" s="28">
        <f t="shared" si="9"/>
        <v>4.0225261464199517E-2</v>
      </c>
      <c r="P78" s="28">
        <f t="shared" si="10"/>
        <v>5.7500000000000002E-2</v>
      </c>
      <c r="Q78" s="26">
        <f t="shared" si="11"/>
        <v>0.82281249999999995</v>
      </c>
      <c r="R78" s="29">
        <f t="shared" si="12"/>
        <v>14.309782608695652</v>
      </c>
      <c r="S78" s="30">
        <f t="shared" si="13"/>
        <v>1</v>
      </c>
      <c r="T78" s="30">
        <f t="shared" si="14"/>
        <v>2023</v>
      </c>
      <c r="U78" s="29" t="str">
        <f t="shared" si="15"/>
        <v>January</v>
      </c>
    </row>
    <row r="79" spans="1:21" ht="17.399999999999999" x14ac:dyDescent="0.3">
      <c r="A79" s="21" t="s">
        <v>1594</v>
      </c>
      <c r="B79" s="22" t="s">
        <v>3568</v>
      </c>
      <c r="C79" s="23" t="s">
        <v>3515</v>
      </c>
      <c r="D79" s="22" t="s">
        <v>3545</v>
      </c>
      <c r="E79" s="24">
        <v>44942</v>
      </c>
      <c r="F79" s="24">
        <v>45231</v>
      </c>
      <c r="G79" s="22" t="s">
        <v>11</v>
      </c>
      <c r="H79" s="25">
        <v>81719</v>
      </c>
      <c r="I79" s="25">
        <v>1040</v>
      </c>
      <c r="J79" s="26">
        <v>760.11</v>
      </c>
      <c r="K79" s="25">
        <v>115</v>
      </c>
      <c r="L79" s="21" t="s">
        <v>21</v>
      </c>
      <c r="M79" s="22" t="s">
        <v>11</v>
      </c>
      <c r="N79" s="27">
        <f t="shared" si="8"/>
        <v>289</v>
      </c>
      <c r="O79" s="28">
        <f t="shared" si="9"/>
        <v>1.2726538503897503E-2</v>
      </c>
      <c r="P79" s="28">
        <f t="shared" si="10"/>
        <v>0.11057692307692307</v>
      </c>
      <c r="Q79" s="26">
        <f t="shared" si="11"/>
        <v>0.73087500000000005</v>
      </c>
      <c r="R79" s="29">
        <f t="shared" si="12"/>
        <v>6.6096521739130436</v>
      </c>
      <c r="S79" s="30">
        <f t="shared" si="13"/>
        <v>1</v>
      </c>
      <c r="T79" s="30">
        <f t="shared" si="14"/>
        <v>2023</v>
      </c>
      <c r="U79" s="29" t="str">
        <f t="shared" si="15"/>
        <v>January</v>
      </c>
    </row>
    <row r="80" spans="1:21" ht="17.399999999999999" x14ac:dyDescent="0.3">
      <c r="A80" s="21" t="s">
        <v>124</v>
      </c>
      <c r="B80" s="21" t="s">
        <v>125</v>
      </c>
      <c r="C80" s="23" t="s">
        <v>3518</v>
      </c>
      <c r="D80" s="21" t="s">
        <v>3517</v>
      </c>
      <c r="E80" s="24">
        <v>44943</v>
      </c>
      <c r="F80" s="24">
        <v>44960</v>
      </c>
      <c r="G80" s="22" t="s">
        <v>16</v>
      </c>
      <c r="H80" s="25">
        <v>78189</v>
      </c>
      <c r="I80" s="25">
        <v>2164</v>
      </c>
      <c r="J80" s="26">
        <v>1734.66</v>
      </c>
      <c r="K80" s="25">
        <v>187</v>
      </c>
      <c r="L80" s="21" t="s">
        <v>21</v>
      </c>
      <c r="M80" s="22" t="s">
        <v>16</v>
      </c>
      <c r="N80" s="27">
        <f t="shared" si="8"/>
        <v>17</v>
      </c>
      <c r="O80" s="28">
        <f t="shared" si="9"/>
        <v>2.7676527388763125E-2</v>
      </c>
      <c r="P80" s="28">
        <f t="shared" si="10"/>
        <v>8.641404805914972E-2</v>
      </c>
      <c r="Q80" s="26">
        <f t="shared" si="11"/>
        <v>0.80159889094269876</v>
      </c>
      <c r="R80" s="29">
        <f t="shared" si="12"/>
        <v>9.2762566844919796</v>
      </c>
      <c r="S80" s="30">
        <f t="shared" si="13"/>
        <v>1</v>
      </c>
      <c r="T80" s="30">
        <f t="shared" si="14"/>
        <v>2023</v>
      </c>
      <c r="U80" s="29" t="str">
        <f t="shared" si="15"/>
        <v>January</v>
      </c>
    </row>
    <row r="81" spans="1:21" ht="17.399999999999999" x14ac:dyDescent="0.3">
      <c r="A81" s="21" t="s">
        <v>1480</v>
      </c>
      <c r="B81" s="21" t="s">
        <v>1481</v>
      </c>
      <c r="C81" s="23" t="s">
        <v>3518</v>
      </c>
      <c r="D81" s="21" t="s">
        <v>3521</v>
      </c>
      <c r="E81" s="24">
        <v>44943</v>
      </c>
      <c r="F81" s="24">
        <v>44959</v>
      </c>
      <c r="G81" s="22" t="s">
        <v>14</v>
      </c>
      <c r="H81" s="25">
        <v>15489</v>
      </c>
      <c r="I81" s="25">
        <v>613</v>
      </c>
      <c r="J81" s="26">
        <v>1128.9000000000001</v>
      </c>
      <c r="K81" s="25">
        <v>0</v>
      </c>
      <c r="L81" s="21" t="s">
        <v>21</v>
      </c>
      <c r="M81" s="22" t="s">
        <v>3537</v>
      </c>
      <c r="N81" s="27">
        <f t="shared" si="8"/>
        <v>16</v>
      </c>
      <c r="O81" s="28">
        <f t="shared" si="9"/>
        <v>3.9576473626444571E-2</v>
      </c>
      <c r="P81" s="28">
        <f t="shared" si="10"/>
        <v>0</v>
      </c>
      <c r="Q81" s="26">
        <f t="shared" si="11"/>
        <v>1.841598694942904</v>
      </c>
      <c r="R81" s="29" t="str">
        <f t="shared" si="12"/>
        <v>0</v>
      </c>
      <c r="S81" s="30">
        <f t="shared" si="13"/>
        <v>1</v>
      </c>
      <c r="T81" s="30">
        <f t="shared" si="14"/>
        <v>2023</v>
      </c>
      <c r="U81" s="29" t="str">
        <f t="shared" si="15"/>
        <v>January</v>
      </c>
    </row>
    <row r="82" spans="1:21" ht="17.399999999999999" x14ac:dyDescent="0.3">
      <c r="A82" s="21" t="s">
        <v>2976</v>
      </c>
      <c r="B82" s="22" t="s">
        <v>3569</v>
      </c>
      <c r="C82" s="23" t="s">
        <v>3518</v>
      </c>
      <c r="D82" s="22" t="s">
        <v>3545</v>
      </c>
      <c r="E82" s="24">
        <v>44943</v>
      </c>
      <c r="F82" s="24">
        <v>44961</v>
      </c>
      <c r="G82" s="22" t="s">
        <v>16</v>
      </c>
      <c r="H82" s="25">
        <v>65772</v>
      </c>
      <c r="I82" s="25">
        <v>1307</v>
      </c>
      <c r="J82" s="26">
        <v>2034.35</v>
      </c>
      <c r="K82" s="25">
        <v>240</v>
      </c>
      <c r="L82" s="21" t="s">
        <v>21</v>
      </c>
      <c r="M82" s="22" t="s">
        <v>16</v>
      </c>
      <c r="N82" s="27">
        <f t="shared" si="8"/>
        <v>18</v>
      </c>
      <c r="O82" s="28">
        <f t="shared" si="9"/>
        <v>1.9871677917654929E-2</v>
      </c>
      <c r="P82" s="28">
        <f t="shared" si="10"/>
        <v>0.18362662586074982</v>
      </c>
      <c r="Q82" s="26">
        <f t="shared" si="11"/>
        <v>1.5565034429992348</v>
      </c>
      <c r="R82" s="29">
        <f t="shared" si="12"/>
        <v>8.4764583333333334</v>
      </c>
      <c r="S82" s="30">
        <f t="shared" si="13"/>
        <v>1</v>
      </c>
      <c r="T82" s="30">
        <f t="shared" si="14"/>
        <v>2023</v>
      </c>
      <c r="U82" s="29" t="str">
        <f t="shared" si="15"/>
        <v>January</v>
      </c>
    </row>
    <row r="83" spans="1:21" ht="17.399999999999999" x14ac:dyDescent="0.3">
      <c r="A83" s="21" t="s">
        <v>3327</v>
      </c>
      <c r="B83" s="22" t="s">
        <v>3570</v>
      </c>
      <c r="C83" s="23" t="s">
        <v>3515</v>
      </c>
      <c r="D83" s="22" t="s">
        <v>3545</v>
      </c>
      <c r="E83" s="24">
        <v>44943</v>
      </c>
      <c r="F83" s="24">
        <v>44962</v>
      </c>
      <c r="G83" s="22" t="s">
        <v>24</v>
      </c>
      <c r="H83" s="25">
        <v>27589</v>
      </c>
      <c r="I83" s="25">
        <v>918</v>
      </c>
      <c r="J83" s="26">
        <v>481.94</v>
      </c>
      <c r="K83" s="25">
        <v>93</v>
      </c>
      <c r="L83" s="21" t="s">
        <v>21</v>
      </c>
      <c r="M83" s="22" t="s">
        <v>3536</v>
      </c>
      <c r="N83" s="27">
        <f t="shared" si="8"/>
        <v>19</v>
      </c>
      <c r="O83" s="28">
        <f t="shared" si="9"/>
        <v>3.3274130994236831E-2</v>
      </c>
      <c r="P83" s="28">
        <f t="shared" si="10"/>
        <v>0.10130718954248366</v>
      </c>
      <c r="Q83" s="26">
        <f t="shared" si="11"/>
        <v>0.52498910675381261</v>
      </c>
      <c r="R83" s="29">
        <f t="shared" si="12"/>
        <v>5.1821505376344081</v>
      </c>
      <c r="S83" s="30">
        <f t="shared" si="13"/>
        <v>1</v>
      </c>
      <c r="T83" s="30">
        <f t="shared" si="14"/>
        <v>2023</v>
      </c>
      <c r="U83" s="29" t="str">
        <f t="shared" si="15"/>
        <v>January</v>
      </c>
    </row>
    <row r="84" spans="1:21" ht="17.399999999999999" x14ac:dyDescent="0.3">
      <c r="A84" s="21" t="s">
        <v>689</v>
      </c>
      <c r="B84" s="21" t="s">
        <v>690</v>
      </c>
      <c r="C84" s="23" t="s">
        <v>3518</v>
      </c>
      <c r="D84" s="21" t="s">
        <v>3517</v>
      </c>
      <c r="E84" s="24">
        <v>44943</v>
      </c>
      <c r="F84" s="24">
        <v>45047</v>
      </c>
      <c r="G84" s="22" t="s">
        <v>14</v>
      </c>
      <c r="H84" s="25">
        <v>52885</v>
      </c>
      <c r="I84" s="25">
        <v>1803</v>
      </c>
      <c r="J84" s="26">
        <v>1820.41</v>
      </c>
      <c r="K84" s="25">
        <v>145</v>
      </c>
      <c r="L84" s="21" t="s">
        <v>17</v>
      </c>
      <c r="M84" s="22" t="s">
        <v>3537</v>
      </c>
      <c r="N84" s="27">
        <f t="shared" si="8"/>
        <v>104</v>
      </c>
      <c r="O84" s="28">
        <f t="shared" si="9"/>
        <v>3.4092842961142102E-2</v>
      </c>
      <c r="P84" s="28">
        <f t="shared" si="10"/>
        <v>8.0421519689406543E-2</v>
      </c>
      <c r="Q84" s="26">
        <f t="shared" si="11"/>
        <v>1.0096561286744314</v>
      </c>
      <c r="R84" s="29">
        <f t="shared" si="12"/>
        <v>12.554551724137932</v>
      </c>
      <c r="S84" s="30">
        <f t="shared" si="13"/>
        <v>1</v>
      </c>
      <c r="T84" s="30">
        <f t="shared" si="14"/>
        <v>2023</v>
      </c>
      <c r="U84" s="29" t="str">
        <f t="shared" si="15"/>
        <v>January</v>
      </c>
    </row>
    <row r="85" spans="1:21" ht="17.399999999999999" x14ac:dyDescent="0.3">
      <c r="A85" s="21" t="s">
        <v>2046</v>
      </c>
      <c r="B85" s="21" t="s">
        <v>2047</v>
      </c>
      <c r="C85" s="23" t="s">
        <v>3518</v>
      </c>
      <c r="D85" s="21" t="s">
        <v>3520</v>
      </c>
      <c r="E85" s="24">
        <v>44944</v>
      </c>
      <c r="F85" s="24">
        <v>44964</v>
      </c>
      <c r="G85" s="22" t="s">
        <v>14</v>
      </c>
      <c r="H85" s="25">
        <v>60201</v>
      </c>
      <c r="I85" s="25">
        <v>2887</v>
      </c>
      <c r="J85" s="26">
        <v>2416.14</v>
      </c>
      <c r="K85" s="25">
        <v>564</v>
      </c>
      <c r="L85" s="21" t="s">
        <v>17</v>
      </c>
      <c r="M85" s="22" t="s">
        <v>3537</v>
      </c>
      <c r="N85" s="27">
        <f t="shared" si="8"/>
        <v>20</v>
      </c>
      <c r="O85" s="28">
        <f t="shared" si="9"/>
        <v>4.795601401970067E-2</v>
      </c>
      <c r="P85" s="28">
        <f t="shared" si="10"/>
        <v>0.19535850363699342</v>
      </c>
      <c r="Q85" s="26">
        <f t="shared" si="11"/>
        <v>0.8369033598891582</v>
      </c>
      <c r="R85" s="29">
        <f t="shared" si="12"/>
        <v>4.2839361702127654</v>
      </c>
      <c r="S85" s="30">
        <f t="shared" si="13"/>
        <v>1</v>
      </c>
      <c r="T85" s="30">
        <f t="shared" si="14"/>
        <v>2023</v>
      </c>
      <c r="U85" s="29" t="str">
        <f t="shared" si="15"/>
        <v>January</v>
      </c>
    </row>
    <row r="86" spans="1:21" ht="17.399999999999999" x14ac:dyDescent="0.3">
      <c r="A86" s="21" t="s">
        <v>2103</v>
      </c>
      <c r="B86" s="21" t="s">
        <v>2104</v>
      </c>
      <c r="C86" s="23" t="s">
        <v>3516</v>
      </c>
      <c r="D86" s="21" t="s">
        <v>3520</v>
      </c>
      <c r="E86" s="24">
        <v>44944</v>
      </c>
      <c r="F86" s="24">
        <v>44960</v>
      </c>
      <c r="G86" s="22" t="s">
        <v>16</v>
      </c>
      <c r="H86" s="25">
        <v>74319</v>
      </c>
      <c r="I86" s="25">
        <v>2925</v>
      </c>
      <c r="J86" s="26">
        <v>2012.58</v>
      </c>
      <c r="K86" s="25">
        <v>422</v>
      </c>
      <c r="L86" s="21" t="s">
        <v>17</v>
      </c>
      <c r="M86" s="22" t="s">
        <v>16</v>
      </c>
      <c r="N86" s="27">
        <f t="shared" si="8"/>
        <v>16</v>
      </c>
      <c r="O86" s="28">
        <f t="shared" si="9"/>
        <v>3.9357364873047272E-2</v>
      </c>
      <c r="P86" s="28">
        <f t="shared" si="10"/>
        <v>0.14427350427350427</v>
      </c>
      <c r="Q86" s="26">
        <f t="shared" si="11"/>
        <v>0.68806153846153839</v>
      </c>
      <c r="R86" s="29">
        <f t="shared" si="12"/>
        <v>4.7691469194312797</v>
      </c>
      <c r="S86" s="30">
        <f t="shared" si="13"/>
        <v>1</v>
      </c>
      <c r="T86" s="30">
        <f t="shared" si="14"/>
        <v>2023</v>
      </c>
      <c r="U86" s="29" t="str">
        <f t="shared" si="15"/>
        <v>January</v>
      </c>
    </row>
    <row r="87" spans="1:21" ht="17.399999999999999" x14ac:dyDescent="0.3">
      <c r="A87" s="21" t="s">
        <v>2988</v>
      </c>
      <c r="B87" s="22" t="s">
        <v>3571</v>
      </c>
      <c r="C87" s="23" t="s">
        <v>3516</v>
      </c>
      <c r="D87" s="22" t="s">
        <v>3545</v>
      </c>
      <c r="E87" s="24">
        <v>44944</v>
      </c>
      <c r="F87" s="24">
        <v>44965</v>
      </c>
      <c r="G87" s="22" t="s">
        <v>31</v>
      </c>
      <c r="H87" s="25">
        <v>81199</v>
      </c>
      <c r="I87" s="25">
        <v>2050</v>
      </c>
      <c r="J87" s="26">
        <v>1310.0999999999999</v>
      </c>
      <c r="K87" s="25">
        <v>125</v>
      </c>
      <c r="L87" s="21" t="s">
        <v>17</v>
      </c>
      <c r="M87" s="22" t="s">
        <v>31</v>
      </c>
      <c r="N87" s="27">
        <f t="shared" si="8"/>
        <v>21</v>
      </c>
      <c r="O87" s="28">
        <f t="shared" si="9"/>
        <v>2.5246616337639628E-2</v>
      </c>
      <c r="P87" s="28">
        <f t="shared" si="10"/>
        <v>6.097560975609756E-2</v>
      </c>
      <c r="Q87" s="26">
        <f t="shared" si="11"/>
        <v>0.63907317073170722</v>
      </c>
      <c r="R87" s="29">
        <f t="shared" si="12"/>
        <v>10.480799999999999</v>
      </c>
      <c r="S87" s="30">
        <f t="shared" si="13"/>
        <v>1</v>
      </c>
      <c r="T87" s="30">
        <f t="shared" si="14"/>
        <v>2023</v>
      </c>
      <c r="U87" s="29" t="str">
        <f t="shared" si="15"/>
        <v>January</v>
      </c>
    </row>
    <row r="88" spans="1:21" ht="17.399999999999999" x14ac:dyDescent="0.3">
      <c r="A88" s="21" t="s">
        <v>3100</v>
      </c>
      <c r="B88" s="22" t="s">
        <v>3572</v>
      </c>
      <c r="C88" s="23" t="s">
        <v>3515</v>
      </c>
      <c r="D88" s="22" t="s">
        <v>3545</v>
      </c>
      <c r="E88" s="24">
        <v>44944</v>
      </c>
      <c r="F88" s="24">
        <v>44973</v>
      </c>
      <c r="G88" s="22" t="s">
        <v>31</v>
      </c>
      <c r="H88" s="25">
        <v>35832</v>
      </c>
      <c r="I88" s="25">
        <v>1135</v>
      </c>
      <c r="J88" s="26">
        <v>1915.77</v>
      </c>
      <c r="K88" s="25">
        <v>226</v>
      </c>
      <c r="L88" s="21" t="s">
        <v>17</v>
      </c>
      <c r="M88" s="22" t="s">
        <v>31</v>
      </c>
      <c r="N88" s="27">
        <f t="shared" si="8"/>
        <v>29</v>
      </c>
      <c r="O88" s="28">
        <f t="shared" si="9"/>
        <v>3.1675597231524896E-2</v>
      </c>
      <c r="P88" s="28">
        <f t="shared" si="10"/>
        <v>0.19911894273127753</v>
      </c>
      <c r="Q88" s="26">
        <f t="shared" si="11"/>
        <v>1.6879030837004405</v>
      </c>
      <c r="R88" s="29">
        <f t="shared" si="12"/>
        <v>8.4768584070796464</v>
      </c>
      <c r="S88" s="30">
        <f t="shared" si="13"/>
        <v>1</v>
      </c>
      <c r="T88" s="30">
        <f t="shared" si="14"/>
        <v>2023</v>
      </c>
      <c r="U88" s="29" t="str">
        <f t="shared" si="15"/>
        <v>January</v>
      </c>
    </row>
    <row r="89" spans="1:21" ht="17.399999999999999" x14ac:dyDescent="0.3">
      <c r="A89" s="21" t="s">
        <v>1860</v>
      </c>
      <c r="B89" s="21" t="s">
        <v>1861</v>
      </c>
      <c r="C89" s="23" t="s">
        <v>3518</v>
      </c>
      <c r="D89" s="21" t="s">
        <v>3517</v>
      </c>
      <c r="E89" s="24">
        <v>44945</v>
      </c>
      <c r="F89" s="24">
        <v>44968</v>
      </c>
      <c r="G89" s="22" t="s">
        <v>11</v>
      </c>
      <c r="H89" s="25">
        <v>2828</v>
      </c>
      <c r="I89" s="25">
        <v>37</v>
      </c>
      <c r="J89" s="26">
        <v>71.36</v>
      </c>
      <c r="K89" s="25">
        <v>4</v>
      </c>
      <c r="L89" s="21" t="s">
        <v>17</v>
      </c>
      <c r="M89" s="22" t="s">
        <v>11</v>
      </c>
      <c r="N89" s="27">
        <f t="shared" si="8"/>
        <v>23</v>
      </c>
      <c r="O89" s="28">
        <f t="shared" si="9"/>
        <v>1.3083451202263084E-2</v>
      </c>
      <c r="P89" s="28">
        <f t="shared" si="10"/>
        <v>0.10810810810810811</v>
      </c>
      <c r="Q89" s="26">
        <f t="shared" si="11"/>
        <v>1.9286486486486487</v>
      </c>
      <c r="R89" s="29">
        <f t="shared" si="12"/>
        <v>17.84</v>
      </c>
      <c r="S89" s="30">
        <f t="shared" si="13"/>
        <v>1</v>
      </c>
      <c r="T89" s="30">
        <f t="shared" si="14"/>
        <v>2023</v>
      </c>
      <c r="U89" s="29" t="str">
        <f t="shared" si="15"/>
        <v>January</v>
      </c>
    </row>
    <row r="90" spans="1:21" ht="17.399999999999999" x14ac:dyDescent="0.3">
      <c r="A90" s="21" t="s">
        <v>3388</v>
      </c>
      <c r="B90" s="21" t="s">
        <v>3389</v>
      </c>
      <c r="C90" s="23" t="s">
        <v>3518</v>
      </c>
      <c r="D90" s="21" t="s">
        <v>3520</v>
      </c>
      <c r="E90" s="24">
        <v>44945</v>
      </c>
      <c r="F90" s="24">
        <v>44954</v>
      </c>
      <c r="G90" s="22" t="s">
        <v>24</v>
      </c>
      <c r="H90" s="25">
        <v>50153</v>
      </c>
      <c r="I90" s="25">
        <v>2410</v>
      </c>
      <c r="J90" s="26">
        <v>1777.79</v>
      </c>
      <c r="K90" s="25">
        <v>415</v>
      </c>
      <c r="L90" s="21" t="s">
        <v>21</v>
      </c>
      <c r="M90" s="22" t="s">
        <v>3536</v>
      </c>
      <c r="N90" s="27">
        <f t="shared" si="8"/>
        <v>9</v>
      </c>
      <c r="O90" s="28">
        <f t="shared" si="9"/>
        <v>4.8052957948677047E-2</v>
      </c>
      <c r="P90" s="28">
        <f t="shared" si="10"/>
        <v>0.17219917012448133</v>
      </c>
      <c r="Q90" s="26">
        <f t="shared" si="11"/>
        <v>0.7376721991701245</v>
      </c>
      <c r="R90" s="29">
        <f t="shared" si="12"/>
        <v>4.2838313253012048</v>
      </c>
      <c r="S90" s="30">
        <f t="shared" si="13"/>
        <v>1</v>
      </c>
      <c r="T90" s="30">
        <f t="shared" si="14"/>
        <v>2023</v>
      </c>
      <c r="U90" s="29" t="str">
        <f t="shared" si="15"/>
        <v>January</v>
      </c>
    </row>
    <row r="91" spans="1:21" ht="17.399999999999999" x14ac:dyDescent="0.3">
      <c r="A91" s="21" t="s">
        <v>3428</v>
      </c>
      <c r="B91" s="22" t="s">
        <v>3573</v>
      </c>
      <c r="C91" s="23" t="s">
        <v>3516</v>
      </c>
      <c r="D91" s="22" t="s">
        <v>3545</v>
      </c>
      <c r="E91" s="24">
        <v>44945</v>
      </c>
      <c r="F91" s="24">
        <v>44971</v>
      </c>
      <c r="G91" s="22" t="s">
        <v>3535</v>
      </c>
      <c r="H91" s="25">
        <v>58660</v>
      </c>
      <c r="I91" s="25">
        <v>1723</v>
      </c>
      <c r="J91" s="26">
        <v>2025.14</v>
      </c>
      <c r="K91" s="25">
        <v>222</v>
      </c>
      <c r="L91" s="21" t="s">
        <v>17</v>
      </c>
      <c r="M91" s="22" t="s">
        <v>3535</v>
      </c>
      <c r="N91" s="27">
        <f t="shared" si="8"/>
        <v>26</v>
      </c>
      <c r="O91" s="28">
        <f t="shared" si="9"/>
        <v>2.9372655983634505E-2</v>
      </c>
      <c r="P91" s="28">
        <f t="shared" si="10"/>
        <v>0.12884503772489844</v>
      </c>
      <c r="Q91" s="26">
        <f t="shared" si="11"/>
        <v>1.1753569355774811</v>
      </c>
      <c r="R91" s="29">
        <f t="shared" si="12"/>
        <v>9.1222522522522524</v>
      </c>
      <c r="S91" s="30">
        <f t="shared" si="13"/>
        <v>1</v>
      </c>
      <c r="T91" s="30">
        <f t="shared" si="14"/>
        <v>2023</v>
      </c>
      <c r="U91" s="29" t="str">
        <f t="shared" si="15"/>
        <v>January</v>
      </c>
    </row>
    <row r="92" spans="1:21" ht="17.399999999999999" x14ac:dyDescent="0.3">
      <c r="A92" s="21" t="s">
        <v>566</v>
      </c>
      <c r="B92" s="21" t="s">
        <v>567</v>
      </c>
      <c r="C92" s="23" t="s">
        <v>3515</v>
      </c>
      <c r="D92" s="21" t="s">
        <v>3517</v>
      </c>
      <c r="E92" s="24">
        <v>44945</v>
      </c>
      <c r="F92" s="24">
        <v>44963</v>
      </c>
      <c r="G92" s="22" t="s">
        <v>14</v>
      </c>
      <c r="H92" s="25">
        <v>95179</v>
      </c>
      <c r="I92" s="25">
        <v>3508</v>
      </c>
      <c r="J92" s="26">
        <v>4858.3100000000004</v>
      </c>
      <c r="K92" s="25">
        <v>700</v>
      </c>
      <c r="L92" s="21" t="s">
        <v>17</v>
      </c>
      <c r="M92" s="22" t="s">
        <v>3537</v>
      </c>
      <c r="N92" s="27">
        <f t="shared" si="8"/>
        <v>18</v>
      </c>
      <c r="O92" s="28">
        <f t="shared" si="9"/>
        <v>3.6856869687641181E-2</v>
      </c>
      <c r="P92" s="28">
        <f t="shared" si="10"/>
        <v>0.19954389965792474</v>
      </c>
      <c r="Q92" s="26">
        <f t="shared" si="11"/>
        <v>1.3849230330672748</v>
      </c>
      <c r="R92" s="29">
        <f t="shared" si="12"/>
        <v>6.940442857142858</v>
      </c>
      <c r="S92" s="30">
        <f t="shared" si="13"/>
        <v>1</v>
      </c>
      <c r="T92" s="30">
        <f t="shared" si="14"/>
        <v>2023</v>
      </c>
      <c r="U92" s="29" t="str">
        <f t="shared" si="15"/>
        <v>January</v>
      </c>
    </row>
    <row r="93" spans="1:21" ht="17.399999999999999" x14ac:dyDescent="0.3">
      <c r="A93" s="21" t="s">
        <v>917</v>
      </c>
      <c r="B93" s="21" t="s">
        <v>918</v>
      </c>
      <c r="C93" s="23" t="s">
        <v>3519</v>
      </c>
      <c r="D93" s="21" t="s">
        <v>3517</v>
      </c>
      <c r="E93" s="24">
        <v>44946</v>
      </c>
      <c r="F93" s="24">
        <v>44970</v>
      </c>
      <c r="G93" s="22" t="s">
        <v>31</v>
      </c>
      <c r="H93" s="25">
        <v>60101</v>
      </c>
      <c r="I93" s="25">
        <v>706</v>
      </c>
      <c r="J93" s="26">
        <v>370.74</v>
      </c>
      <c r="K93" s="25">
        <v>121</v>
      </c>
      <c r="L93" s="21" t="s">
        <v>21</v>
      </c>
      <c r="M93" s="22" t="s">
        <v>31</v>
      </c>
      <c r="N93" s="27">
        <f t="shared" si="8"/>
        <v>24</v>
      </c>
      <c r="O93" s="28">
        <f t="shared" si="9"/>
        <v>1.1746892730570207E-2</v>
      </c>
      <c r="P93" s="28">
        <f t="shared" si="10"/>
        <v>0.17138810198300283</v>
      </c>
      <c r="Q93" s="26">
        <f t="shared" si="11"/>
        <v>0.52512747875354104</v>
      </c>
      <c r="R93" s="29">
        <f t="shared" si="12"/>
        <v>3.0639669421487605</v>
      </c>
      <c r="S93" s="30">
        <f t="shared" si="13"/>
        <v>1</v>
      </c>
      <c r="T93" s="30">
        <f t="shared" si="14"/>
        <v>2023</v>
      </c>
      <c r="U93" s="29" t="str">
        <f t="shared" si="15"/>
        <v>January</v>
      </c>
    </row>
    <row r="94" spans="1:21" ht="17.399999999999999" x14ac:dyDescent="0.3">
      <c r="A94" s="21" t="s">
        <v>1178</v>
      </c>
      <c r="B94" s="22" t="s">
        <v>3574</v>
      </c>
      <c r="C94" s="23" t="s">
        <v>3519</v>
      </c>
      <c r="D94" s="22" t="s">
        <v>3545</v>
      </c>
      <c r="E94" s="24">
        <v>44946</v>
      </c>
      <c r="F94" s="24">
        <v>44961</v>
      </c>
      <c r="G94" s="22" t="s">
        <v>11</v>
      </c>
      <c r="H94" s="25">
        <v>2542</v>
      </c>
      <c r="I94" s="25">
        <v>89</v>
      </c>
      <c r="J94" s="26">
        <v>56.19</v>
      </c>
      <c r="K94" s="25">
        <v>7</v>
      </c>
      <c r="L94" s="21" t="s">
        <v>17</v>
      </c>
      <c r="M94" s="22" t="s">
        <v>11</v>
      </c>
      <c r="N94" s="27">
        <f t="shared" si="8"/>
        <v>15</v>
      </c>
      <c r="O94" s="28">
        <f t="shared" si="9"/>
        <v>3.5011801730920535E-2</v>
      </c>
      <c r="P94" s="28">
        <f t="shared" si="10"/>
        <v>7.8651685393258425E-2</v>
      </c>
      <c r="Q94" s="26">
        <f t="shared" si="11"/>
        <v>0.63134831460674157</v>
      </c>
      <c r="R94" s="29">
        <f t="shared" si="12"/>
        <v>8.0271428571428576</v>
      </c>
      <c r="S94" s="30">
        <f t="shared" si="13"/>
        <v>1</v>
      </c>
      <c r="T94" s="30">
        <f t="shared" si="14"/>
        <v>2023</v>
      </c>
      <c r="U94" s="29" t="str">
        <f t="shared" si="15"/>
        <v>January</v>
      </c>
    </row>
    <row r="95" spans="1:21" ht="17.399999999999999" x14ac:dyDescent="0.3">
      <c r="A95" s="21" t="s">
        <v>1266</v>
      </c>
      <c r="B95" s="22" t="s">
        <v>3575</v>
      </c>
      <c r="C95" s="23" t="s">
        <v>3519</v>
      </c>
      <c r="D95" s="22" t="s">
        <v>3545</v>
      </c>
      <c r="E95" s="24">
        <v>44946</v>
      </c>
      <c r="F95" s="24">
        <v>44965</v>
      </c>
      <c r="G95" s="22" t="s">
        <v>24</v>
      </c>
      <c r="H95" s="25">
        <v>53224</v>
      </c>
      <c r="I95" s="25">
        <v>1189</v>
      </c>
      <c r="J95" s="26">
        <v>648.04</v>
      </c>
      <c r="K95" s="25">
        <v>183</v>
      </c>
      <c r="L95" s="21" t="s">
        <v>17</v>
      </c>
      <c r="M95" s="22" t="s">
        <v>3536</v>
      </c>
      <c r="N95" s="27">
        <f t="shared" si="8"/>
        <v>19</v>
      </c>
      <c r="O95" s="28">
        <f t="shared" si="9"/>
        <v>2.2339546069442356E-2</v>
      </c>
      <c r="P95" s="28">
        <f t="shared" si="10"/>
        <v>0.15391084945332212</v>
      </c>
      <c r="Q95" s="26">
        <f t="shared" si="11"/>
        <v>0.54502943650126157</v>
      </c>
      <c r="R95" s="29">
        <f t="shared" si="12"/>
        <v>3.5412021857923497</v>
      </c>
      <c r="S95" s="30">
        <f t="shared" si="13"/>
        <v>1</v>
      </c>
      <c r="T95" s="30">
        <f t="shared" si="14"/>
        <v>2023</v>
      </c>
      <c r="U95" s="29" t="str">
        <f t="shared" si="15"/>
        <v>January</v>
      </c>
    </row>
    <row r="96" spans="1:21" ht="17.399999999999999" x14ac:dyDescent="0.3">
      <c r="A96" s="21" t="s">
        <v>1987</v>
      </c>
      <c r="B96" s="22" t="s">
        <v>3576</v>
      </c>
      <c r="C96" s="23" t="s">
        <v>3519</v>
      </c>
      <c r="D96" s="22" t="s">
        <v>3545</v>
      </c>
      <c r="E96" s="24">
        <v>44946</v>
      </c>
      <c r="F96" s="24">
        <v>44953</v>
      </c>
      <c r="G96" s="22" t="s">
        <v>14</v>
      </c>
      <c r="H96" s="25">
        <v>37455</v>
      </c>
      <c r="I96" s="25">
        <v>726</v>
      </c>
      <c r="J96" s="26">
        <v>1159.67</v>
      </c>
      <c r="K96" s="25">
        <v>41</v>
      </c>
      <c r="L96" s="21" t="s">
        <v>21</v>
      </c>
      <c r="M96" s="22" t="s">
        <v>3537</v>
      </c>
      <c r="N96" s="27">
        <f t="shared" si="8"/>
        <v>7</v>
      </c>
      <c r="O96" s="28">
        <f t="shared" si="9"/>
        <v>1.9383259911894272E-2</v>
      </c>
      <c r="P96" s="28">
        <f t="shared" si="10"/>
        <v>5.647382920110193E-2</v>
      </c>
      <c r="Q96" s="26">
        <f t="shared" si="11"/>
        <v>1.5973415977961434</v>
      </c>
      <c r="R96" s="29">
        <f t="shared" si="12"/>
        <v>28.284634146341464</v>
      </c>
      <c r="S96" s="30">
        <f t="shared" si="13"/>
        <v>1</v>
      </c>
      <c r="T96" s="30">
        <f t="shared" si="14"/>
        <v>2023</v>
      </c>
      <c r="U96" s="29" t="str">
        <f t="shared" si="15"/>
        <v>January</v>
      </c>
    </row>
    <row r="97" spans="1:21" ht="17.399999999999999" x14ac:dyDescent="0.3">
      <c r="A97" s="21" t="s">
        <v>673</v>
      </c>
      <c r="B97" s="21" t="s">
        <v>674</v>
      </c>
      <c r="C97" s="23" t="s">
        <v>3518</v>
      </c>
      <c r="D97" s="21" t="s">
        <v>3520</v>
      </c>
      <c r="E97" s="24">
        <v>44946</v>
      </c>
      <c r="F97" s="24">
        <v>44965</v>
      </c>
      <c r="G97" s="22" t="s">
        <v>3535</v>
      </c>
      <c r="H97" s="25">
        <v>7102</v>
      </c>
      <c r="I97" s="25">
        <v>105</v>
      </c>
      <c r="J97" s="26">
        <v>155.41</v>
      </c>
      <c r="K97" s="25">
        <v>19</v>
      </c>
      <c r="L97" s="21" t="s">
        <v>21</v>
      </c>
      <c r="M97" s="22" t="s">
        <v>3535</v>
      </c>
      <c r="N97" s="27">
        <f t="shared" si="8"/>
        <v>19</v>
      </c>
      <c r="O97" s="28">
        <f t="shared" si="9"/>
        <v>1.4784567727400732E-2</v>
      </c>
      <c r="P97" s="28">
        <f t="shared" si="10"/>
        <v>0.18095238095238095</v>
      </c>
      <c r="Q97" s="26">
        <f t="shared" si="11"/>
        <v>1.4800952380952381</v>
      </c>
      <c r="R97" s="29">
        <f t="shared" si="12"/>
        <v>8.1794736842105262</v>
      </c>
      <c r="S97" s="30">
        <f t="shared" si="13"/>
        <v>1</v>
      </c>
      <c r="T97" s="30">
        <f t="shared" si="14"/>
        <v>2023</v>
      </c>
      <c r="U97" s="29" t="str">
        <f t="shared" si="15"/>
        <v>January</v>
      </c>
    </row>
    <row r="98" spans="1:21" ht="17.399999999999999" x14ac:dyDescent="0.3">
      <c r="A98" s="21" t="s">
        <v>2140</v>
      </c>
      <c r="B98" s="21" t="s">
        <v>2141</v>
      </c>
      <c r="C98" s="23" t="s">
        <v>3518</v>
      </c>
      <c r="D98" s="21" t="s">
        <v>3520</v>
      </c>
      <c r="E98" s="24">
        <v>44946</v>
      </c>
      <c r="F98" s="24">
        <v>44969</v>
      </c>
      <c r="G98" s="22" t="s">
        <v>24</v>
      </c>
      <c r="H98" s="25">
        <v>69904</v>
      </c>
      <c r="I98" s="25">
        <v>2468</v>
      </c>
      <c r="J98" s="26">
        <v>3416.9</v>
      </c>
      <c r="K98" s="25">
        <v>444</v>
      </c>
      <c r="L98" s="21" t="s">
        <v>21</v>
      </c>
      <c r="M98" s="22" t="s">
        <v>3536</v>
      </c>
      <c r="N98" s="27">
        <f t="shared" si="8"/>
        <v>23</v>
      </c>
      <c r="O98" s="28">
        <f t="shared" si="9"/>
        <v>3.5305561913481345E-2</v>
      </c>
      <c r="P98" s="28">
        <f t="shared" si="10"/>
        <v>0.17990275526742303</v>
      </c>
      <c r="Q98" s="26">
        <f t="shared" si="11"/>
        <v>1.3844813614262561</v>
      </c>
      <c r="R98" s="29">
        <f t="shared" si="12"/>
        <v>7.695720720720721</v>
      </c>
      <c r="S98" s="30">
        <f t="shared" si="13"/>
        <v>1</v>
      </c>
      <c r="T98" s="30">
        <f t="shared" si="14"/>
        <v>2023</v>
      </c>
      <c r="U98" s="29" t="str">
        <f t="shared" si="15"/>
        <v>January</v>
      </c>
    </row>
    <row r="99" spans="1:21" ht="17.399999999999999" x14ac:dyDescent="0.3">
      <c r="A99" s="21" t="s">
        <v>2136</v>
      </c>
      <c r="B99" s="21" t="s">
        <v>2137</v>
      </c>
      <c r="C99" s="23" t="s">
        <v>3516</v>
      </c>
      <c r="D99" s="21" t="s">
        <v>3520</v>
      </c>
      <c r="E99" s="24">
        <v>44946</v>
      </c>
      <c r="F99" s="24">
        <v>44957</v>
      </c>
      <c r="G99" s="22" t="s">
        <v>11</v>
      </c>
      <c r="H99" s="25">
        <v>87066</v>
      </c>
      <c r="I99" s="25">
        <v>1024</v>
      </c>
      <c r="J99" s="26">
        <v>1181.69</v>
      </c>
      <c r="K99" s="25">
        <v>0</v>
      </c>
      <c r="L99" s="21" t="s">
        <v>17</v>
      </c>
      <c r="M99" s="22" t="s">
        <v>11</v>
      </c>
      <c r="N99" s="27">
        <f t="shared" si="8"/>
        <v>11</v>
      </c>
      <c r="O99" s="28">
        <f t="shared" si="9"/>
        <v>1.1761192658443021E-2</v>
      </c>
      <c r="P99" s="28">
        <f t="shared" si="10"/>
        <v>0</v>
      </c>
      <c r="Q99" s="26">
        <f t="shared" si="11"/>
        <v>1.1539941406250001</v>
      </c>
      <c r="R99" s="29" t="str">
        <f t="shared" si="12"/>
        <v>0</v>
      </c>
      <c r="S99" s="30">
        <f t="shared" si="13"/>
        <v>1</v>
      </c>
      <c r="T99" s="30">
        <f t="shared" si="14"/>
        <v>2023</v>
      </c>
      <c r="U99" s="29" t="str">
        <f t="shared" si="15"/>
        <v>January</v>
      </c>
    </row>
    <row r="100" spans="1:21" ht="17.399999999999999" x14ac:dyDescent="0.3">
      <c r="A100" s="21" t="s">
        <v>253</v>
      </c>
      <c r="B100" s="21" t="s">
        <v>254</v>
      </c>
      <c r="C100" s="23" t="s">
        <v>3515</v>
      </c>
      <c r="D100" s="21" t="s">
        <v>3521</v>
      </c>
      <c r="E100" s="24">
        <v>44946</v>
      </c>
      <c r="F100" s="24">
        <v>44975</v>
      </c>
      <c r="G100" s="22" t="s">
        <v>14</v>
      </c>
      <c r="H100" s="25">
        <v>99806</v>
      </c>
      <c r="I100" s="25">
        <v>2268</v>
      </c>
      <c r="J100" s="26">
        <v>1278.05</v>
      </c>
      <c r="K100" s="25">
        <v>260</v>
      </c>
      <c r="L100" s="21" t="s">
        <v>21</v>
      </c>
      <c r="M100" s="22" t="s">
        <v>3537</v>
      </c>
      <c r="N100" s="27">
        <f t="shared" si="8"/>
        <v>29</v>
      </c>
      <c r="O100" s="28">
        <f t="shared" si="9"/>
        <v>2.2724084724365268E-2</v>
      </c>
      <c r="P100" s="28">
        <f t="shared" si="10"/>
        <v>0.1146384479717813</v>
      </c>
      <c r="Q100" s="26">
        <f t="shared" si="11"/>
        <v>0.56351410934744262</v>
      </c>
      <c r="R100" s="29">
        <f t="shared" si="12"/>
        <v>4.9155769230769231</v>
      </c>
      <c r="S100" s="30">
        <f t="shared" si="13"/>
        <v>1</v>
      </c>
      <c r="T100" s="30">
        <f t="shared" si="14"/>
        <v>2023</v>
      </c>
      <c r="U100" s="29" t="str">
        <f t="shared" si="15"/>
        <v>January</v>
      </c>
    </row>
    <row r="101" spans="1:21" ht="17.399999999999999" x14ac:dyDescent="0.3">
      <c r="A101" s="21" t="s">
        <v>221</v>
      </c>
      <c r="B101" s="21" t="s">
        <v>222</v>
      </c>
      <c r="C101" s="23" t="s">
        <v>3518</v>
      </c>
      <c r="D101" s="21" t="s">
        <v>3520</v>
      </c>
      <c r="E101" s="24">
        <v>44947</v>
      </c>
      <c r="F101" s="24">
        <v>44963</v>
      </c>
      <c r="G101" s="22" t="s">
        <v>14</v>
      </c>
      <c r="H101" s="25">
        <v>79603</v>
      </c>
      <c r="I101" s="25">
        <v>3912</v>
      </c>
      <c r="J101" s="26">
        <v>7471.52</v>
      </c>
      <c r="K101" s="25">
        <v>344</v>
      </c>
      <c r="L101" s="21" t="s">
        <v>17</v>
      </c>
      <c r="M101" s="22" t="s">
        <v>3537</v>
      </c>
      <c r="N101" s="27">
        <f t="shared" si="8"/>
        <v>16</v>
      </c>
      <c r="O101" s="28">
        <f t="shared" si="9"/>
        <v>4.914387648706707E-2</v>
      </c>
      <c r="P101" s="28">
        <f t="shared" si="10"/>
        <v>8.7934560327198361E-2</v>
      </c>
      <c r="Q101" s="26">
        <f t="shared" si="11"/>
        <v>1.9098977505112475</v>
      </c>
      <c r="R101" s="29">
        <f t="shared" si="12"/>
        <v>21.719534883720932</v>
      </c>
      <c r="S101" s="30">
        <f t="shared" si="13"/>
        <v>1</v>
      </c>
      <c r="T101" s="30">
        <f t="shared" si="14"/>
        <v>2023</v>
      </c>
      <c r="U101" s="29" t="str">
        <f t="shared" si="15"/>
        <v>January</v>
      </c>
    </row>
    <row r="102" spans="1:21" ht="17.399999999999999" x14ac:dyDescent="0.3">
      <c r="A102" s="21" t="s">
        <v>3023</v>
      </c>
      <c r="B102" s="21" t="s">
        <v>3024</v>
      </c>
      <c r="C102" s="23" t="s">
        <v>3518</v>
      </c>
      <c r="D102" s="21" t="s">
        <v>3517</v>
      </c>
      <c r="E102" s="24">
        <v>44947</v>
      </c>
      <c r="F102" s="24">
        <v>44973</v>
      </c>
      <c r="G102" s="22" t="s">
        <v>24</v>
      </c>
      <c r="H102" s="25">
        <v>93108</v>
      </c>
      <c r="I102" s="25">
        <v>3099</v>
      </c>
      <c r="J102" s="26">
        <v>2706.14</v>
      </c>
      <c r="K102" s="25">
        <v>474</v>
      </c>
      <c r="L102" s="21" t="s">
        <v>21</v>
      </c>
      <c r="M102" s="22" t="s">
        <v>3536</v>
      </c>
      <c r="N102" s="27">
        <f t="shared" si="8"/>
        <v>26</v>
      </c>
      <c r="O102" s="28">
        <f t="shared" si="9"/>
        <v>3.3283928341281091E-2</v>
      </c>
      <c r="P102" s="28">
        <f t="shared" si="10"/>
        <v>0.15295256534365925</v>
      </c>
      <c r="Q102" s="26">
        <f t="shared" si="11"/>
        <v>0.87323007421748944</v>
      </c>
      <c r="R102" s="29">
        <f t="shared" si="12"/>
        <v>5.7091561181434596</v>
      </c>
      <c r="S102" s="30">
        <f t="shared" si="13"/>
        <v>1</v>
      </c>
      <c r="T102" s="30">
        <f t="shared" si="14"/>
        <v>2023</v>
      </c>
      <c r="U102" s="29" t="str">
        <f t="shared" si="15"/>
        <v>January</v>
      </c>
    </row>
    <row r="103" spans="1:21" ht="17.399999999999999" x14ac:dyDescent="0.3">
      <c r="A103" s="21" t="s">
        <v>2520</v>
      </c>
      <c r="B103" s="21" t="s">
        <v>2521</v>
      </c>
      <c r="C103" s="23" t="s">
        <v>3516</v>
      </c>
      <c r="D103" s="21" t="s">
        <v>3520</v>
      </c>
      <c r="E103" s="24">
        <v>44947</v>
      </c>
      <c r="F103" s="24">
        <v>44955</v>
      </c>
      <c r="G103" s="22" t="s">
        <v>16</v>
      </c>
      <c r="H103" s="25">
        <v>30373</v>
      </c>
      <c r="I103" s="25">
        <v>1454</v>
      </c>
      <c r="J103" s="26">
        <v>2640.72</v>
      </c>
      <c r="K103" s="25">
        <v>110</v>
      </c>
      <c r="L103" s="21" t="s">
        <v>21</v>
      </c>
      <c r="M103" s="22" t="s">
        <v>16</v>
      </c>
      <c r="N103" s="27">
        <f t="shared" si="8"/>
        <v>8</v>
      </c>
      <c r="O103" s="28">
        <f t="shared" si="9"/>
        <v>4.7871464787804956E-2</v>
      </c>
      <c r="P103" s="28">
        <f t="shared" si="10"/>
        <v>7.5653370013755161E-2</v>
      </c>
      <c r="Q103" s="26">
        <f t="shared" si="11"/>
        <v>1.8161760660247592</v>
      </c>
      <c r="R103" s="29">
        <f t="shared" si="12"/>
        <v>24.006545454545453</v>
      </c>
      <c r="S103" s="30">
        <f t="shared" si="13"/>
        <v>1</v>
      </c>
      <c r="T103" s="30">
        <f t="shared" si="14"/>
        <v>2023</v>
      </c>
      <c r="U103" s="29" t="str">
        <f t="shared" si="15"/>
        <v>January</v>
      </c>
    </row>
    <row r="104" spans="1:21" ht="17.399999999999999" x14ac:dyDescent="0.3">
      <c r="A104" s="21" t="s">
        <v>3202</v>
      </c>
      <c r="B104" s="21" t="s">
        <v>3203</v>
      </c>
      <c r="C104" s="23" t="s">
        <v>3516</v>
      </c>
      <c r="D104" s="21" t="s">
        <v>3517</v>
      </c>
      <c r="E104" s="24">
        <v>44947</v>
      </c>
      <c r="F104" s="24">
        <v>44964</v>
      </c>
      <c r="G104" s="22" t="s">
        <v>14</v>
      </c>
      <c r="H104" s="25">
        <v>69878</v>
      </c>
      <c r="I104" s="25">
        <v>2481</v>
      </c>
      <c r="J104" s="26">
        <v>3013.13</v>
      </c>
      <c r="K104" s="25">
        <v>213</v>
      </c>
      <c r="L104" s="21" t="s">
        <v>21</v>
      </c>
      <c r="M104" s="22" t="s">
        <v>3537</v>
      </c>
      <c r="N104" s="27">
        <f t="shared" si="8"/>
        <v>17</v>
      </c>
      <c r="O104" s="28">
        <f t="shared" si="9"/>
        <v>3.5504736827041417E-2</v>
      </c>
      <c r="P104" s="28">
        <f t="shared" si="10"/>
        <v>8.5852478839177751E-2</v>
      </c>
      <c r="Q104" s="26">
        <f t="shared" si="11"/>
        <v>1.2144820636839984</v>
      </c>
      <c r="R104" s="29">
        <f t="shared" si="12"/>
        <v>14.146150234741784</v>
      </c>
      <c r="S104" s="30">
        <f t="shared" si="13"/>
        <v>1</v>
      </c>
      <c r="T104" s="30">
        <f t="shared" si="14"/>
        <v>2023</v>
      </c>
      <c r="U104" s="29" t="str">
        <f t="shared" si="15"/>
        <v>January</v>
      </c>
    </row>
    <row r="105" spans="1:21" ht="17.399999999999999" x14ac:dyDescent="0.3">
      <c r="A105" s="21" t="s">
        <v>2489</v>
      </c>
      <c r="B105" s="21" t="s">
        <v>2490</v>
      </c>
      <c r="C105" s="23" t="s">
        <v>3515</v>
      </c>
      <c r="D105" s="21" t="s">
        <v>3521</v>
      </c>
      <c r="E105" s="24">
        <v>44947</v>
      </c>
      <c r="F105" s="24">
        <v>44967</v>
      </c>
      <c r="G105" s="22" t="s">
        <v>14</v>
      </c>
      <c r="H105" s="25">
        <v>41809</v>
      </c>
      <c r="I105" s="25">
        <v>1506</v>
      </c>
      <c r="J105" s="26">
        <v>1300.07</v>
      </c>
      <c r="K105" s="25">
        <v>115</v>
      </c>
      <c r="L105" s="21" t="s">
        <v>17</v>
      </c>
      <c r="M105" s="22" t="s">
        <v>3537</v>
      </c>
      <c r="N105" s="27">
        <f t="shared" si="8"/>
        <v>20</v>
      </c>
      <c r="O105" s="28">
        <f t="shared" si="9"/>
        <v>3.6020952426511037E-2</v>
      </c>
      <c r="P105" s="28">
        <f t="shared" si="10"/>
        <v>7.6361221779548474E-2</v>
      </c>
      <c r="Q105" s="26">
        <f t="shared" si="11"/>
        <v>0.86326029216467459</v>
      </c>
      <c r="R105" s="29">
        <f t="shared" si="12"/>
        <v>11.304956521739129</v>
      </c>
      <c r="S105" s="30">
        <f t="shared" si="13"/>
        <v>1</v>
      </c>
      <c r="T105" s="30">
        <f t="shared" si="14"/>
        <v>2023</v>
      </c>
      <c r="U105" s="29" t="str">
        <f t="shared" si="15"/>
        <v>January</v>
      </c>
    </row>
    <row r="106" spans="1:21" ht="17.399999999999999" x14ac:dyDescent="0.3">
      <c r="A106" s="21" t="s">
        <v>3067</v>
      </c>
      <c r="B106" s="21" t="s">
        <v>3068</v>
      </c>
      <c r="C106" s="23" t="s">
        <v>3515</v>
      </c>
      <c r="D106" s="21" t="s">
        <v>3520</v>
      </c>
      <c r="E106" s="24">
        <v>44947</v>
      </c>
      <c r="F106" s="24">
        <v>44972</v>
      </c>
      <c r="G106" s="22" t="s">
        <v>14</v>
      </c>
      <c r="H106" s="25">
        <v>3719</v>
      </c>
      <c r="I106" s="25">
        <v>123</v>
      </c>
      <c r="J106" s="26">
        <v>73.14</v>
      </c>
      <c r="K106" s="25">
        <v>6</v>
      </c>
      <c r="L106" s="21" t="s">
        <v>17</v>
      </c>
      <c r="M106" s="22" t="s">
        <v>3537</v>
      </c>
      <c r="N106" s="27">
        <f t="shared" si="8"/>
        <v>25</v>
      </c>
      <c r="O106" s="28">
        <f t="shared" si="9"/>
        <v>3.3073406829792956E-2</v>
      </c>
      <c r="P106" s="28">
        <f t="shared" si="10"/>
        <v>4.878048780487805E-2</v>
      </c>
      <c r="Q106" s="26">
        <f t="shared" si="11"/>
        <v>0.59463414634146339</v>
      </c>
      <c r="R106" s="29">
        <f t="shared" si="12"/>
        <v>12.19</v>
      </c>
      <c r="S106" s="30">
        <f t="shared" si="13"/>
        <v>1</v>
      </c>
      <c r="T106" s="30">
        <f t="shared" si="14"/>
        <v>2023</v>
      </c>
      <c r="U106" s="29" t="str">
        <f t="shared" si="15"/>
        <v>January</v>
      </c>
    </row>
    <row r="107" spans="1:21" ht="17.399999999999999" x14ac:dyDescent="0.3">
      <c r="A107" s="21" t="s">
        <v>3271</v>
      </c>
      <c r="B107" s="21" t="s">
        <v>3272</v>
      </c>
      <c r="C107" s="23" t="s">
        <v>3515</v>
      </c>
      <c r="D107" s="21" t="s">
        <v>3520</v>
      </c>
      <c r="E107" s="24">
        <v>44947</v>
      </c>
      <c r="F107" s="24">
        <v>44969</v>
      </c>
      <c r="G107" s="22" t="s">
        <v>24</v>
      </c>
      <c r="H107" s="25">
        <v>37444</v>
      </c>
      <c r="I107" s="25">
        <v>933</v>
      </c>
      <c r="J107" s="26">
        <v>511.92</v>
      </c>
      <c r="K107" s="25">
        <v>170</v>
      </c>
      <c r="L107" s="21" t="s">
        <v>21</v>
      </c>
      <c r="M107" s="22" t="s">
        <v>3536</v>
      </c>
      <c r="N107" s="27">
        <f t="shared" si="8"/>
        <v>22</v>
      </c>
      <c r="O107" s="28">
        <f t="shared" si="9"/>
        <v>2.4917209699818397E-2</v>
      </c>
      <c r="P107" s="28">
        <f t="shared" si="10"/>
        <v>0.18220793140407288</v>
      </c>
      <c r="Q107" s="26">
        <f t="shared" si="11"/>
        <v>0.54868167202572349</v>
      </c>
      <c r="R107" s="29">
        <f t="shared" si="12"/>
        <v>3.0112941176470591</v>
      </c>
      <c r="S107" s="30">
        <f t="shared" si="13"/>
        <v>1</v>
      </c>
      <c r="T107" s="30">
        <f t="shared" si="14"/>
        <v>2023</v>
      </c>
      <c r="U107" s="29" t="str">
        <f t="shared" si="15"/>
        <v>January</v>
      </c>
    </row>
    <row r="108" spans="1:21" ht="17.399999999999999" x14ac:dyDescent="0.3">
      <c r="A108" s="21" t="s">
        <v>874</v>
      </c>
      <c r="B108" s="22" t="s">
        <v>3577</v>
      </c>
      <c r="C108" s="23" t="s">
        <v>3519</v>
      </c>
      <c r="D108" s="22" t="s">
        <v>3545</v>
      </c>
      <c r="E108" s="24">
        <v>44948</v>
      </c>
      <c r="F108" s="24">
        <v>44964</v>
      </c>
      <c r="G108" s="22" t="s">
        <v>24</v>
      </c>
      <c r="H108" s="25">
        <v>60638</v>
      </c>
      <c r="I108" s="25">
        <v>2620</v>
      </c>
      <c r="J108" s="26">
        <v>3367.69</v>
      </c>
      <c r="K108" s="25">
        <v>487</v>
      </c>
      <c r="L108" s="21" t="s">
        <v>17</v>
      </c>
      <c r="M108" s="22" t="s">
        <v>3536</v>
      </c>
      <c r="N108" s="27">
        <f t="shared" si="8"/>
        <v>16</v>
      </c>
      <c r="O108" s="28">
        <f t="shared" si="9"/>
        <v>4.3207229789900721E-2</v>
      </c>
      <c r="P108" s="28">
        <f t="shared" si="10"/>
        <v>0.18587786259541986</v>
      </c>
      <c r="Q108" s="26">
        <f t="shared" si="11"/>
        <v>1.28537786259542</v>
      </c>
      <c r="R108" s="29">
        <f t="shared" si="12"/>
        <v>6.9151745379876797</v>
      </c>
      <c r="S108" s="30">
        <f t="shared" si="13"/>
        <v>1</v>
      </c>
      <c r="T108" s="30">
        <f t="shared" si="14"/>
        <v>2023</v>
      </c>
      <c r="U108" s="29" t="str">
        <f t="shared" si="15"/>
        <v>January</v>
      </c>
    </row>
    <row r="109" spans="1:21" ht="17.399999999999999" x14ac:dyDescent="0.3">
      <c r="A109" s="21" t="s">
        <v>2571</v>
      </c>
      <c r="B109" s="21" t="s">
        <v>2572</v>
      </c>
      <c r="C109" s="23" t="s">
        <v>3519</v>
      </c>
      <c r="D109" s="21" t="s">
        <v>3517</v>
      </c>
      <c r="E109" s="24">
        <v>44948</v>
      </c>
      <c r="F109" s="24">
        <v>44949</v>
      </c>
      <c r="G109" s="22" t="s">
        <v>24</v>
      </c>
      <c r="H109" s="25">
        <v>16850</v>
      </c>
      <c r="I109" s="25">
        <v>432</v>
      </c>
      <c r="J109" s="26">
        <v>451.4</v>
      </c>
      <c r="K109" s="25">
        <v>0</v>
      </c>
      <c r="L109" s="21" t="s">
        <v>21</v>
      </c>
      <c r="M109" s="22" t="s">
        <v>3536</v>
      </c>
      <c r="N109" s="27">
        <f t="shared" si="8"/>
        <v>1</v>
      </c>
      <c r="O109" s="28">
        <f t="shared" si="9"/>
        <v>2.5637982195845697E-2</v>
      </c>
      <c r="P109" s="28">
        <f t="shared" si="10"/>
        <v>0</v>
      </c>
      <c r="Q109" s="26">
        <f t="shared" si="11"/>
        <v>1.0449074074074074</v>
      </c>
      <c r="R109" s="29" t="str">
        <f t="shared" si="12"/>
        <v>0</v>
      </c>
      <c r="S109" s="30">
        <f t="shared" si="13"/>
        <v>1</v>
      </c>
      <c r="T109" s="30">
        <f t="shared" si="14"/>
        <v>2023</v>
      </c>
      <c r="U109" s="29" t="str">
        <f t="shared" si="15"/>
        <v>January</v>
      </c>
    </row>
    <row r="110" spans="1:21" ht="17.399999999999999" x14ac:dyDescent="0.3">
      <c r="A110" s="21" t="s">
        <v>822</v>
      </c>
      <c r="B110" s="21" t="s">
        <v>823</v>
      </c>
      <c r="C110" s="23" t="s">
        <v>3516</v>
      </c>
      <c r="D110" s="21" t="s">
        <v>3517</v>
      </c>
      <c r="E110" s="24">
        <v>44948</v>
      </c>
      <c r="F110" s="24">
        <v>44967</v>
      </c>
      <c r="G110" s="22" t="s">
        <v>16</v>
      </c>
      <c r="H110" s="25">
        <v>83750</v>
      </c>
      <c r="I110" s="25">
        <v>2497</v>
      </c>
      <c r="J110" s="26">
        <v>2199.62</v>
      </c>
      <c r="K110" s="25">
        <v>142</v>
      </c>
      <c r="L110" s="21" t="s">
        <v>21</v>
      </c>
      <c r="M110" s="22" t="s">
        <v>16</v>
      </c>
      <c r="N110" s="27">
        <f t="shared" si="8"/>
        <v>19</v>
      </c>
      <c r="O110" s="28">
        <f t="shared" si="9"/>
        <v>2.9814925373134328E-2</v>
      </c>
      <c r="P110" s="28">
        <f t="shared" si="10"/>
        <v>5.6868241890268324E-2</v>
      </c>
      <c r="Q110" s="26">
        <f t="shared" si="11"/>
        <v>0.88090508610332396</v>
      </c>
      <c r="R110" s="29">
        <f t="shared" si="12"/>
        <v>15.490281690140844</v>
      </c>
      <c r="S110" s="30">
        <f t="shared" si="13"/>
        <v>1</v>
      </c>
      <c r="T110" s="30">
        <f t="shared" si="14"/>
        <v>2023</v>
      </c>
      <c r="U110" s="29" t="str">
        <f t="shared" si="15"/>
        <v>January</v>
      </c>
    </row>
    <row r="111" spans="1:21" ht="17.399999999999999" x14ac:dyDescent="0.3">
      <c r="A111" s="21" t="s">
        <v>3005</v>
      </c>
      <c r="B111" s="21" t="s">
        <v>3006</v>
      </c>
      <c r="C111" s="23" t="s">
        <v>3516</v>
      </c>
      <c r="D111" s="21" t="s">
        <v>3521</v>
      </c>
      <c r="E111" s="24">
        <v>44948</v>
      </c>
      <c r="F111" s="24">
        <v>44973</v>
      </c>
      <c r="G111" s="22" t="s">
        <v>16</v>
      </c>
      <c r="H111" s="25">
        <v>87988</v>
      </c>
      <c r="I111" s="25">
        <v>4192</v>
      </c>
      <c r="J111" s="26">
        <v>6571.66</v>
      </c>
      <c r="K111" s="25">
        <v>786</v>
      </c>
      <c r="L111" s="21" t="s">
        <v>21</v>
      </c>
      <c r="M111" s="22" t="s">
        <v>16</v>
      </c>
      <c r="N111" s="27">
        <f t="shared" si="8"/>
        <v>25</v>
      </c>
      <c r="O111" s="28">
        <f t="shared" si="9"/>
        <v>4.7642860390053186E-2</v>
      </c>
      <c r="P111" s="28">
        <f t="shared" si="10"/>
        <v>0.1875</v>
      </c>
      <c r="Q111" s="26">
        <f t="shared" si="11"/>
        <v>1.5676669847328244</v>
      </c>
      <c r="R111" s="29">
        <f t="shared" si="12"/>
        <v>8.3608905852417301</v>
      </c>
      <c r="S111" s="30">
        <f t="shared" si="13"/>
        <v>1</v>
      </c>
      <c r="T111" s="30">
        <f t="shared" si="14"/>
        <v>2023</v>
      </c>
      <c r="U111" s="29" t="str">
        <f t="shared" si="15"/>
        <v>January</v>
      </c>
    </row>
    <row r="112" spans="1:21" ht="17.399999999999999" x14ac:dyDescent="0.3">
      <c r="A112" s="21" t="s">
        <v>1116</v>
      </c>
      <c r="B112" s="21" t="s">
        <v>1117</v>
      </c>
      <c r="C112" s="23" t="s">
        <v>3515</v>
      </c>
      <c r="D112" s="21" t="s">
        <v>3521</v>
      </c>
      <c r="E112" s="24">
        <v>44948</v>
      </c>
      <c r="F112" s="24">
        <v>44971</v>
      </c>
      <c r="G112" s="22" t="s">
        <v>3535</v>
      </c>
      <c r="H112" s="25">
        <v>52934</v>
      </c>
      <c r="I112" s="25">
        <v>1028</v>
      </c>
      <c r="J112" s="26">
        <v>876.36</v>
      </c>
      <c r="K112" s="25">
        <v>114</v>
      </c>
      <c r="L112" s="21" t="s">
        <v>21</v>
      </c>
      <c r="M112" s="22" t="s">
        <v>3535</v>
      </c>
      <c r="N112" s="27">
        <f t="shared" si="8"/>
        <v>23</v>
      </c>
      <c r="O112" s="28">
        <f t="shared" si="9"/>
        <v>1.9420410322288133E-2</v>
      </c>
      <c r="P112" s="28">
        <f t="shared" si="10"/>
        <v>0.11089494163424124</v>
      </c>
      <c r="Q112" s="26">
        <f t="shared" si="11"/>
        <v>0.85249027237354091</v>
      </c>
      <c r="R112" s="29">
        <f t="shared" si="12"/>
        <v>7.6873684210526321</v>
      </c>
      <c r="S112" s="30">
        <f t="shared" si="13"/>
        <v>1</v>
      </c>
      <c r="T112" s="30">
        <f t="shared" si="14"/>
        <v>2023</v>
      </c>
      <c r="U112" s="29" t="str">
        <f t="shared" si="15"/>
        <v>January</v>
      </c>
    </row>
    <row r="113" spans="1:21" ht="17.399999999999999" x14ac:dyDescent="0.3">
      <c r="A113" s="21" t="s">
        <v>560</v>
      </c>
      <c r="B113" s="21" t="s">
        <v>561</v>
      </c>
      <c r="C113" s="23" t="s">
        <v>3519</v>
      </c>
      <c r="D113" s="21" t="s">
        <v>3517</v>
      </c>
      <c r="E113" s="24">
        <v>44949</v>
      </c>
      <c r="F113" s="24">
        <v>44962</v>
      </c>
      <c r="G113" s="22" t="s">
        <v>16</v>
      </c>
      <c r="H113" s="25">
        <v>3869</v>
      </c>
      <c r="I113" s="25">
        <v>152</v>
      </c>
      <c r="J113" s="26">
        <v>215.07</v>
      </c>
      <c r="K113" s="25">
        <v>19</v>
      </c>
      <c r="L113" s="21" t="s">
        <v>21</v>
      </c>
      <c r="M113" s="22" t="s">
        <v>16</v>
      </c>
      <c r="N113" s="27">
        <f t="shared" si="8"/>
        <v>13</v>
      </c>
      <c r="O113" s="28">
        <f t="shared" si="9"/>
        <v>3.928663737399845E-2</v>
      </c>
      <c r="P113" s="28">
        <f t="shared" si="10"/>
        <v>0.125</v>
      </c>
      <c r="Q113" s="26">
        <f t="shared" si="11"/>
        <v>1.4149342105263158</v>
      </c>
      <c r="R113" s="29">
        <f t="shared" si="12"/>
        <v>11.319473684210527</v>
      </c>
      <c r="S113" s="30">
        <f t="shared" si="13"/>
        <v>1</v>
      </c>
      <c r="T113" s="30">
        <f t="shared" si="14"/>
        <v>2023</v>
      </c>
      <c r="U113" s="29" t="str">
        <f t="shared" si="15"/>
        <v>January</v>
      </c>
    </row>
    <row r="114" spans="1:21" ht="17.399999999999999" x14ac:dyDescent="0.3">
      <c r="A114" s="21" t="s">
        <v>998</v>
      </c>
      <c r="B114" s="21" t="s">
        <v>999</v>
      </c>
      <c r="C114" s="23" t="s">
        <v>3519</v>
      </c>
      <c r="D114" s="21" t="s">
        <v>3521</v>
      </c>
      <c r="E114" s="24">
        <v>44949</v>
      </c>
      <c r="F114" s="24">
        <v>44953</v>
      </c>
      <c r="G114" s="22" t="s">
        <v>14</v>
      </c>
      <c r="H114" s="25">
        <v>93658</v>
      </c>
      <c r="I114" s="25">
        <v>4222</v>
      </c>
      <c r="J114" s="26">
        <v>4093.55</v>
      </c>
      <c r="K114" s="25">
        <v>655</v>
      </c>
      <c r="L114" s="21" t="s">
        <v>21</v>
      </c>
      <c r="M114" s="22" t="s">
        <v>3537</v>
      </c>
      <c r="N114" s="27">
        <f t="shared" si="8"/>
        <v>4</v>
      </c>
      <c r="O114" s="28">
        <f t="shared" si="9"/>
        <v>4.5078904097888062E-2</v>
      </c>
      <c r="P114" s="28">
        <f t="shared" si="10"/>
        <v>0.155139744197063</v>
      </c>
      <c r="Q114" s="26">
        <f t="shared" si="11"/>
        <v>0.96957603031738515</v>
      </c>
      <c r="R114" s="29">
        <f t="shared" si="12"/>
        <v>6.2496946564885496</v>
      </c>
      <c r="S114" s="30">
        <f t="shared" si="13"/>
        <v>1</v>
      </c>
      <c r="T114" s="30">
        <f t="shared" si="14"/>
        <v>2023</v>
      </c>
      <c r="U114" s="29" t="str">
        <f t="shared" si="15"/>
        <v>January</v>
      </c>
    </row>
    <row r="115" spans="1:21" ht="17.399999999999999" x14ac:dyDescent="0.3">
      <c r="A115" s="21" t="s">
        <v>2677</v>
      </c>
      <c r="B115" s="22" t="s">
        <v>3578</v>
      </c>
      <c r="C115" s="23" t="s">
        <v>3518</v>
      </c>
      <c r="D115" s="22" t="s">
        <v>3545</v>
      </c>
      <c r="E115" s="24">
        <v>44949</v>
      </c>
      <c r="F115" s="24">
        <v>44975</v>
      </c>
      <c r="G115" s="22" t="s">
        <v>16</v>
      </c>
      <c r="H115" s="25">
        <v>30711</v>
      </c>
      <c r="I115" s="25">
        <v>645</v>
      </c>
      <c r="J115" s="26">
        <v>1147.71</v>
      </c>
      <c r="K115" s="25">
        <v>64</v>
      </c>
      <c r="L115" s="21" t="s">
        <v>17</v>
      </c>
      <c r="M115" s="22" t="s">
        <v>16</v>
      </c>
      <c r="N115" s="27">
        <f t="shared" si="8"/>
        <v>26</v>
      </c>
      <c r="O115" s="28">
        <f t="shared" si="9"/>
        <v>2.1002246751978117E-2</v>
      </c>
      <c r="P115" s="28">
        <f t="shared" si="10"/>
        <v>9.9224806201550386E-2</v>
      </c>
      <c r="Q115" s="26">
        <f t="shared" si="11"/>
        <v>1.7793953488372094</v>
      </c>
      <c r="R115" s="29">
        <f t="shared" si="12"/>
        <v>17.932968750000001</v>
      </c>
      <c r="S115" s="30">
        <f t="shared" si="13"/>
        <v>1</v>
      </c>
      <c r="T115" s="30">
        <f t="shared" si="14"/>
        <v>2023</v>
      </c>
      <c r="U115" s="29" t="str">
        <f t="shared" si="15"/>
        <v>January</v>
      </c>
    </row>
    <row r="116" spans="1:21" ht="17.399999999999999" x14ac:dyDescent="0.3">
      <c r="A116" s="21" t="s">
        <v>205</v>
      </c>
      <c r="B116" s="21" t="s">
        <v>206</v>
      </c>
      <c r="C116" s="23" t="s">
        <v>3515</v>
      </c>
      <c r="D116" s="21" t="s">
        <v>3517</v>
      </c>
      <c r="E116" s="24">
        <v>44949</v>
      </c>
      <c r="F116" s="24">
        <v>44968</v>
      </c>
      <c r="G116" s="22" t="s">
        <v>16</v>
      </c>
      <c r="H116" s="25">
        <v>39660</v>
      </c>
      <c r="I116" s="25">
        <v>654</v>
      </c>
      <c r="J116" s="26">
        <v>691.43</v>
      </c>
      <c r="K116" s="25">
        <v>73</v>
      </c>
      <c r="L116" s="21" t="s">
        <v>17</v>
      </c>
      <c r="M116" s="22" t="s">
        <v>16</v>
      </c>
      <c r="N116" s="27">
        <f t="shared" si="8"/>
        <v>19</v>
      </c>
      <c r="O116" s="28">
        <f t="shared" si="9"/>
        <v>1.6490166414523451E-2</v>
      </c>
      <c r="P116" s="28">
        <f t="shared" si="10"/>
        <v>0.11162079510703364</v>
      </c>
      <c r="Q116" s="26">
        <f t="shared" si="11"/>
        <v>1.0572324159021407</v>
      </c>
      <c r="R116" s="29">
        <f t="shared" si="12"/>
        <v>9.4716438356164385</v>
      </c>
      <c r="S116" s="30">
        <f t="shared" si="13"/>
        <v>1</v>
      </c>
      <c r="T116" s="30">
        <f t="shared" si="14"/>
        <v>2023</v>
      </c>
      <c r="U116" s="29" t="str">
        <f t="shared" si="15"/>
        <v>January</v>
      </c>
    </row>
    <row r="117" spans="1:21" ht="17.399999999999999" x14ac:dyDescent="0.3">
      <c r="A117" s="21" t="s">
        <v>1620</v>
      </c>
      <c r="B117" s="21" t="s">
        <v>1621</v>
      </c>
      <c r="C117" s="23" t="s">
        <v>3515</v>
      </c>
      <c r="D117" s="21" t="s">
        <v>3521</v>
      </c>
      <c r="E117" s="24">
        <v>44949</v>
      </c>
      <c r="F117" s="24">
        <v>44962</v>
      </c>
      <c r="G117" s="22" t="s">
        <v>3535</v>
      </c>
      <c r="H117" s="25">
        <v>88044</v>
      </c>
      <c r="I117" s="25">
        <v>3085</v>
      </c>
      <c r="J117" s="26">
        <v>5398.15</v>
      </c>
      <c r="K117" s="25">
        <v>348</v>
      </c>
      <c r="L117" s="21" t="s">
        <v>21</v>
      </c>
      <c r="M117" s="22" t="s">
        <v>3535</v>
      </c>
      <c r="N117" s="27">
        <f t="shared" si="8"/>
        <v>13</v>
      </c>
      <c r="O117" s="28">
        <f t="shared" si="9"/>
        <v>3.5039298532551909E-2</v>
      </c>
      <c r="P117" s="28">
        <f t="shared" si="10"/>
        <v>0.11280388978930309</v>
      </c>
      <c r="Q117" s="26">
        <f t="shared" si="11"/>
        <v>1.749805510534846</v>
      </c>
      <c r="R117" s="29">
        <f t="shared" si="12"/>
        <v>15.511925287356322</v>
      </c>
      <c r="S117" s="30">
        <f t="shared" si="13"/>
        <v>1</v>
      </c>
      <c r="T117" s="30">
        <f t="shared" si="14"/>
        <v>2023</v>
      </c>
      <c r="U117" s="29" t="str">
        <f t="shared" si="15"/>
        <v>January</v>
      </c>
    </row>
    <row r="118" spans="1:21" ht="17.399999999999999" x14ac:dyDescent="0.3">
      <c r="A118" s="21" t="s">
        <v>3430</v>
      </c>
      <c r="B118" s="22" t="s">
        <v>3579</v>
      </c>
      <c r="C118" s="23" t="s">
        <v>3515</v>
      </c>
      <c r="D118" s="22" t="s">
        <v>3545</v>
      </c>
      <c r="E118" s="24">
        <v>44949</v>
      </c>
      <c r="F118" s="24">
        <v>44974</v>
      </c>
      <c r="G118" s="22" t="s">
        <v>14</v>
      </c>
      <c r="H118" s="25">
        <v>2925</v>
      </c>
      <c r="I118" s="25">
        <v>77</v>
      </c>
      <c r="J118" s="26">
        <v>79.14</v>
      </c>
      <c r="K118" s="25">
        <v>13</v>
      </c>
      <c r="L118" s="21" t="s">
        <v>17</v>
      </c>
      <c r="M118" s="22" t="s">
        <v>3537</v>
      </c>
      <c r="N118" s="27">
        <f t="shared" si="8"/>
        <v>25</v>
      </c>
      <c r="O118" s="28">
        <f t="shared" si="9"/>
        <v>2.6324786324786326E-2</v>
      </c>
      <c r="P118" s="28">
        <f t="shared" si="10"/>
        <v>0.16883116883116883</v>
      </c>
      <c r="Q118" s="26">
        <f t="shared" si="11"/>
        <v>1.0277922077922077</v>
      </c>
      <c r="R118" s="29">
        <f t="shared" si="12"/>
        <v>6.0876923076923077</v>
      </c>
      <c r="S118" s="30">
        <f t="shared" si="13"/>
        <v>1</v>
      </c>
      <c r="T118" s="30">
        <f t="shared" si="14"/>
        <v>2023</v>
      </c>
      <c r="U118" s="29" t="str">
        <f t="shared" si="15"/>
        <v>January</v>
      </c>
    </row>
    <row r="119" spans="1:21" ht="17.399999999999999" x14ac:dyDescent="0.3">
      <c r="A119" s="21" t="s">
        <v>1118</v>
      </c>
      <c r="B119" s="22" t="s">
        <v>3580</v>
      </c>
      <c r="C119" s="23" t="s">
        <v>3519</v>
      </c>
      <c r="D119" s="22" t="s">
        <v>3545</v>
      </c>
      <c r="E119" s="24">
        <v>44950</v>
      </c>
      <c r="F119" s="24">
        <v>44966</v>
      </c>
      <c r="G119" s="22" t="s">
        <v>14</v>
      </c>
      <c r="H119" s="25">
        <v>65895</v>
      </c>
      <c r="I119" s="25">
        <v>1637</v>
      </c>
      <c r="J119" s="26">
        <v>2856.94</v>
      </c>
      <c r="K119" s="25">
        <v>322</v>
      </c>
      <c r="L119" s="21" t="s">
        <v>17</v>
      </c>
      <c r="M119" s="22" t="s">
        <v>3537</v>
      </c>
      <c r="N119" s="27">
        <f t="shared" si="8"/>
        <v>16</v>
      </c>
      <c r="O119" s="28">
        <f t="shared" si="9"/>
        <v>2.484255254571667E-2</v>
      </c>
      <c r="P119" s="28">
        <f t="shared" si="10"/>
        <v>0.19670128283445326</v>
      </c>
      <c r="Q119" s="26">
        <f t="shared" si="11"/>
        <v>1.7452290775809407</v>
      </c>
      <c r="R119" s="29">
        <f t="shared" si="12"/>
        <v>8.87248447204969</v>
      </c>
      <c r="S119" s="30">
        <f t="shared" si="13"/>
        <v>1</v>
      </c>
      <c r="T119" s="30">
        <f t="shared" si="14"/>
        <v>2023</v>
      </c>
      <c r="U119" s="29" t="str">
        <f t="shared" si="15"/>
        <v>January</v>
      </c>
    </row>
    <row r="120" spans="1:21" ht="17.399999999999999" x14ac:dyDescent="0.3">
      <c r="A120" s="21" t="s">
        <v>1339</v>
      </c>
      <c r="B120" s="21" t="s">
        <v>1340</v>
      </c>
      <c r="C120" s="23" t="s">
        <v>3518</v>
      </c>
      <c r="D120" s="21" t="s">
        <v>3520</v>
      </c>
      <c r="E120" s="24">
        <v>44950</v>
      </c>
      <c r="F120" s="24">
        <v>44967</v>
      </c>
      <c r="G120" s="22" t="s">
        <v>31</v>
      </c>
      <c r="H120" s="25">
        <v>10337</v>
      </c>
      <c r="I120" s="25">
        <v>376</v>
      </c>
      <c r="J120" s="26">
        <v>619.92999999999995</v>
      </c>
      <c r="K120" s="25">
        <v>44</v>
      </c>
      <c r="L120" s="21" t="s">
        <v>17</v>
      </c>
      <c r="M120" s="22" t="s">
        <v>31</v>
      </c>
      <c r="N120" s="27">
        <f t="shared" si="8"/>
        <v>17</v>
      </c>
      <c r="O120" s="28">
        <f t="shared" si="9"/>
        <v>3.6374189803618069E-2</v>
      </c>
      <c r="P120" s="28">
        <f t="shared" si="10"/>
        <v>0.11702127659574468</v>
      </c>
      <c r="Q120" s="26">
        <f t="shared" si="11"/>
        <v>1.6487499999999999</v>
      </c>
      <c r="R120" s="29">
        <f t="shared" si="12"/>
        <v>14.089318181818181</v>
      </c>
      <c r="S120" s="30">
        <f t="shared" si="13"/>
        <v>1</v>
      </c>
      <c r="T120" s="30">
        <f t="shared" si="14"/>
        <v>2023</v>
      </c>
      <c r="U120" s="29" t="str">
        <f t="shared" si="15"/>
        <v>January</v>
      </c>
    </row>
    <row r="121" spans="1:21" ht="17.399999999999999" x14ac:dyDescent="0.3">
      <c r="A121" s="21" t="s">
        <v>2274</v>
      </c>
      <c r="B121" s="21" t="s">
        <v>2275</v>
      </c>
      <c r="C121" s="23" t="s">
        <v>3518</v>
      </c>
      <c r="D121" s="21" t="s">
        <v>3517</v>
      </c>
      <c r="E121" s="24">
        <v>44950</v>
      </c>
      <c r="F121" s="24">
        <v>44956</v>
      </c>
      <c r="G121" s="22" t="s">
        <v>14</v>
      </c>
      <c r="H121" s="25">
        <v>91397</v>
      </c>
      <c r="I121" s="25">
        <v>4352</v>
      </c>
      <c r="J121" s="26">
        <v>3921.69</v>
      </c>
      <c r="K121" s="25">
        <v>254</v>
      </c>
      <c r="L121" s="21" t="s">
        <v>21</v>
      </c>
      <c r="M121" s="22" t="s">
        <v>3537</v>
      </c>
      <c r="N121" s="27">
        <f t="shared" si="8"/>
        <v>6</v>
      </c>
      <c r="O121" s="28">
        <f t="shared" si="9"/>
        <v>4.7616442552819022E-2</v>
      </c>
      <c r="P121" s="28">
        <f t="shared" si="10"/>
        <v>5.8363970588235295E-2</v>
      </c>
      <c r="Q121" s="26">
        <f t="shared" si="11"/>
        <v>0.90112362132352941</v>
      </c>
      <c r="R121" s="29">
        <f t="shared" si="12"/>
        <v>15.43972440944882</v>
      </c>
      <c r="S121" s="30">
        <f t="shared" si="13"/>
        <v>1</v>
      </c>
      <c r="T121" s="30">
        <f t="shared" si="14"/>
        <v>2023</v>
      </c>
      <c r="U121" s="29" t="str">
        <f t="shared" si="15"/>
        <v>January</v>
      </c>
    </row>
    <row r="122" spans="1:21" ht="17.399999999999999" x14ac:dyDescent="0.3">
      <c r="A122" s="21" t="s">
        <v>2649</v>
      </c>
      <c r="B122" s="22" t="s">
        <v>3581</v>
      </c>
      <c r="C122" s="23" t="s">
        <v>3516</v>
      </c>
      <c r="D122" s="22" t="s">
        <v>3545</v>
      </c>
      <c r="E122" s="24">
        <v>44950</v>
      </c>
      <c r="F122" s="24">
        <v>44960</v>
      </c>
      <c r="G122" s="22" t="s">
        <v>16</v>
      </c>
      <c r="H122" s="25">
        <v>1338</v>
      </c>
      <c r="I122" s="25">
        <v>26</v>
      </c>
      <c r="J122" s="26">
        <v>20.58</v>
      </c>
      <c r="K122" s="25">
        <v>0</v>
      </c>
      <c r="L122" s="21" t="s">
        <v>21</v>
      </c>
      <c r="M122" s="22" t="s">
        <v>16</v>
      </c>
      <c r="N122" s="27">
        <f t="shared" si="8"/>
        <v>10</v>
      </c>
      <c r="O122" s="28">
        <f t="shared" si="9"/>
        <v>1.9431988041853511E-2</v>
      </c>
      <c r="P122" s="28">
        <f t="shared" si="10"/>
        <v>0</v>
      </c>
      <c r="Q122" s="26">
        <f t="shared" si="11"/>
        <v>0.79153846153846152</v>
      </c>
      <c r="R122" s="29" t="str">
        <f t="shared" si="12"/>
        <v>0</v>
      </c>
      <c r="S122" s="30">
        <f t="shared" si="13"/>
        <v>1</v>
      </c>
      <c r="T122" s="30">
        <f t="shared" si="14"/>
        <v>2023</v>
      </c>
      <c r="U122" s="29" t="str">
        <f t="shared" si="15"/>
        <v>January</v>
      </c>
    </row>
    <row r="123" spans="1:21" ht="17.399999999999999" x14ac:dyDescent="0.3">
      <c r="A123" s="21" t="s">
        <v>2331</v>
      </c>
      <c r="B123" s="21" t="s">
        <v>2332</v>
      </c>
      <c r="C123" s="23" t="s">
        <v>3515</v>
      </c>
      <c r="D123" s="21" t="s">
        <v>3521</v>
      </c>
      <c r="E123" s="24">
        <v>44950</v>
      </c>
      <c r="F123" s="24">
        <v>44965</v>
      </c>
      <c r="G123" s="22" t="s">
        <v>16</v>
      </c>
      <c r="H123" s="25">
        <v>75055</v>
      </c>
      <c r="I123" s="25">
        <v>1906</v>
      </c>
      <c r="J123" s="26">
        <v>2802.31</v>
      </c>
      <c r="K123" s="25">
        <v>302</v>
      </c>
      <c r="L123" s="21" t="s">
        <v>21</v>
      </c>
      <c r="M123" s="22" t="s">
        <v>16</v>
      </c>
      <c r="N123" s="27">
        <f t="shared" si="8"/>
        <v>15</v>
      </c>
      <c r="O123" s="28">
        <f t="shared" si="9"/>
        <v>2.5394710545599893E-2</v>
      </c>
      <c r="P123" s="28">
        <f t="shared" si="10"/>
        <v>0.1584470094438615</v>
      </c>
      <c r="Q123" s="26">
        <f t="shared" si="11"/>
        <v>1.4702570828961175</v>
      </c>
      <c r="R123" s="29">
        <f t="shared" si="12"/>
        <v>9.279172185430463</v>
      </c>
      <c r="S123" s="30">
        <f t="shared" si="13"/>
        <v>1</v>
      </c>
      <c r="T123" s="30">
        <f t="shared" si="14"/>
        <v>2023</v>
      </c>
      <c r="U123" s="29" t="str">
        <f t="shared" si="15"/>
        <v>January</v>
      </c>
    </row>
    <row r="124" spans="1:21" ht="17.399999999999999" x14ac:dyDescent="0.3">
      <c r="A124" s="21" t="s">
        <v>2292</v>
      </c>
      <c r="B124" s="21" t="s">
        <v>2293</v>
      </c>
      <c r="C124" s="23" t="s">
        <v>3519</v>
      </c>
      <c r="D124" s="21" t="s">
        <v>3521</v>
      </c>
      <c r="E124" s="24">
        <v>44951</v>
      </c>
      <c r="F124" s="24">
        <v>44960</v>
      </c>
      <c r="G124" s="22" t="s">
        <v>16</v>
      </c>
      <c r="H124" s="25">
        <v>7645</v>
      </c>
      <c r="I124" s="25">
        <v>205</v>
      </c>
      <c r="J124" s="26">
        <v>382.88</v>
      </c>
      <c r="K124" s="25">
        <v>34</v>
      </c>
      <c r="L124" s="21" t="s">
        <v>21</v>
      </c>
      <c r="M124" s="22" t="s">
        <v>16</v>
      </c>
      <c r="N124" s="27">
        <f t="shared" si="8"/>
        <v>9</v>
      </c>
      <c r="O124" s="28">
        <f t="shared" si="9"/>
        <v>2.6814911706998037E-2</v>
      </c>
      <c r="P124" s="28">
        <f t="shared" si="10"/>
        <v>0.16585365853658537</v>
      </c>
      <c r="Q124" s="26">
        <f t="shared" si="11"/>
        <v>1.8677073170731706</v>
      </c>
      <c r="R124" s="29">
        <f t="shared" si="12"/>
        <v>11.261176470588236</v>
      </c>
      <c r="S124" s="30">
        <f t="shared" si="13"/>
        <v>1</v>
      </c>
      <c r="T124" s="30">
        <f t="shared" si="14"/>
        <v>2023</v>
      </c>
      <c r="U124" s="29" t="str">
        <f t="shared" si="15"/>
        <v>January</v>
      </c>
    </row>
    <row r="125" spans="1:21" ht="17.399999999999999" x14ac:dyDescent="0.3">
      <c r="A125" s="21" t="s">
        <v>1015</v>
      </c>
      <c r="B125" s="21" t="s">
        <v>1016</v>
      </c>
      <c r="C125" s="23" t="s">
        <v>3518</v>
      </c>
      <c r="D125" s="21" t="s">
        <v>3520</v>
      </c>
      <c r="E125" s="24">
        <v>44951</v>
      </c>
      <c r="F125" s="24">
        <v>44960</v>
      </c>
      <c r="G125" s="22" t="s">
        <v>24</v>
      </c>
      <c r="H125" s="25">
        <v>58458</v>
      </c>
      <c r="I125" s="25">
        <v>2122</v>
      </c>
      <c r="J125" s="26">
        <v>3546.81</v>
      </c>
      <c r="K125" s="25">
        <v>303</v>
      </c>
      <c r="L125" s="21" t="s">
        <v>21</v>
      </c>
      <c r="M125" s="22" t="s">
        <v>3536</v>
      </c>
      <c r="N125" s="27">
        <f t="shared" si="8"/>
        <v>9</v>
      </c>
      <c r="O125" s="28">
        <f t="shared" si="9"/>
        <v>3.6299565500017103E-2</v>
      </c>
      <c r="P125" s="28">
        <f t="shared" si="10"/>
        <v>0.14278982092365694</v>
      </c>
      <c r="Q125" s="26">
        <f t="shared" si="11"/>
        <v>1.6714467483506126</v>
      </c>
      <c r="R125" s="29">
        <f t="shared" si="12"/>
        <v>11.705643564356436</v>
      </c>
      <c r="S125" s="30">
        <f t="shared" si="13"/>
        <v>1</v>
      </c>
      <c r="T125" s="30">
        <f t="shared" si="14"/>
        <v>2023</v>
      </c>
      <c r="U125" s="29" t="str">
        <f t="shared" si="15"/>
        <v>January</v>
      </c>
    </row>
    <row r="126" spans="1:21" ht="17.399999999999999" x14ac:dyDescent="0.3">
      <c r="A126" s="21" t="s">
        <v>1391</v>
      </c>
      <c r="B126" s="21" t="s">
        <v>1392</v>
      </c>
      <c r="C126" s="23" t="s">
        <v>3518</v>
      </c>
      <c r="D126" s="21" t="s">
        <v>3520</v>
      </c>
      <c r="E126" s="24">
        <v>44951</v>
      </c>
      <c r="F126" s="24">
        <v>44981</v>
      </c>
      <c r="G126" s="22" t="s">
        <v>14</v>
      </c>
      <c r="H126" s="25">
        <v>96084</v>
      </c>
      <c r="I126" s="25">
        <v>1598</v>
      </c>
      <c r="J126" s="26">
        <v>2317.29</v>
      </c>
      <c r="K126" s="25">
        <v>144</v>
      </c>
      <c r="L126" s="21" t="s">
        <v>21</v>
      </c>
      <c r="M126" s="22" t="s">
        <v>3537</v>
      </c>
      <c r="N126" s="27">
        <f t="shared" si="8"/>
        <v>30</v>
      </c>
      <c r="O126" s="28">
        <f t="shared" si="9"/>
        <v>1.6631280962491155E-2</v>
      </c>
      <c r="P126" s="28">
        <f t="shared" si="10"/>
        <v>9.0112640801001245E-2</v>
      </c>
      <c r="Q126" s="26">
        <f t="shared" si="11"/>
        <v>1.4501188986232791</v>
      </c>
      <c r="R126" s="29">
        <f t="shared" si="12"/>
        <v>16.092291666666668</v>
      </c>
      <c r="S126" s="30">
        <f t="shared" si="13"/>
        <v>1</v>
      </c>
      <c r="T126" s="30">
        <f t="shared" si="14"/>
        <v>2023</v>
      </c>
      <c r="U126" s="29" t="str">
        <f t="shared" si="15"/>
        <v>January</v>
      </c>
    </row>
    <row r="127" spans="1:21" ht="17.399999999999999" x14ac:dyDescent="0.3">
      <c r="A127" s="21" t="s">
        <v>1250</v>
      </c>
      <c r="B127" s="22" t="s">
        <v>3582</v>
      </c>
      <c r="C127" s="23" t="s">
        <v>3519</v>
      </c>
      <c r="D127" s="22" t="s">
        <v>3545</v>
      </c>
      <c r="E127" s="24">
        <v>44952</v>
      </c>
      <c r="F127" s="24">
        <v>44972</v>
      </c>
      <c r="G127" s="22" t="s">
        <v>3535</v>
      </c>
      <c r="H127" s="25">
        <v>10435</v>
      </c>
      <c r="I127" s="25">
        <v>449</v>
      </c>
      <c r="J127" s="26">
        <v>319.54000000000002</v>
      </c>
      <c r="K127" s="25">
        <v>84</v>
      </c>
      <c r="L127" s="21" t="s">
        <v>21</v>
      </c>
      <c r="M127" s="22" t="s">
        <v>3535</v>
      </c>
      <c r="N127" s="27">
        <f t="shared" si="8"/>
        <v>20</v>
      </c>
      <c r="O127" s="28">
        <f t="shared" si="9"/>
        <v>4.3028270244369907E-2</v>
      </c>
      <c r="P127" s="28">
        <f t="shared" si="10"/>
        <v>0.18708240534521159</v>
      </c>
      <c r="Q127" s="26">
        <f t="shared" si="11"/>
        <v>0.71167037861915372</v>
      </c>
      <c r="R127" s="29">
        <f t="shared" si="12"/>
        <v>3.8040476190476191</v>
      </c>
      <c r="S127" s="30">
        <f t="shared" si="13"/>
        <v>1</v>
      </c>
      <c r="T127" s="30">
        <f t="shared" si="14"/>
        <v>2023</v>
      </c>
      <c r="U127" s="29" t="str">
        <f t="shared" si="15"/>
        <v>January</v>
      </c>
    </row>
    <row r="128" spans="1:21" ht="17.399999999999999" x14ac:dyDescent="0.3">
      <c r="A128" s="21" t="s">
        <v>1943</v>
      </c>
      <c r="B128" s="21" t="s">
        <v>1944</v>
      </c>
      <c r="C128" s="23" t="s">
        <v>3518</v>
      </c>
      <c r="D128" s="21" t="s">
        <v>3521</v>
      </c>
      <c r="E128" s="24">
        <v>44952</v>
      </c>
      <c r="F128" s="24">
        <v>44977</v>
      </c>
      <c r="G128" s="22" t="s">
        <v>3535</v>
      </c>
      <c r="H128" s="25">
        <v>20282</v>
      </c>
      <c r="I128" s="25">
        <v>598</v>
      </c>
      <c r="J128" s="26">
        <v>1162.95</v>
      </c>
      <c r="K128" s="25">
        <v>0</v>
      </c>
      <c r="L128" s="21" t="s">
        <v>17</v>
      </c>
      <c r="M128" s="22" t="s">
        <v>3535</v>
      </c>
      <c r="N128" s="27">
        <f t="shared" si="8"/>
        <v>25</v>
      </c>
      <c r="O128" s="28">
        <f t="shared" si="9"/>
        <v>2.9484271768070211E-2</v>
      </c>
      <c r="P128" s="28">
        <f t="shared" si="10"/>
        <v>0</v>
      </c>
      <c r="Q128" s="26">
        <f t="shared" si="11"/>
        <v>1.9447324414715721</v>
      </c>
      <c r="R128" s="29" t="str">
        <f t="shared" si="12"/>
        <v>0</v>
      </c>
      <c r="S128" s="30">
        <f t="shared" si="13"/>
        <v>1</v>
      </c>
      <c r="T128" s="30">
        <f t="shared" si="14"/>
        <v>2023</v>
      </c>
      <c r="U128" s="29" t="str">
        <f t="shared" si="15"/>
        <v>January</v>
      </c>
    </row>
    <row r="129" spans="1:21" ht="17.399999999999999" x14ac:dyDescent="0.3">
      <c r="A129" s="21" t="s">
        <v>1162</v>
      </c>
      <c r="B129" s="21" t="s">
        <v>1163</v>
      </c>
      <c r="C129" s="23" t="s">
        <v>3519</v>
      </c>
      <c r="D129" s="21" t="s">
        <v>3520</v>
      </c>
      <c r="E129" s="24">
        <v>44953</v>
      </c>
      <c r="F129" s="24">
        <v>44977</v>
      </c>
      <c r="G129" s="22" t="s">
        <v>24</v>
      </c>
      <c r="H129" s="25">
        <v>7801</v>
      </c>
      <c r="I129" s="25">
        <v>344</v>
      </c>
      <c r="J129" s="26">
        <v>436.8</v>
      </c>
      <c r="K129" s="25">
        <v>46</v>
      </c>
      <c r="L129" s="21" t="s">
        <v>21</v>
      </c>
      <c r="M129" s="22" t="s">
        <v>3536</v>
      </c>
      <c r="N129" s="27">
        <f t="shared" si="8"/>
        <v>24</v>
      </c>
      <c r="O129" s="28">
        <f t="shared" si="9"/>
        <v>4.4096910652480455E-2</v>
      </c>
      <c r="P129" s="28">
        <f t="shared" si="10"/>
        <v>0.13372093023255813</v>
      </c>
      <c r="Q129" s="26">
        <f t="shared" si="11"/>
        <v>1.2697674418604652</v>
      </c>
      <c r="R129" s="29">
        <f t="shared" si="12"/>
        <v>9.4956521739130437</v>
      </c>
      <c r="S129" s="30">
        <f t="shared" si="13"/>
        <v>1</v>
      </c>
      <c r="T129" s="30">
        <f t="shared" si="14"/>
        <v>2023</v>
      </c>
      <c r="U129" s="29" t="str">
        <f t="shared" si="15"/>
        <v>January</v>
      </c>
    </row>
    <row r="130" spans="1:21" ht="17.399999999999999" x14ac:dyDescent="0.3">
      <c r="A130" s="21" t="s">
        <v>446</v>
      </c>
      <c r="B130" s="21" t="s">
        <v>447</v>
      </c>
      <c r="C130" s="23" t="s">
        <v>3518</v>
      </c>
      <c r="D130" s="21" t="s">
        <v>3517</v>
      </c>
      <c r="E130" s="24">
        <v>44953</v>
      </c>
      <c r="F130" s="24">
        <v>44971</v>
      </c>
      <c r="G130" s="22" t="s">
        <v>11</v>
      </c>
      <c r="H130" s="25">
        <v>92906</v>
      </c>
      <c r="I130" s="25">
        <v>2918</v>
      </c>
      <c r="J130" s="26">
        <v>5575.21</v>
      </c>
      <c r="K130" s="25">
        <v>0</v>
      </c>
      <c r="L130" s="21" t="s">
        <v>17</v>
      </c>
      <c r="M130" s="22" t="s">
        <v>11</v>
      </c>
      <c r="N130" s="27">
        <f t="shared" ref="N130:N193" si="16">F130-E130</f>
        <v>18</v>
      </c>
      <c r="O130" s="28">
        <f t="shared" ref="O130:O193" si="17">I130/H130</f>
        <v>3.1408089897315569E-2</v>
      </c>
      <c r="P130" s="28">
        <f t="shared" ref="P130:P193" si="18">K130/I130</f>
        <v>0</v>
      </c>
      <c r="Q130" s="26">
        <f t="shared" ref="Q130:Q193" si="19">J130/I130</f>
        <v>1.9106271418779985</v>
      </c>
      <c r="R130" s="29" t="str">
        <f t="shared" ref="R130:R193" si="20">IFERROR(J130/K130,"0")</f>
        <v>0</v>
      </c>
      <c r="S130" s="30">
        <f t="shared" ref="S130:S193" si="21">MONTH(E130)</f>
        <v>1</v>
      </c>
      <c r="T130" s="30">
        <f t="shared" ref="T130:T193" si="22">YEAR(E130)</f>
        <v>2023</v>
      </c>
      <c r="U130" s="29" t="str">
        <f t="shared" ref="U130:U193" si="23">TEXT(E130,"mmmm")</f>
        <v>January</v>
      </c>
    </row>
    <row r="131" spans="1:21" ht="17.399999999999999" x14ac:dyDescent="0.3">
      <c r="A131" s="21" t="s">
        <v>2998</v>
      </c>
      <c r="B131" s="22" t="s">
        <v>3583</v>
      </c>
      <c r="C131" s="23" t="s">
        <v>3515</v>
      </c>
      <c r="D131" s="22" t="s">
        <v>3545</v>
      </c>
      <c r="E131" s="24">
        <v>44953</v>
      </c>
      <c r="F131" s="24">
        <v>44976</v>
      </c>
      <c r="G131" s="22" t="s">
        <v>31</v>
      </c>
      <c r="H131" s="25">
        <v>10903</v>
      </c>
      <c r="I131" s="25">
        <v>451</v>
      </c>
      <c r="J131" s="26">
        <v>551.76</v>
      </c>
      <c r="K131" s="25">
        <v>40</v>
      </c>
      <c r="L131" s="21" t="s">
        <v>21</v>
      </c>
      <c r="M131" s="22" t="s">
        <v>31</v>
      </c>
      <c r="N131" s="27">
        <f t="shared" si="16"/>
        <v>23</v>
      </c>
      <c r="O131" s="28">
        <f t="shared" si="17"/>
        <v>4.136476199211226E-2</v>
      </c>
      <c r="P131" s="28">
        <f t="shared" si="18"/>
        <v>8.8691796008869186E-2</v>
      </c>
      <c r="Q131" s="26">
        <f t="shared" si="19"/>
        <v>1.2234146341463414</v>
      </c>
      <c r="R131" s="29">
        <f t="shared" si="20"/>
        <v>13.794</v>
      </c>
      <c r="S131" s="30">
        <f t="shared" si="21"/>
        <v>1</v>
      </c>
      <c r="T131" s="30">
        <f t="shared" si="22"/>
        <v>2023</v>
      </c>
      <c r="U131" s="29" t="str">
        <f t="shared" si="23"/>
        <v>January</v>
      </c>
    </row>
    <row r="132" spans="1:21" ht="17.399999999999999" x14ac:dyDescent="0.3">
      <c r="A132" s="21" t="s">
        <v>137</v>
      </c>
      <c r="B132" s="21" t="s">
        <v>138</v>
      </c>
      <c r="C132" s="23" t="s">
        <v>3519</v>
      </c>
      <c r="D132" s="21" t="s">
        <v>3521</v>
      </c>
      <c r="E132" s="24">
        <v>44953</v>
      </c>
      <c r="F132" s="24">
        <v>44958</v>
      </c>
      <c r="G132" s="22" t="s">
        <v>16</v>
      </c>
      <c r="H132" s="25">
        <v>66697</v>
      </c>
      <c r="I132" s="25">
        <v>1340</v>
      </c>
      <c r="J132" s="26">
        <v>2090.7399999999998</v>
      </c>
      <c r="K132" s="25">
        <v>0</v>
      </c>
      <c r="L132" s="21" t="s">
        <v>21</v>
      </c>
      <c r="M132" s="22" t="s">
        <v>16</v>
      </c>
      <c r="N132" s="27">
        <f t="shared" si="16"/>
        <v>5</v>
      </c>
      <c r="O132" s="28">
        <f t="shared" si="17"/>
        <v>2.0090858659310012E-2</v>
      </c>
      <c r="P132" s="28">
        <f t="shared" si="18"/>
        <v>0</v>
      </c>
      <c r="Q132" s="26">
        <f t="shared" si="19"/>
        <v>1.5602537313432834</v>
      </c>
      <c r="R132" s="29" t="str">
        <f t="shared" si="20"/>
        <v>0</v>
      </c>
      <c r="S132" s="30">
        <f t="shared" si="21"/>
        <v>1</v>
      </c>
      <c r="T132" s="30">
        <f t="shared" si="22"/>
        <v>2023</v>
      </c>
      <c r="U132" s="29" t="str">
        <f t="shared" si="23"/>
        <v>January</v>
      </c>
    </row>
    <row r="133" spans="1:21" ht="17.399999999999999" x14ac:dyDescent="0.3">
      <c r="A133" s="21" t="s">
        <v>3129</v>
      </c>
      <c r="B133" s="21" t="s">
        <v>3130</v>
      </c>
      <c r="C133" s="23" t="s">
        <v>3519</v>
      </c>
      <c r="D133" s="21" t="s">
        <v>3520</v>
      </c>
      <c r="E133" s="24">
        <v>44954</v>
      </c>
      <c r="F133" s="24">
        <v>44958</v>
      </c>
      <c r="G133" s="22" t="s">
        <v>16</v>
      </c>
      <c r="H133" s="25">
        <v>6084</v>
      </c>
      <c r="I133" s="25">
        <v>193</v>
      </c>
      <c r="J133" s="26">
        <v>500000</v>
      </c>
      <c r="K133" s="25">
        <v>0</v>
      </c>
      <c r="L133" s="21" t="s">
        <v>17</v>
      </c>
      <c r="M133" s="22" t="s">
        <v>16</v>
      </c>
      <c r="N133" s="27">
        <f t="shared" si="16"/>
        <v>4</v>
      </c>
      <c r="O133" s="28">
        <f t="shared" si="17"/>
        <v>3.1722550953320182E-2</v>
      </c>
      <c r="P133" s="28">
        <f t="shared" si="18"/>
        <v>0</v>
      </c>
      <c r="Q133" s="26">
        <f t="shared" si="19"/>
        <v>2590.6735751295337</v>
      </c>
      <c r="R133" s="29" t="str">
        <f t="shared" si="20"/>
        <v>0</v>
      </c>
      <c r="S133" s="30">
        <f t="shared" si="21"/>
        <v>1</v>
      </c>
      <c r="T133" s="30">
        <f t="shared" si="22"/>
        <v>2023</v>
      </c>
      <c r="U133" s="29" t="str">
        <f t="shared" si="23"/>
        <v>January</v>
      </c>
    </row>
    <row r="134" spans="1:21" ht="17.399999999999999" x14ac:dyDescent="0.3">
      <c r="A134" s="21" t="s">
        <v>2585</v>
      </c>
      <c r="B134" s="21" t="s">
        <v>2586</v>
      </c>
      <c r="C134" s="23" t="s">
        <v>3516</v>
      </c>
      <c r="D134" s="21" t="s">
        <v>3521</v>
      </c>
      <c r="E134" s="24">
        <v>44954</v>
      </c>
      <c r="F134" s="24">
        <v>44970</v>
      </c>
      <c r="G134" s="22" t="s">
        <v>24</v>
      </c>
      <c r="H134" s="25">
        <v>33921</v>
      </c>
      <c r="I134" s="25">
        <v>1048</v>
      </c>
      <c r="J134" s="26">
        <v>1057.42</v>
      </c>
      <c r="K134" s="25">
        <v>72</v>
      </c>
      <c r="L134" s="21" t="s">
        <v>17</v>
      </c>
      <c r="M134" s="22" t="s">
        <v>3536</v>
      </c>
      <c r="N134" s="27">
        <f t="shared" si="16"/>
        <v>16</v>
      </c>
      <c r="O134" s="28">
        <f t="shared" si="17"/>
        <v>3.0895315586215027E-2</v>
      </c>
      <c r="P134" s="28">
        <f t="shared" si="18"/>
        <v>6.8702290076335881E-2</v>
      </c>
      <c r="Q134" s="26">
        <f t="shared" si="19"/>
        <v>1.0089885496183206</v>
      </c>
      <c r="R134" s="29">
        <f t="shared" si="20"/>
        <v>14.68638888888889</v>
      </c>
      <c r="S134" s="30">
        <f t="shared" si="21"/>
        <v>1</v>
      </c>
      <c r="T134" s="30">
        <f t="shared" si="22"/>
        <v>2023</v>
      </c>
      <c r="U134" s="29" t="str">
        <f t="shared" si="23"/>
        <v>January</v>
      </c>
    </row>
    <row r="135" spans="1:21" ht="17.399999999999999" x14ac:dyDescent="0.3">
      <c r="A135" s="21" t="s">
        <v>439</v>
      </c>
      <c r="B135" s="21" t="s">
        <v>440</v>
      </c>
      <c r="C135" s="23" t="s">
        <v>3515</v>
      </c>
      <c r="D135" s="21" t="s">
        <v>3521</v>
      </c>
      <c r="E135" s="24">
        <v>44954</v>
      </c>
      <c r="F135" s="24">
        <v>44958</v>
      </c>
      <c r="G135" s="22" t="s">
        <v>14</v>
      </c>
      <c r="H135" s="25">
        <v>43107</v>
      </c>
      <c r="I135" s="25">
        <v>694</v>
      </c>
      <c r="J135" s="26">
        <v>393.8</v>
      </c>
      <c r="K135" s="25">
        <v>36</v>
      </c>
      <c r="L135" s="21" t="s">
        <v>17</v>
      </c>
      <c r="M135" s="22" t="s">
        <v>3537</v>
      </c>
      <c r="N135" s="27">
        <f t="shared" si="16"/>
        <v>4</v>
      </c>
      <c r="O135" s="28">
        <f t="shared" si="17"/>
        <v>1.6099473403391559E-2</v>
      </c>
      <c r="P135" s="28">
        <f t="shared" si="18"/>
        <v>5.1873198847262249E-2</v>
      </c>
      <c r="Q135" s="26">
        <f t="shared" si="19"/>
        <v>0.56743515850144088</v>
      </c>
      <c r="R135" s="29">
        <f t="shared" si="20"/>
        <v>10.93888888888889</v>
      </c>
      <c r="S135" s="30">
        <f t="shared" si="21"/>
        <v>1</v>
      </c>
      <c r="T135" s="30">
        <f t="shared" si="22"/>
        <v>2023</v>
      </c>
      <c r="U135" s="29" t="str">
        <f t="shared" si="23"/>
        <v>January</v>
      </c>
    </row>
    <row r="136" spans="1:21" ht="17.399999999999999" x14ac:dyDescent="0.3">
      <c r="A136" s="21" t="s">
        <v>1793</v>
      </c>
      <c r="B136" s="21" t="s">
        <v>1794</v>
      </c>
      <c r="C136" s="23" t="s">
        <v>3515</v>
      </c>
      <c r="D136" s="21" t="s">
        <v>3520</v>
      </c>
      <c r="E136" s="24">
        <v>44954</v>
      </c>
      <c r="F136" s="24">
        <v>44971</v>
      </c>
      <c r="G136" s="22" t="s">
        <v>31</v>
      </c>
      <c r="H136" s="25">
        <v>77125</v>
      </c>
      <c r="I136" s="25">
        <v>1055</v>
      </c>
      <c r="J136" s="26">
        <v>1254.3900000000001</v>
      </c>
      <c r="K136" s="25">
        <v>173</v>
      </c>
      <c r="L136" s="21" t="s">
        <v>17</v>
      </c>
      <c r="M136" s="22" t="s">
        <v>31</v>
      </c>
      <c r="N136" s="27">
        <f t="shared" si="16"/>
        <v>17</v>
      </c>
      <c r="O136" s="28">
        <f t="shared" si="17"/>
        <v>1.3679092382495948E-2</v>
      </c>
      <c r="P136" s="28">
        <f t="shared" si="18"/>
        <v>0.16398104265402844</v>
      </c>
      <c r="Q136" s="26">
        <f t="shared" si="19"/>
        <v>1.1889952606635072</v>
      </c>
      <c r="R136" s="29">
        <f t="shared" si="20"/>
        <v>7.2508092485549138</v>
      </c>
      <c r="S136" s="30">
        <f t="shared" si="21"/>
        <v>1</v>
      </c>
      <c r="T136" s="30">
        <f t="shared" si="22"/>
        <v>2023</v>
      </c>
      <c r="U136" s="29" t="str">
        <f t="shared" si="23"/>
        <v>January</v>
      </c>
    </row>
    <row r="137" spans="1:21" ht="17.399999999999999" x14ac:dyDescent="0.3">
      <c r="A137" s="21" t="s">
        <v>2243</v>
      </c>
      <c r="B137" s="21" t="s">
        <v>2244</v>
      </c>
      <c r="C137" s="23" t="s">
        <v>3515</v>
      </c>
      <c r="D137" s="21" t="s">
        <v>3520</v>
      </c>
      <c r="E137" s="24">
        <v>44954</v>
      </c>
      <c r="F137" s="24">
        <v>44969</v>
      </c>
      <c r="G137" s="22" t="s">
        <v>24</v>
      </c>
      <c r="H137" s="25">
        <v>63823</v>
      </c>
      <c r="I137" s="25">
        <v>2478</v>
      </c>
      <c r="J137" s="26">
        <v>2403.41</v>
      </c>
      <c r="K137" s="25">
        <v>461</v>
      </c>
      <c r="L137" s="21" t="s">
        <v>17</v>
      </c>
      <c r="M137" s="22" t="s">
        <v>3536</v>
      </c>
      <c r="N137" s="27">
        <f t="shared" si="16"/>
        <v>15</v>
      </c>
      <c r="O137" s="28">
        <f t="shared" si="17"/>
        <v>3.8826128511665073E-2</v>
      </c>
      <c r="P137" s="28">
        <f t="shared" si="18"/>
        <v>0.18603712671509282</v>
      </c>
      <c r="Q137" s="26">
        <f t="shared" si="19"/>
        <v>0.96989911218724767</v>
      </c>
      <c r="R137" s="29">
        <f t="shared" si="20"/>
        <v>5.2134707158351405</v>
      </c>
      <c r="S137" s="30">
        <f t="shared" si="21"/>
        <v>1</v>
      </c>
      <c r="T137" s="30">
        <f t="shared" si="22"/>
        <v>2023</v>
      </c>
      <c r="U137" s="29" t="str">
        <f t="shared" si="23"/>
        <v>January</v>
      </c>
    </row>
    <row r="138" spans="1:21" ht="17.399999999999999" x14ac:dyDescent="0.3">
      <c r="A138" s="21" t="s">
        <v>2457</v>
      </c>
      <c r="B138" s="21" t="s">
        <v>2458</v>
      </c>
      <c r="C138" s="23" t="s">
        <v>3519</v>
      </c>
      <c r="D138" s="21" t="s">
        <v>3520</v>
      </c>
      <c r="E138" s="24">
        <v>44955</v>
      </c>
      <c r="F138" s="24">
        <v>44973</v>
      </c>
      <c r="G138" s="22" t="s">
        <v>11</v>
      </c>
      <c r="H138" s="25">
        <v>77908</v>
      </c>
      <c r="I138" s="25">
        <v>2483</v>
      </c>
      <c r="J138" s="26">
        <v>1247.6199999999999</v>
      </c>
      <c r="K138" s="25">
        <v>0</v>
      </c>
      <c r="L138" s="21" t="s">
        <v>17</v>
      </c>
      <c r="M138" s="22" t="s">
        <v>11</v>
      </c>
      <c r="N138" s="27">
        <f t="shared" si="16"/>
        <v>18</v>
      </c>
      <c r="O138" s="28">
        <f t="shared" si="17"/>
        <v>3.1870924680392258E-2</v>
      </c>
      <c r="P138" s="28">
        <f t="shared" si="18"/>
        <v>0</v>
      </c>
      <c r="Q138" s="26">
        <f t="shared" si="19"/>
        <v>0.50246476037051946</v>
      </c>
      <c r="R138" s="29" t="str">
        <f t="shared" si="20"/>
        <v>0</v>
      </c>
      <c r="S138" s="30">
        <f t="shared" si="21"/>
        <v>1</v>
      </c>
      <c r="T138" s="30">
        <f t="shared" si="22"/>
        <v>2023</v>
      </c>
      <c r="U138" s="29" t="str">
        <f t="shared" si="23"/>
        <v>January</v>
      </c>
    </row>
    <row r="139" spans="1:21" ht="17.399999999999999" x14ac:dyDescent="0.3">
      <c r="A139" s="21" t="s">
        <v>3394</v>
      </c>
      <c r="B139" s="21" t="s">
        <v>3395</v>
      </c>
      <c r="C139" s="23" t="s">
        <v>3519</v>
      </c>
      <c r="D139" s="21" t="s">
        <v>3517</v>
      </c>
      <c r="E139" s="24">
        <v>44955</v>
      </c>
      <c r="F139" s="24">
        <v>44973</v>
      </c>
      <c r="G139" s="22" t="s">
        <v>16</v>
      </c>
      <c r="H139" s="25">
        <v>46004</v>
      </c>
      <c r="I139" s="25">
        <v>2037</v>
      </c>
      <c r="J139" s="26">
        <v>1969.93</v>
      </c>
      <c r="K139" s="25">
        <v>329</v>
      </c>
      <c r="L139" s="21" t="s">
        <v>21</v>
      </c>
      <c r="M139" s="22" t="s">
        <v>16</v>
      </c>
      <c r="N139" s="27">
        <f t="shared" si="16"/>
        <v>18</v>
      </c>
      <c r="O139" s="28">
        <f t="shared" si="17"/>
        <v>4.427875836883749E-2</v>
      </c>
      <c r="P139" s="28">
        <f t="shared" si="18"/>
        <v>0.16151202749140894</v>
      </c>
      <c r="Q139" s="26">
        <f t="shared" si="19"/>
        <v>0.96707412862052045</v>
      </c>
      <c r="R139" s="29">
        <f t="shared" si="20"/>
        <v>5.9876291793313072</v>
      </c>
      <c r="S139" s="30">
        <f t="shared" si="21"/>
        <v>1</v>
      </c>
      <c r="T139" s="30">
        <f t="shared" si="22"/>
        <v>2023</v>
      </c>
      <c r="U139" s="29" t="str">
        <f t="shared" si="23"/>
        <v>January</v>
      </c>
    </row>
    <row r="140" spans="1:21" ht="17.399999999999999" x14ac:dyDescent="0.3">
      <c r="A140" s="21" t="s">
        <v>1377</v>
      </c>
      <c r="B140" s="21" t="s">
        <v>1378</v>
      </c>
      <c r="C140" s="23" t="s">
        <v>3518</v>
      </c>
      <c r="D140" s="21" t="s">
        <v>3517</v>
      </c>
      <c r="E140" s="24">
        <v>44955</v>
      </c>
      <c r="F140" s="24">
        <v>44956</v>
      </c>
      <c r="G140" s="22" t="s">
        <v>24</v>
      </c>
      <c r="H140" s="25">
        <v>71340</v>
      </c>
      <c r="I140" s="25">
        <v>1502</v>
      </c>
      <c r="J140" s="26">
        <v>2154.02</v>
      </c>
      <c r="K140" s="25">
        <v>0</v>
      </c>
      <c r="L140" s="21" t="s">
        <v>21</v>
      </c>
      <c r="M140" s="22" t="s">
        <v>3536</v>
      </c>
      <c r="N140" s="27">
        <f t="shared" si="16"/>
        <v>1</v>
      </c>
      <c r="O140" s="28">
        <f t="shared" si="17"/>
        <v>2.1054107092795066E-2</v>
      </c>
      <c r="P140" s="28">
        <f t="shared" si="18"/>
        <v>0</v>
      </c>
      <c r="Q140" s="26">
        <f t="shared" si="19"/>
        <v>1.4341011984021306</v>
      </c>
      <c r="R140" s="29" t="str">
        <f t="shared" si="20"/>
        <v>0</v>
      </c>
      <c r="S140" s="30">
        <f t="shared" si="21"/>
        <v>1</v>
      </c>
      <c r="T140" s="30">
        <f t="shared" si="22"/>
        <v>2023</v>
      </c>
      <c r="U140" s="29" t="str">
        <f t="shared" si="23"/>
        <v>January</v>
      </c>
    </row>
    <row r="141" spans="1:21" ht="17.399999999999999" x14ac:dyDescent="0.3">
      <c r="A141" s="21" t="s">
        <v>1972</v>
      </c>
      <c r="B141" s="21" t="s">
        <v>1973</v>
      </c>
      <c r="C141" s="23" t="s">
        <v>3516</v>
      </c>
      <c r="D141" s="21" t="s">
        <v>3517</v>
      </c>
      <c r="E141" s="24">
        <v>44955</v>
      </c>
      <c r="F141" s="24">
        <v>44980</v>
      </c>
      <c r="G141" s="22" t="s">
        <v>14</v>
      </c>
      <c r="H141" s="25">
        <v>19574</v>
      </c>
      <c r="I141" s="25">
        <v>389</v>
      </c>
      <c r="J141" s="26">
        <v>480.34</v>
      </c>
      <c r="K141" s="25">
        <v>57</v>
      </c>
      <c r="L141" s="21" t="s">
        <v>17</v>
      </c>
      <c r="M141" s="22" t="s">
        <v>3537</v>
      </c>
      <c r="N141" s="27">
        <f t="shared" si="16"/>
        <v>25</v>
      </c>
      <c r="O141" s="28">
        <f t="shared" si="17"/>
        <v>1.9873301318074996E-2</v>
      </c>
      <c r="P141" s="28">
        <f t="shared" si="18"/>
        <v>0.14652956298200515</v>
      </c>
      <c r="Q141" s="26">
        <f t="shared" si="19"/>
        <v>1.2348071979434447</v>
      </c>
      <c r="R141" s="29">
        <f t="shared" si="20"/>
        <v>8.4270175438596482</v>
      </c>
      <c r="S141" s="30">
        <f t="shared" si="21"/>
        <v>1</v>
      </c>
      <c r="T141" s="30">
        <f t="shared" si="22"/>
        <v>2023</v>
      </c>
      <c r="U141" s="29" t="str">
        <f t="shared" si="23"/>
        <v>January</v>
      </c>
    </row>
    <row r="142" spans="1:21" ht="17.399999999999999" x14ac:dyDescent="0.3">
      <c r="A142" s="21" t="s">
        <v>2158</v>
      </c>
      <c r="B142" s="21" t="s">
        <v>2159</v>
      </c>
      <c r="C142" s="23" t="s">
        <v>3516</v>
      </c>
      <c r="D142" s="21" t="s">
        <v>3520</v>
      </c>
      <c r="E142" s="24">
        <v>44955</v>
      </c>
      <c r="F142" s="24">
        <v>44964</v>
      </c>
      <c r="G142" s="22" t="s">
        <v>14</v>
      </c>
      <c r="H142" s="25">
        <v>20256</v>
      </c>
      <c r="I142" s="25">
        <v>788</v>
      </c>
      <c r="J142" s="26">
        <v>1108.92</v>
      </c>
      <c r="K142" s="25">
        <v>121</v>
      </c>
      <c r="L142" s="21" t="s">
        <v>21</v>
      </c>
      <c r="M142" s="22" t="s">
        <v>3537</v>
      </c>
      <c r="N142" s="27">
        <f t="shared" si="16"/>
        <v>9</v>
      </c>
      <c r="O142" s="28">
        <f t="shared" si="17"/>
        <v>3.8902053712480254E-2</v>
      </c>
      <c r="P142" s="28">
        <f t="shared" si="18"/>
        <v>0.15355329949238578</v>
      </c>
      <c r="Q142" s="26">
        <f t="shared" si="19"/>
        <v>1.4072588832487312</v>
      </c>
      <c r="R142" s="29">
        <f t="shared" si="20"/>
        <v>9.1646280991735551</v>
      </c>
      <c r="S142" s="30">
        <f t="shared" si="21"/>
        <v>1</v>
      </c>
      <c r="T142" s="30">
        <f t="shared" si="22"/>
        <v>2023</v>
      </c>
      <c r="U142" s="29" t="str">
        <f t="shared" si="23"/>
        <v>January</v>
      </c>
    </row>
    <row r="143" spans="1:21" ht="17.399999999999999" x14ac:dyDescent="0.3">
      <c r="A143" s="21" t="s">
        <v>1100</v>
      </c>
      <c r="B143" s="21" t="s">
        <v>1101</v>
      </c>
      <c r="C143" s="23" t="s">
        <v>3515</v>
      </c>
      <c r="D143" s="21" t="s">
        <v>3520</v>
      </c>
      <c r="E143" s="24">
        <v>44955</v>
      </c>
      <c r="F143" s="24">
        <v>44981</v>
      </c>
      <c r="G143" s="22" t="s">
        <v>11</v>
      </c>
      <c r="H143" s="25">
        <v>80459</v>
      </c>
      <c r="I143" s="25">
        <v>1284</v>
      </c>
      <c r="J143" s="26">
        <v>1493.78</v>
      </c>
      <c r="K143" s="25">
        <v>72</v>
      </c>
      <c r="L143" s="21" t="s">
        <v>21</v>
      </c>
      <c r="M143" s="22" t="s">
        <v>11</v>
      </c>
      <c r="N143" s="27">
        <f t="shared" si="16"/>
        <v>26</v>
      </c>
      <c r="O143" s="28">
        <f t="shared" si="17"/>
        <v>1.595843845933954E-2</v>
      </c>
      <c r="P143" s="28">
        <f t="shared" si="18"/>
        <v>5.6074766355140186E-2</v>
      </c>
      <c r="Q143" s="26">
        <f t="shared" si="19"/>
        <v>1.1633800623052959</v>
      </c>
      <c r="R143" s="29">
        <f t="shared" si="20"/>
        <v>20.746944444444445</v>
      </c>
      <c r="S143" s="30">
        <f t="shared" si="21"/>
        <v>1</v>
      </c>
      <c r="T143" s="30">
        <f t="shared" si="22"/>
        <v>2023</v>
      </c>
      <c r="U143" s="29" t="str">
        <f t="shared" si="23"/>
        <v>January</v>
      </c>
    </row>
    <row r="144" spans="1:21" ht="17.399999999999999" x14ac:dyDescent="0.3">
      <c r="A144" s="21" t="s">
        <v>1335</v>
      </c>
      <c r="B144" s="21" t="s">
        <v>1336</v>
      </c>
      <c r="C144" s="23" t="s">
        <v>3519</v>
      </c>
      <c r="D144" s="21" t="s">
        <v>3520</v>
      </c>
      <c r="E144" s="24">
        <v>44956</v>
      </c>
      <c r="F144" s="24">
        <v>44974</v>
      </c>
      <c r="G144" s="22" t="s">
        <v>31</v>
      </c>
      <c r="H144" s="25">
        <v>24959</v>
      </c>
      <c r="I144" s="25">
        <v>1002</v>
      </c>
      <c r="J144" s="26">
        <v>729.12</v>
      </c>
      <c r="K144" s="25">
        <v>66</v>
      </c>
      <c r="L144" s="21" t="s">
        <v>21</v>
      </c>
      <c r="M144" s="22" t="s">
        <v>31</v>
      </c>
      <c r="N144" s="27">
        <f t="shared" si="16"/>
        <v>18</v>
      </c>
      <c r="O144" s="28">
        <f t="shared" si="17"/>
        <v>4.0145839176249046E-2</v>
      </c>
      <c r="P144" s="28">
        <f t="shared" si="18"/>
        <v>6.5868263473053898E-2</v>
      </c>
      <c r="Q144" s="26">
        <f t="shared" si="19"/>
        <v>0.72766467065868268</v>
      </c>
      <c r="R144" s="29">
        <f t="shared" si="20"/>
        <v>11.047272727272727</v>
      </c>
      <c r="S144" s="30">
        <f t="shared" si="21"/>
        <v>1</v>
      </c>
      <c r="T144" s="30">
        <f t="shared" si="22"/>
        <v>2023</v>
      </c>
      <c r="U144" s="29" t="str">
        <f t="shared" si="23"/>
        <v>January</v>
      </c>
    </row>
    <row r="145" spans="1:21" ht="17.399999999999999" x14ac:dyDescent="0.3">
      <c r="A145" s="21" t="s">
        <v>2166</v>
      </c>
      <c r="B145" s="22" t="s">
        <v>3584</v>
      </c>
      <c r="C145" s="23" t="s">
        <v>3518</v>
      </c>
      <c r="D145" s="22" t="s">
        <v>3545</v>
      </c>
      <c r="E145" s="24">
        <v>44956</v>
      </c>
      <c r="F145" s="24">
        <v>44966</v>
      </c>
      <c r="G145" s="22" t="s">
        <v>11</v>
      </c>
      <c r="H145" s="25">
        <v>64374</v>
      </c>
      <c r="I145" s="25">
        <v>1432</v>
      </c>
      <c r="J145" s="26">
        <v>1346.51</v>
      </c>
      <c r="K145" s="25">
        <v>232</v>
      </c>
      <c r="L145" s="21" t="s">
        <v>21</v>
      </c>
      <c r="M145" s="22" t="s">
        <v>11</v>
      </c>
      <c r="N145" s="27">
        <f t="shared" si="16"/>
        <v>10</v>
      </c>
      <c r="O145" s="28">
        <f t="shared" si="17"/>
        <v>2.2245005747662101E-2</v>
      </c>
      <c r="P145" s="28">
        <f t="shared" si="18"/>
        <v>0.16201117318435754</v>
      </c>
      <c r="Q145" s="26">
        <f t="shared" si="19"/>
        <v>0.94030027932960891</v>
      </c>
      <c r="R145" s="29">
        <f t="shared" si="20"/>
        <v>5.8039224137931038</v>
      </c>
      <c r="S145" s="30">
        <f t="shared" si="21"/>
        <v>1</v>
      </c>
      <c r="T145" s="30">
        <f t="shared" si="22"/>
        <v>2023</v>
      </c>
      <c r="U145" s="29" t="str">
        <f t="shared" si="23"/>
        <v>January</v>
      </c>
    </row>
    <row r="146" spans="1:21" ht="17.399999999999999" x14ac:dyDescent="0.3">
      <c r="A146" s="21" t="s">
        <v>3065</v>
      </c>
      <c r="B146" s="21" t="s">
        <v>3066</v>
      </c>
      <c r="C146" s="23" t="s">
        <v>3518</v>
      </c>
      <c r="D146" s="21" t="s">
        <v>3517</v>
      </c>
      <c r="E146" s="24">
        <v>44956</v>
      </c>
      <c r="F146" s="24">
        <v>44977</v>
      </c>
      <c r="G146" s="22" t="s">
        <v>24</v>
      </c>
      <c r="H146" s="25">
        <v>79249</v>
      </c>
      <c r="I146" s="25">
        <v>2922</v>
      </c>
      <c r="J146" s="26">
        <v>4193.88</v>
      </c>
      <c r="K146" s="25">
        <v>151</v>
      </c>
      <c r="L146" s="21" t="s">
        <v>21</v>
      </c>
      <c r="M146" s="22" t="s">
        <v>3536</v>
      </c>
      <c r="N146" s="27">
        <f t="shared" si="16"/>
        <v>21</v>
      </c>
      <c r="O146" s="28">
        <f t="shared" si="17"/>
        <v>3.6871127711390679E-2</v>
      </c>
      <c r="P146" s="28">
        <f t="shared" si="18"/>
        <v>5.1676933607118412E-2</v>
      </c>
      <c r="Q146" s="26">
        <f t="shared" si="19"/>
        <v>1.4352772073921971</v>
      </c>
      <c r="R146" s="29">
        <f t="shared" si="20"/>
        <v>27.77403973509934</v>
      </c>
      <c r="S146" s="30">
        <f t="shared" si="21"/>
        <v>1</v>
      </c>
      <c r="T146" s="30">
        <f t="shared" si="22"/>
        <v>2023</v>
      </c>
      <c r="U146" s="29" t="str">
        <f t="shared" si="23"/>
        <v>January</v>
      </c>
    </row>
    <row r="147" spans="1:21" ht="17.399999999999999" x14ac:dyDescent="0.3">
      <c r="A147" s="21" t="s">
        <v>2253</v>
      </c>
      <c r="B147" s="21" t="s">
        <v>2254</v>
      </c>
      <c r="C147" s="23" t="s">
        <v>3516</v>
      </c>
      <c r="D147" s="21" t="s">
        <v>3521</v>
      </c>
      <c r="E147" s="24">
        <v>44956</v>
      </c>
      <c r="F147" s="24">
        <v>44980</v>
      </c>
      <c r="G147" s="22" t="s">
        <v>31</v>
      </c>
      <c r="H147" s="25">
        <v>93374</v>
      </c>
      <c r="I147" s="25">
        <v>3629</v>
      </c>
      <c r="J147" s="26">
        <v>6830.76</v>
      </c>
      <c r="K147" s="25">
        <v>481</v>
      </c>
      <c r="L147" s="21" t="s">
        <v>21</v>
      </c>
      <c r="M147" s="22" t="s">
        <v>31</v>
      </c>
      <c r="N147" s="27">
        <f t="shared" si="16"/>
        <v>24</v>
      </c>
      <c r="O147" s="28">
        <f t="shared" si="17"/>
        <v>3.8865208730481722E-2</v>
      </c>
      <c r="P147" s="28">
        <f t="shared" si="18"/>
        <v>0.13254340038578122</v>
      </c>
      <c r="Q147" s="26">
        <f t="shared" si="19"/>
        <v>1.8822705979608709</v>
      </c>
      <c r="R147" s="29">
        <f t="shared" si="20"/>
        <v>14.201164241164241</v>
      </c>
      <c r="S147" s="30">
        <f t="shared" si="21"/>
        <v>1</v>
      </c>
      <c r="T147" s="30">
        <f t="shared" si="22"/>
        <v>2023</v>
      </c>
      <c r="U147" s="29" t="str">
        <f t="shared" si="23"/>
        <v>January</v>
      </c>
    </row>
    <row r="148" spans="1:21" ht="17.399999999999999" x14ac:dyDescent="0.3">
      <c r="A148" s="21" t="s">
        <v>866</v>
      </c>
      <c r="B148" s="21" t="s">
        <v>867</v>
      </c>
      <c r="C148" s="23" t="s">
        <v>3515</v>
      </c>
      <c r="D148" s="21" t="s">
        <v>3520</v>
      </c>
      <c r="E148" s="24">
        <v>44956</v>
      </c>
      <c r="F148" s="24">
        <v>44976</v>
      </c>
      <c r="G148" s="22" t="s">
        <v>3535</v>
      </c>
      <c r="H148" s="25">
        <v>54222</v>
      </c>
      <c r="I148" s="25">
        <v>2242</v>
      </c>
      <c r="J148" s="26">
        <v>1928.36</v>
      </c>
      <c r="K148" s="25">
        <v>246</v>
      </c>
      <c r="L148" s="21" t="s">
        <v>17</v>
      </c>
      <c r="M148" s="22" t="s">
        <v>3535</v>
      </c>
      <c r="N148" s="27">
        <f t="shared" si="16"/>
        <v>20</v>
      </c>
      <c r="O148" s="28">
        <f t="shared" si="17"/>
        <v>4.1348530116926706E-2</v>
      </c>
      <c r="P148" s="28">
        <f t="shared" si="18"/>
        <v>0.10972346119536129</v>
      </c>
      <c r="Q148" s="26">
        <f t="shared" si="19"/>
        <v>0.86010704727921494</v>
      </c>
      <c r="R148" s="29">
        <f t="shared" si="20"/>
        <v>7.8388617886178862</v>
      </c>
      <c r="S148" s="30">
        <f t="shared" si="21"/>
        <v>1</v>
      </c>
      <c r="T148" s="30">
        <f t="shared" si="22"/>
        <v>2023</v>
      </c>
      <c r="U148" s="29" t="str">
        <f t="shared" si="23"/>
        <v>January</v>
      </c>
    </row>
    <row r="149" spans="1:21" ht="17.399999999999999" x14ac:dyDescent="0.3">
      <c r="A149" s="21" t="s">
        <v>1402</v>
      </c>
      <c r="B149" s="22" t="s">
        <v>3585</v>
      </c>
      <c r="C149" s="23" t="s">
        <v>3515</v>
      </c>
      <c r="D149" s="22" t="s">
        <v>3545</v>
      </c>
      <c r="E149" s="24">
        <v>44956</v>
      </c>
      <c r="F149" s="24">
        <v>44969</v>
      </c>
      <c r="G149" s="22" t="s">
        <v>31</v>
      </c>
      <c r="H149" s="25">
        <v>63292</v>
      </c>
      <c r="I149" s="25">
        <v>2147</v>
      </c>
      <c r="J149" s="26">
        <v>1153</v>
      </c>
      <c r="K149" s="25">
        <v>343</v>
      </c>
      <c r="L149" s="21" t="s">
        <v>17</v>
      </c>
      <c r="M149" s="22" t="s">
        <v>31</v>
      </c>
      <c r="N149" s="27">
        <f t="shared" si="16"/>
        <v>13</v>
      </c>
      <c r="O149" s="28">
        <f t="shared" si="17"/>
        <v>3.392213865891424E-2</v>
      </c>
      <c r="P149" s="28">
        <f t="shared" si="18"/>
        <v>0.15975780158360503</v>
      </c>
      <c r="Q149" s="26">
        <f t="shared" si="19"/>
        <v>0.53702841173730786</v>
      </c>
      <c r="R149" s="29">
        <f t="shared" si="20"/>
        <v>3.361516034985423</v>
      </c>
      <c r="S149" s="30">
        <f t="shared" si="21"/>
        <v>1</v>
      </c>
      <c r="T149" s="30">
        <f t="shared" si="22"/>
        <v>2023</v>
      </c>
      <c r="U149" s="29" t="str">
        <f t="shared" si="23"/>
        <v>January</v>
      </c>
    </row>
    <row r="150" spans="1:21" ht="17.399999999999999" x14ac:dyDescent="0.3">
      <c r="A150" s="21" t="s">
        <v>2344</v>
      </c>
      <c r="B150" s="21" t="s">
        <v>2345</v>
      </c>
      <c r="C150" s="23" t="s">
        <v>3519</v>
      </c>
      <c r="D150" s="21" t="s">
        <v>3520</v>
      </c>
      <c r="E150" s="24">
        <v>44957</v>
      </c>
      <c r="F150" s="24">
        <v>44971</v>
      </c>
      <c r="G150" s="22" t="s">
        <v>11</v>
      </c>
      <c r="H150" s="25">
        <v>86595</v>
      </c>
      <c r="I150" s="25">
        <v>1510</v>
      </c>
      <c r="J150" s="26">
        <v>1195.6199999999999</v>
      </c>
      <c r="K150" s="25">
        <v>208</v>
      </c>
      <c r="L150" s="21" t="s">
        <v>21</v>
      </c>
      <c r="M150" s="22" t="s">
        <v>11</v>
      </c>
      <c r="N150" s="27">
        <f t="shared" si="16"/>
        <v>14</v>
      </c>
      <c r="O150" s="28">
        <f t="shared" si="17"/>
        <v>1.7437496391246608E-2</v>
      </c>
      <c r="P150" s="28">
        <f t="shared" si="18"/>
        <v>0.13774834437086092</v>
      </c>
      <c r="Q150" s="26">
        <f t="shared" si="19"/>
        <v>0.7918013245033112</v>
      </c>
      <c r="R150" s="29">
        <f t="shared" si="20"/>
        <v>5.7481730769230763</v>
      </c>
      <c r="S150" s="30">
        <f t="shared" si="21"/>
        <v>1</v>
      </c>
      <c r="T150" s="30">
        <f t="shared" si="22"/>
        <v>2023</v>
      </c>
      <c r="U150" s="29" t="str">
        <f t="shared" si="23"/>
        <v>January</v>
      </c>
    </row>
    <row r="151" spans="1:21" ht="17.399999999999999" x14ac:dyDescent="0.3">
      <c r="A151" s="21" t="s">
        <v>1810</v>
      </c>
      <c r="B151" s="21" t="s">
        <v>1811</v>
      </c>
      <c r="C151" s="23" t="s">
        <v>3516</v>
      </c>
      <c r="D151" s="21" t="s">
        <v>3521</v>
      </c>
      <c r="E151" s="24">
        <v>44957</v>
      </c>
      <c r="F151" s="24">
        <v>44963</v>
      </c>
      <c r="G151" s="22" t="s">
        <v>3535</v>
      </c>
      <c r="H151" s="25">
        <v>39110</v>
      </c>
      <c r="I151" s="25">
        <v>1402</v>
      </c>
      <c r="J151" s="26">
        <v>844.23</v>
      </c>
      <c r="K151" s="25">
        <v>157</v>
      </c>
      <c r="L151" s="21" t="s">
        <v>21</v>
      </c>
      <c r="M151" s="22" t="s">
        <v>3535</v>
      </c>
      <c r="N151" s="27">
        <f t="shared" si="16"/>
        <v>6</v>
      </c>
      <c r="O151" s="28">
        <f t="shared" si="17"/>
        <v>3.5847609307082591E-2</v>
      </c>
      <c r="P151" s="28">
        <f t="shared" si="18"/>
        <v>0.11198288159771755</v>
      </c>
      <c r="Q151" s="26">
        <f t="shared" si="19"/>
        <v>0.60216119828815984</v>
      </c>
      <c r="R151" s="29">
        <f t="shared" si="20"/>
        <v>5.3772611464968154</v>
      </c>
      <c r="S151" s="30">
        <f t="shared" si="21"/>
        <v>1</v>
      </c>
      <c r="T151" s="30">
        <f t="shared" si="22"/>
        <v>2023</v>
      </c>
      <c r="U151" s="29" t="str">
        <f t="shared" si="23"/>
        <v>January</v>
      </c>
    </row>
    <row r="152" spans="1:21" ht="17.399999999999999" x14ac:dyDescent="0.3">
      <c r="A152" s="21" t="s">
        <v>900</v>
      </c>
      <c r="B152" s="21" t="s">
        <v>901</v>
      </c>
      <c r="C152" s="23" t="s">
        <v>3518</v>
      </c>
      <c r="D152" s="21" t="s">
        <v>3517</v>
      </c>
      <c r="E152" s="24">
        <v>44957</v>
      </c>
      <c r="F152" s="24">
        <v>45231</v>
      </c>
      <c r="G152" s="22" t="s">
        <v>31</v>
      </c>
      <c r="H152" s="25">
        <v>79781</v>
      </c>
      <c r="I152" s="25">
        <v>3656</v>
      </c>
      <c r="J152" s="26">
        <v>3793.11</v>
      </c>
      <c r="K152" s="25">
        <v>0</v>
      </c>
      <c r="L152" s="21" t="s">
        <v>21</v>
      </c>
      <c r="M152" s="22" t="s">
        <v>31</v>
      </c>
      <c r="N152" s="27">
        <f t="shared" si="16"/>
        <v>274</v>
      </c>
      <c r="O152" s="28">
        <f t="shared" si="17"/>
        <v>4.5825447161604894E-2</v>
      </c>
      <c r="P152" s="28">
        <f t="shared" si="18"/>
        <v>0</v>
      </c>
      <c r="Q152" s="26">
        <f t="shared" si="19"/>
        <v>1.0375027352297594</v>
      </c>
      <c r="R152" s="29" t="str">
        <f t="shared" si="20"/>
        <v>0</v>
      </c>
      <c r="S152" s="30">
        <f t="shared" si="21"/>
        <v>1</v>
      </c>
      <c r="T152" s="30">
        <f t="shared" si="22"/>
        <v>2023</v>
      </c>
      <c r="U152" s="29" t="str">
        <f t="shared" si="23"/>
        <v>January</v>
      </c>
    </row>
    <row r="153" spans="1:21" ht="17.399999999999999" x14ac:dyDescent="0.3">
      <c r="A153" s="21" t="s">
        <v>1212</v>
      </c>
      <c r="B153" s="21" t="s">
        <v>1213</v>
      </c>
      <c r="C153" s="23" t="s">
        <v>3519</v>
      </c>
      <c r="D153" s="21" t="s">
        <v>3517</v>
      </c>
      <c r="E153" s="24">
        <v>44958</v>
      </c>
      <c r="F153" s="24">
        <v>44963</v>
      </c>
      <c r="G153" s="22" t="s">
        <v>3535</v>
      </c>
      <c r="H153" s="25">
        <v>58854</v>
      </c>
      <c r="I153" s="25">
        <v>2883</v>
      </c>
      <c r="J153" s="26">
        <v>3808.8</v>
      </c>
      <c r="K153" s="25">
        <v>406</v>
      </c>
      <c r="L153" s="21" t="s">
        <v>17</v>
      </c>
      <c r="M153" s="22" t="s">
        <v>3535</v>
      </c>
      <c r="N153" s="27">
        <f t="shared" si="16"/>
        <v>5</v>
      </c>
      <c r="O153" s="28">
        <f t="shared" si="17"/>
        <v>4.8985625446018963E-2</v>
      </c>
      <c r="P153" s="28">
        <f t="shared" si="18"/>
        <v>0.14082552896288589</v>
      </c>
      <c r="Q153" s="26">
        <f t="shared" si="19"/>
        <v>1.321123829344433</v>
      </c>
      <c r="R153" s="29">
        <f t="shared" si="20"/>
        <v>9.3812807881773406</v>
      </c>
      <c r="S153" s="30">
        <f t="shared" si="21"/>
        <v>2</v>
      </c>
      <c r="T153" s="30">
        <f t="shared" si="22"/>
        <v>2023</v>
      </c>
      <c r="U153" s="29" t="str">
        <f t="shared" si="23"/>
        <v>February</v>
      </c>
    </row>
    <row r="154" spans="1:21" ht="17.399999999999999" x14ac:dyDescent="0.3">
      <c r="A154" s="21" t="s">
        <v>1955</v>
      </c>
      <c r="B154" s="22" t="s">
        <v>3586</v>
      </c>
      <c r="C154" s="23" t="s">
        <v>3519</v>
      </c>
      <c r="D154" s="22" t="s">
        <v>3545</v>
      </c>
      <c r="E154" s="24">
        <v>44958</v>
      </c>
      <c r="F154" s="24">
        <v>44966</v>
      </c>
      <c r="G154" s="22" t="s">
        <v>31</v>
      </c>
      <c r="H154" s="25">
        <v>85056</v>
      </c>
      <c r="I154" s="25">
        <v>4235</v>
      </c>
      <c r="J154" s="26">
        <v>5850.85</v>
      </c>
      <c r="K154" s="25">
        <v>678</v>
      </c>
      <c r="L154" s="21" t="s">
        <v>17</v>
      </c>
      <c r="M154" s="22" t="s">
        <v>31</v>
      </c>
      <c r="N154" s="27">
        <f t="shared" si="16"/>
        <v>8</v>
      </c>
      <c r="O154" s="28">
        <f t="shared" si="17"/>
        <v>4.9790726109857034E-2</v>
      </c>
      <c r="P154" s="28">
        <f t="shared" si="18"/>
        <v>0.16009445100354192</v>
      </c>
      <c r="Q154" s="26">
        <f t="shared" si="19"/>
        <v>1.3815466351829988</v>
      </c>
      <c r="R154" s="29">
        <f t="shared" si="20"/>
        <v>8.6295722713864311</v>
      </c>
      <c r="S154" s="30">
        <f t="shared" si="21"/>
        <v>2</v>
      </c>
      <c r="T154" s="30">
        <f t="shared" si="22"/>
        <v>2023</v>
      </c>
      <c r="U154" s="29" t="str">
        <f t="shared" si="23"/>
        <v>February</v>
      </c>
    </row>
    <row r="155" spans="1:21" ht="17.399999999999999" x14ac:dyDescent="0.3">
      <c r="A155" s="21" t="s">
        <v>329</v>
      </c>
      <c r="B155" s="21" t="s">
        <v>330</v>
      </c>
      <c r="C155" s="23" t="s">
        <v>3518</v>
      </c>
      <c r="D155" s="21" t="s">
        <v>3520</v>
      </c>
      <c r="E155" s="24">
        <v>44958</v>
      </c>
      <c r="F155" s="24">
        <v>44978</v>
      </c>
      <c r="G155" s="22" t="s">
        <v>24</v>
      </c>
      <c r="H155" s="25">
        <v>67842</v>
      </c>
      <c r="I155" s="25">
        <v>1748</v>
      </c>
      <c r="J155" s="26">
        <v>2908.44</v>
      </c>
      <c r="K155" s="25">
        <v>0</v>
      </c>
      <c r="L155" s="21" t="s">
        <v>21</v>
      </c>
      <c r="M155" s="22" t="s">
        <v>3536</v>
      </c>
      <c r="N155" s="27">
        <f t="shared" si="16"/>
        <v>20</v>
      </c>
      <c r="O155" s="28">
        <f t="shared" si="17"/>
        <v>2.5765749830488488E-2</v>
      </c>
      <c r="P155" s="28">
        <f t="shared" si="18"/>
        <v>0</v>
      </c>
      <c r="Q155" s="26">
        <f t="shared" si="19"/>
        <v>1.6638672768878719</v>
      </c>
      <c r="R155" s="29" t="str">
        <f t="shared" si="20"/>
        <v>0</v>
      </c>
      <c r="S155" s="30">
        <f t="shared" si="21"/>
        <v>2</v>
      </c>
      <c r="T155" s="30">
        <f t="shared" si="22"/>
        <v>2023</v>
      </c>
      <c r="U155" s="29" t="str">
        <f t="shared" si="23"/>
        <v>February</v>
      </c>
    </row>
    <row r="156" spans="1:21" ht="17.399999999999999" x14ac:dyDescent="0.3">
      <c r="A156" s="21" t="s">
        <v>118</v>
      </c>
      <c r="B156" s="21" t="s">
        <v>119</v>
      </c>
      <c r="C156" s="23" t="s">
        <v>3519</v>
      </c>
      <c r="D156" s="21" t="s">
        <v>3521</v>
      </c>
      <c r="E156" s="24">
        <v>44959</v>
      </c>
      <c r="F156" s="24">
        <v>44963</v>
      </c>
      <c r="G156" s="22" t="s">
        <v>31</v>
      </c>
      <c r="H156" s="25">
        <v>90475</v>
      </c>
      <c r="I156" s="25">
        <v>1762</v>
      </c>
      <c r="J156" s="26">
        <v>3149.01</v>
      </c>
      <c r="K156" s="25">
        <v>274</v>
      </c>
      <c r="L156" s="21" t="s">
        <v>21</v>
      </c>
      <c r="M156" s="22" t="s">
        <v>31</v>
      </c>
      <c r="N156" s="27">
        <f t="shared" si="16"/>
        <v>4</v>
      </c>
      <c r="O156" s="28">
        <f t="shared" si="17"/>
        <v>1.9474993092014368E-2</v>
      </c>
      <c r="P156" s="28">
        <f t="shared" si="18"/>
        <v>0.15550510783200908</v>
      </c>
      <c r="Q156" s="26">
        <f t="shared" si="19"/>
        <v>1.7871793416572079</v>
      </c>
      <c r="R156" s="29">
        <f t="shared" si="20"/>
        <v>11.492737226277374</v>
      </c>
      <c r="S156" s="30">
        <f t="shared" si="21"/>
        <v>2</v>
      </c>
      <c r="T156" s="30">
        <f t="shared" si="22"/>
        <v>2023</v>
      </c>
      <c r="U156" s="29" t="str">
        <f t="shared" si="23"/>
        <v>February</v>
      </c>
    </row>
    <row r="157" spans="1:21" ht="17.399999999999999" x14ac:dyDescent="0.3">
      <c r="A157" s="21" t="s">
        <v>1638</v>
      </c>
      <c r="B157" s="22" t="s">
        <v>3587</v>
      </c>
      <c r="C157" s="23" t="s">
        <v>3518</v>
      </c>
      <c r="D157" s="22" t="s">
        <v>3545</v>
      </c>
      <c r="E157" s="24">
        <v>44959</v>
      </c>
      <c r="F157" s="24">
        <v>44982</v>
      </c>
      <c r="G157" s="22" t="s">
        <v>14</v>
      </c>
      <c r="H157" s="25">
        <v>92865</v>
      </c>
      <c r="I157" s="25">
        <v>1746</v>
      </c>
      <c r="J157" s="26">
        <v>1705.8</v>
      </c>
      <c r="K157" s="25">
        <v>0</v>
      </c>
      <c r="L157" s="21" t="s">
        <v>17</v>
      </c>
      <c r="M157" s="22" t="s">
        <v>3537</v>
      </c>
      <c r="N157" s="27">
        <f t="shared" si="16"/>
        <v>23</v>
      </c>
      <c r="O157" s="28">
        <f t="shared" si="17"/>
        <v>1.8801486028105316E-2</v>
      </c>
      <c r="P157" s="28">
        <f t="shared" si="18"/>
        <v>0</v>
      </c>
      <c r="Q157" s="26">
        <f t="shared" si="19"/>
        <v>0.9769759450171821</v>
      </c>
      <c r="R157" s="29" t="str">
        <f t="shared" si="20"/>
        <v>0</v>
      </c>
      <c r="S157" s="30">
        <f t="shared" si="21"/>
        <v>2</v>
      </c>
      <c r="T157" s="30">
        <f t="shared" si="22"/>
        <v>2023</v>
      </c>
      <c r="U157" s="29" t="str">
        <f t="shared" si="23"/>
        <v>February</v>
      </c>
    </row>
    <row r="158" spans="1:21" ht="17.399999999999999" x14ac:dyDescent="0.3">
      <c r="A158" s="21" t="s">
        <v>668</v>
      </c>
      <c r="B158" s="21" t="s">
        <v>669</v>
      </c>
      <c r="C158" s="23" t="s">
        <v>3516</v>
      </c>
      <c r="D158" s="21" t="s">
        <v>3521</v>
      </c>
      <c r="E158" s="24">
        <v>44959</v>
      </c>
      <c r="F158" s="24">
        <v>44961</v>
      </c>
      <c r="G158" s="22" t="s">
        <v>31</v>
      </c>
      <c r="H158" s="25">
        <v>55240</v>
      </c>
      <c r="I158" s="25">
        <v>1066</v>
      </c>
      <c r="J158" s="26">
        <v>599.36</v>
      </c>
      <c r="K158" s="25">
        <v>79</v>
      </c>
      <c r="L158" s="21" t="s">
        <v>21</v>
      </c>
      <c r="M158" s="22" t="s">
        <v>31</v>
      </c>
      <c r="N158" s="27">
        <f t="shared" si="16"/>
        <v>2</v>
      </c>
      <c r="O158" s="28">
        <f t="shared" si="17"/>
        <v>1.9297610427226646E-2</v>
      </c>
      <c r="P158" s="28">
        <f t="shared" si="18"/>
        <v>7.410881801125703E-2</v>
      </c>
      <c r="Q158" s="26">
        <f t="shared" si="19"/>
        <v>0.56225140712945587</v>
      </c>
      <c r="R158" s="29">
        <f t="shared" si="20"/>
        <v>7.586835443037975</v>
      </c>
      <c r="S158" s="30">
        <f t="shared" si="21"/>
        <v>2</v>
      </c>
      <c r="T158" s="30">
        <f t="shared" si="22"/>
        <v>2023</v>
      </c>
      <c r="U158" s="29" t="str">
        <f t="shared" si="23"/>
        <v>February</v>
      </c>
    </row>
    <row r="159" spans="1:21" ht="17.399999999999999" x14ac:dyDescent="0.3">
      <c r="A159" s="21" t="s">
        <v>230</v>
      </c>
      <c r="B159" s="21" t="s">
        <v>231</v>
      </c>
      <c r="C159" s="23" t="s">
        <v>3515</v>
      </c>
      <c r="D159" s="21" t="s">
        <v>3521</v>
      </c>
      <c r="E159" s="24">
        <v>44959</v>
      </c>
      <c r="F159" s="24">
        <v>45017</v>
      </c>
      <c r="G159" s="22" t="s">
        <v>16</v>
      </c>
      <c r="H159" s="25">
        <v>80575</v>
      </c>
      <c r="I159" s="25">
        <v>3592</v>
      </c>
      <c r="J159" s="26">
        <v>6449.3</v>
      </c>
      <c r="K159" s="25">
        <v>589</v>
      </c>
      <c r="L159" s="21" t="s">
        <v>17</v>
      </c>
      <c r="M159" s="22" t="s">
        <v>16</v>
      </c>
      <c r="N159" s="27">
        <f t="shared" si="16"/>
        <v>58</v>
      </c>
      <c r="O159" s="28">
        <f t="shared" si="17"/>
        <v>4.4579584238287312E-2</v>
      </c>
      <c r="P159" s="28">
        <f t="shared" si="18"/>
        <v>0.16397550111358575</v>
      </c>
      <c r="Q159" s="26">
        <f t="shared" si="19"/>
        <v>1.7954621380846325</v>
      </c>
      <c r="R159" s="29">
        <f t="shared" si="20"/>
        <v>10.949575551782683</v>
      </c>
      <c r="S159" s="30">
        <f t="shared" si="21"/>
        <v>2</v>
      </c>
      <c r="T159" s="30">
        <f t="shared" si="22"/>
        <v>2023</v>
      </c>
      <c r="U159" s="29" t="str">
        <f t="shared" si="23"/>
        <v>February</v>
      </c>
    </row>
    <row r="160" spans="1:21" ht="17.399999999999999" x14ac:dyDescent="0.3">
      <c r="A160" s="21" t="s">
        <v>1088</v>
      </c>
      <c r="B160" s="21" t="s">
        <v>1089</v>
      </c>
      <c r="C160" s="23" t="s">
        <v>3518</v>
      </c>
      <c r="D160" s="21" t="s">
        <v>3517</v>
      </c>
      <c r="E160" s="24">
        <v>44960</v>
      </c>
      <c r="F160" s="24">
        <v>44982</v>
      </c>
      <c r="G160" s="22" t="s">
        <v>16</v>
      </c>
      <c r="H160" s="25">
        <v>42555</v>
      </c>
      <c r="I160" s="25">
        <v>515</v>
      </c>
      <c r="J160" s="26">
        <v>942.8</v>
      </c>
      <c r="K160" s="25">
        <v>57</v>
      </c>
      <c r="L160" s="21" t="s">
        <v>21</v>
      </c>
      <c r="M160" s="22" t="s">
        <v>16</v>
      </c>
      <c r="N160" s="27">
        <f t="shared" si="16"/>
        <v>22</v>
      </c>
      <c r="O160" s="28">
        <f t="shared" si="17"/>
        <v>1.2101985665609211E-2</v>
      </c>
      <c r="P160" s="28">
        <f t="shared" si="18"/>
        <v>0.11067961165048544</v>
      </c>
      <c r="Q160" s="26">
        <f t="shared" si="19"/>
        <v>1.8306796116504853</v>
      </c>
      <c r="R160" s="29">
        <f t="shared" si="20"/>
        <v>16.540350877192981</v>
      </c>
      <c r="S160" s="30">
        <f t="shared" si="21"/>
        <v>2</v>
      </c>
      <c r="T160" s="30">
        <f t="shared" si="22"/>
        <v>2023</v>
      </c>
      <c r="U160" s="29" t="str">
        <f t="shared" si="23"/>
        <v>February</v>
      </c>
    </row>
    <row r="161" spans="1:21" ht="17.399999999999999" x14ac:dyDescent="0.3">
      <c r="A161" s="21" t="s">
        <v>3343</v>
      </c>
      <c r="B161" s="21" t="s">
        <v>3344</v>
      </c>
      <c r="C161" s="23" t="s">
        <v>3516</v>
      </c>
      <c r="D161" s="21" t="s">
        <v>3521</v>
      </c>
      <c r="E161" s="24">
        <v>44960</v>
      </c>
      <c r="F161" s="24">
        <v>44969</v>
      </c>
      <c r="G161" s="22" t="s">
        <v>31</v>
      </c>
      <c r="H161" s="25">
        <v>65288</v>
      </c>
      <c r="I161" s="25">
        <v>2146</v>
      </c>
      <c r="J161" s="26">
        <v>3639.81</v>
      </c>
      <c r="K161" s="25">
        <v>160</v>
      </c>
      <c r="L161" s="21" t="s">
        <v>21</v>
      </c>
      <c r="M161" s="22" t="s">
        <v>31</v>
      </c>
      <c r="N161" s="27">
        <f t="shared" si="16"/>
        <v>9</v>
      </c>
      <c r="O161" s="28">
        <f t="shared" si="17"/>
        <v>3.2869746354613406E-2</v>
      </c>
      <c r="P161" s="28">
        <f t="shared" si="18"/>
        <v>7.4557315936626276E-2</v>
      </c>
      <c r="Q161" s="26">
        <f t="shared" si="19"/>
        <v>1.696090400745573</v>
      </c>
      <c r="R161" s="29">
        <f t="shared" si="20"/>
        <v>22.7488125</v>
      </c>
      <c r="S161" s="30">
        <f t="shared" si="21"/>
        <v>2</v>
      </c>
      <c r="T161" s="30">
        <f t="shared" si="22"/>
        <v>2023</v>
      </c>
      <c r="U161" s="29" t="str">
        <f t="shared" si="23"/>
        <v>February</v>
      </c>
    </row>
    <row r="162" spans="1:21" ht="17.399999999999999" x14ac:dyDescent="0.3">
      <c r="A162" s="21" t="s">
        <v>1937</v>
      </c>
      <c r="B162" s="21" t="s">
        <v>1938</v>
      </c>
      <c r="C162" s="23" t="s">
        <v>3515</v>
      </c>
      <c r="D162" s="21" t="s">
        <v>3520</v>
      </c>
      <c r="E162" s="24">
        <v>44960</v>
      </c>
      <c r="F162" s="24">
        <v>44977</v>
      </c>
      <c r="G162" s="22" t="s">
        <v>14</v>
      </c>
      <c r="H162" s="25">
        <v>89861</v>
      </c>
      <c r="I162" s="25">
        <v>2319</v>
      </c>
      <c r="J162" s="26">
        <v>1303.6099999999999</v>
      </c>
      <c r="K162" s="25">
        <v>424</v>
      </c>
      <c r="L162" s="21" t="s">
        <v>17</v>
      </c>
      <c r="M162" s="22" t="s">
        <v>3537</v>
      </c>
      <c r="N162" s="27">
        <f t="shared" si="16"/>
        <v>17</v>
      </c>
      <c r="O162" s="28">
        <f t="shared" si="17"/>
        <v>2.5806523408375158E-2</v>
      </c>
      <c r="P162" s="28">
        <f t="shared" si="18"/>
        <v>0.18283742992669255</v>
      </c>
      <c r="Q162" s="26">
        <f t="shared" si="19"/>
        <v>0.56214316515739537</v>
      </c>
      <c r="R162" s="29">
        <f t="shared" si="20"/>
        <v>3.0745518867924524</v>
      </c>
      <c r="S162" s="30">
        <f t="shared" si="21"/>
        <v>2</v>
      </c>
      <c r="T162" s="30">
        <f t="shared" si="22"/>
        <v>2023</v>
      </c>
      <c r="U162" s="29" t="str">
        <f t="shared" si="23"/>
        <v>February</v>
      </c>
    </row>
    <row r="163" spans="1:21" ht="17.399999999999999" x14ac:dyDescent="0.3">
      <c r="A163" s="21" t="s">
        <v>1048</v>
      </c>
      <c r="B163" s="22" t="s">
        <v>3588</v>
      </c>
      <c r="C163" s="23" t="s">
        <v>3519</v>
      </c>
      <c r="D163" s="22" t="s">
        <v>3545</v>
      </c>
      <c r="E163" s="24">
        <v>44961</v>
      </c>
      <c r="F163" s="24">
        <v>44975</v>
      </c>
      <c r="G163" s="22" t="s">
        <v>14</v>
      </c>
      <c r="H163" s="25">
        <v>48295</v>
      </c>
      <c r="I163" s="25">
        <v>1391</v>
      </c>
      <c r="J163" s="26">
        <v>1862.7</v>
      </c>
      <c r="K163" s="25">
        <v>247</v>
      </c>
      <c r="L163" s="21" t="s">
        <v>17</v>
      </c>
      <c r="M163" s="22" t="s">
        <v>3537</v>
      </c>
      <c r="N163" s="27">
        <f t="shared" si="16"/>
        <v>14</v>
      </c>
      <c r="O163" s="28">
        <f t="shared" si="17"/>
        <v>2.8802153432032303E-2</v>
      </c>
      <c r="P163" s="28">
        <f t="shared" si="18"/>
        <v>0.17757009345794392</v>
      </c>
      <c r="Q163" s="26">
        <f t="shared" si="19"/>
        <v>1.3391085549964055</v>
      </c>
      <c r="R163" s="29">
        <f t="shared" si="20"/>
        <v>7.5412955465587048</v>
      </c>
      <c r="S163" s="30">
        <f t="shared" si="21"/>
        <v>2</v>
      </c>
      <c r="T163" s="30">
        <f t="shared" si="22"/>
        <v>2023</v>
      </c>
      <c r="U163" s="29" t="str">
        <f t="shared" si="23"/>
        <v>February</v>
      </c>
    </row>
    <row r="164" spans="1:21" ht="17.399999999999999" x14ac:dyDescent="0.3">
      <c r="A164" s="21" t="s">
        <v>3341</v>
      </c>
      <c r="B164" s="21" t="s">
        <v>3342</v>
      </c>
      <c r="C164" s="23" t="s">
        <v>3518</v>
      </c>
      <c r="D164" s="21" t="s">
        <v>3517</v>
      </c>
      <c r="E164" s="24">
        <v>44961</v>
      </c>
      <c r="F164" s="24">
        <v>44963</v>
      </c>
      <c r="G164" s="22" t="s">
        <v>11</v>
      </c>
      <c r="H164" s="25">
        <v>42688</v>
      </c>
      <c r="I164" s="25">
        <v>1706</v>
      </c>
      <c r="J164" s="26">
        <v>1188.3800000000001</v>
      </c>
      <c r="K164" s="25">
        <v>263</v>
      </c>
      <c r="L164" s="21" t="s">
        <v>21</v>
      </c>
      <c r="M164" s="22" t="s">
        <v>11</v>
      </c>
      <c r="N164" s="27">
        <f t="shared" si="16"/>
        <v>2</v>
      </c>
      <c r="O164" s="28">
        <f t="shared" si="17"/>
        <v>3.9964392803598203E-2</v>
      </c>
      <c r="P164" s="28">
        <f t="shared" si="18"/>
        <v>0.15416178194607269</v>
      </c>
      <c r="Q164" s="26">
        <f t="shared" si="19"/>
        <v>0.69658851113716302</v>
      </c>
      <c r="R164" s="29">
        <f t="shared" si="20"/>
        <v>4.5185551330798486</v>
      </c>
      <c r="S164" s="30">
        <f t="shared" si="21"/>
        <v>2</v>
      </c>
      <c r="T164" s="30">
        <f t="shared" si="22"/>
        <v>2023</v>
      </c>
      <c r="U164" s="29" t="str">
        <f t="shared" si="23"/>
        <v>February</v>
      </c>
    </row>
    <row r="165" spans="1:21" ht="17.399999999999999" x14ac:dyDescent="0.3">
      <c r="A165" s="21" t="s">
        <v>169</v>
      </c>
      <c r="B165" s="21" t="s">
        <v>170</v>
      </c>
      <c r="C165" s="23" t="s">
        <v>3516</v>
      </c>
      <c r="D165" s="21" t="s">
        <v>3520</v>
      </c>
      <c r="E165" s="24">
        <v>44961</v>
      </c>
      <c r="F165" s="24">
        <v>44991</v>
      </c>
      <c r="G165" s="22" t="s">
        <v>24</v>
      </c>
      <c r="H165" s="25">
        <v>64704</v>
      </c>
      <c r="I165" s="25">
        <v>1112</v>
      </c>
      <c r="J165" s="26">
        <v>582.26</v>
      </c>
      <c r="K165" s="25">
        <v>213</v>
      </c>
      <c r="L165" s="21" t="s">
        <v>21</v>
      </c>
      <c r="M165" s="22" t="s">
        <v>3536</v>
      </c>
      <c r="N165" s="27">
        <f t="shared" si="16"/>
        <v>30</v>
      </c>
      <c r="O165" s="28">
        <f t="shared" si="17"/>
        <v>1.7185954500494559E-2</v>
      </c>
      <c r="P165" s="28">
        <f t="shared" si="18"/>
        <v>0.19154676258992806</v>
      </c>
      <c r="Q165" s="26">
        <f t="shared" si="19"/>
        <v>0.52361510791366905</v>
      </c>
      <c r="R165" s="29">
        <f t="shared" si="20"/>
        <v>2.7336150234741785</v>
      </c>
      <c r="S165" s="30">
        <f t="shared" si="21"/>
        <v>2</v>
      </c>
      <c r="T165" s="30">
        <f t="shared" si="22"/>
        <v>2023</v>
      </c>
      <c r="U165" s="29" t="str">
        <f t="shared" si="23"/>
        <v>February</v>
      </c>
    </row>
    <row r="166" spans="1:21" ht="17.399999999999999" x14ac:dyDescent="0.3">
      <c r="A166" s="21" t="s">
        <v>2117</v>
      </c>
      <c r="B166" s="21" t="s">
        <v>2118</v>
      </c>
      <c r="C166" s="23" t="s">
        <v>3515</v>
      </c>
      <c r="D166" s="21" t="s">
        <v>3521</v>
      </c>
      <c r="E166" s="24">
        <v>44961</v>
      </c>
      <c r="F166" s="24">
        <v>44979</v>
      </c>
      <c r="G166" s="22" t="s">
        <v>3535</v>
      </c>
      <c r="H166" s="25">
        <v>38219</v>
      </c>
      <c r="I166" s="25">
        <v>1635</v>
      </c>
      <c r="J166" s="26">
        <v>2355.14</v>
      </c>
      <c r="K166" s="25">
        <v>247</v>
      </c>
      <c r="L166" s="21" t="s">
        <v>21</v>
      </c>
      <c r="M166" s="22" t="s">
        <v>3535</v>
      </c>
      <c r="N166" s="27">
        <f t="shared" si="16"/>
        <v>18</v>
      </c>
      <c r="O166" s="28">
        <f t="shared" si="17"/>
        <v>4.2779769224731153E-2</v>
      </c>
      <c r="P166" s="28">
        <f t="shared" si="18"/>
        <v>0.1510703363914373</v>
      </c>
      <c r="Q166" s="26">
        <f t="shared" si="19"/>
        <v>1.4404525993883792</v>
      </c>
      <c r="R166" s="29">
        <f t="shared" si="20"/>
        <v>9.5349797570850203</v>
      </c>
      <c r="S166" s="30">
        <f t="shared" si="21"/>
        <v>2</v>
      </c>
      <c r="T166" s="30">
        <f t="shared" si="22"/>
        <v>2023</v>
      </c>
      <c r="U166" s="29" t="str">
        <f t="shared" si="23"/>
        <v>February</v>
      </c>
    </row>
    <row r="167" spans="1:21" ht="17.399999999999999" x14ac:dyDescent="0.3">
      <c r="A167" s="21" t="s">
        <v>587</v>
      </c>
      <c r="B167" s="21" t="s">
        <v>588</v>
      </c>
      <c r="C167" s="23" t="s">
        <v>3519</v>
      </c>
      <c r="D167" s="21" t="s">
        <v>3517</v>
      </c>
      <c r="E167" s="24">
        <v>44962</v>
      </c>
      <c r="F167" s="24">
        <v>44971</v>
      </c>
      <c r="G167" s="22" t="s">
        <v>11</v>
      </c>
      <c r="H167" s="25">
        <v>71271</v>
      </c>
      <c r="I167" s="25">
        <v>1686</v>
      </c>
      <c r="J167" s="26">
        <v>2046.01</v>
      </c>
      <c r="K167" s="25">
        <v>258</v>
      </c>
      <c r="L167" s="21" t="s">
        <v>21</v>
      </c>
      <c r="M167" s="22" t="s">
        <v>11</v>
      </c>
      <c r="N167" s="27">
        <f t="shared" si="16"/>
        <v>9</v>
      </c>
      <c r="O167" s="28">
        <f t="shared" si="17"/>
        <v>2.3656185545312961E-2</v>
      </c>
      <c r="P167" s="28">
        <f t="shared" si="18"/>
        <v>0.15302491103202848</v>
      </c>
      <c r="Q167" s="26">
        <f t="shared" si="19"/>
        <v>1.2135290628706998</v>
      </c>
      <c r="R167" s="29">
        <f t="shared" si="20"/>
        <v>7.9302713178294573</v>
      </c>
      <c r="S167" s="30">
        <f t="shared" si="21"/>
        <v>2</v>
      </c>
      <c r="T167" s="30">
        <f t="shared" si="22"/>
        <v>2023</v>
      </c>
      <c r="U167" s="29" t="str">
        <f t="shared" si="23"/>
        <v>February</v>
      </c>
    </row>
    <row r="168" spans="1:21" ht="17.399999999999999" x14ac:dyDescent="0.3">
      <c r="A168" s="21" t="s">
        <v>1342</v>
      </c>
      <c r="B168" s="21" t="s">
        <v>1343</v>
      </c>
      <c r="C168" s="23" t="s">
        <v>3519</v>
      </c>
      <c r="D168" s="21" t="s">
        <v>3520</v>
      </c>
      <c r="E168" s="24">
        <v>44962</v>
      </c>
      <c r="F168" s="24">
        <v>44989</v>
      </c>
      <c r="G168" s="22" t="s">
        <v>11</v>
      </c>
      <c r="H168" s="25">
        <v>62529</v>
      </c>
      <c r="I168" s="25">
        <v>1264</v>
      </c>
      <c r="J168" s="26">
        <v>634.54999999999995</v>
      </c>
      <c r="K168" s="25">
        <v>193</v>
      </c>
      <c r="L168" s="21" t="s">
        <v>17</v>
      </c>
      <c r="M168" s="22" t="s">
        <v>11</v>
      </c>
      <c r="N168" s="27">
        <f t="shared" si="16"/>
        <v>27</v>
      </c>
      <c r="O168" s="28">
        <f t="shared" si="17"/>
        <v>2.0214620416126917E-2</v>
      </c>
      <c r="P168" s="28">
        <f t="shared" si="18"/>
        <v>0.15268987341772153</v>
      </c>
      <c r="Q168" s="26">
        <f t="shared" si="19"/>
        <v>0.50201740506329107</v>
      </c>
      <c r="R168" s="29">
        <f t="shared" si="20"/>
        <v>3.2878238341968911</v>
      </c>
      <c r="S168" s="30">
        <f t="shared" si="21"/>
        <v>2</v>
      </c>
      <c r="T168" s="30">
        <f t="shared" si="22"/>
        <v>2023</v>
      </c>
      <c r="U168" s="29" t="str">
        <f t="shared" si="23"/>
        <v>February</v>
      </c>
    </row>
    <row r="169" spans="1:21" ht="17.399999999999999" x14ac:dyDescent="0.3">
      <c r="A169" s="21" t="s">
        <v>2773</v>
      </c>
      <c r="B169" s="21" t="s">
        <v>2774</v>
      </c>
      <c r="C169" s="23" t="s">
        <v>3518</v>
      </c>
      <c r="D169" s="21" t="s">
        <v>3520</v>
      </c>
      <c r="E169" s="24">
        <v>44962</v>
      </c>
      <c r="F169" s="24">
        <v>44967</v>
      </c>
      <c r="G169" s="22" t="s">
        <v>31</v>
      </c>
      <c r="H169" s="25">
        <v>30430</v>
      </c>
      <c r="I169" s="25">
        <v>378</v>
      </c>
      <c r="J169" s="26">
        <v>383.39</v>
      </c>
      <c r="K169" s="25">
        <v>62</v>
      </c>
      <c r="L169" s="21" t="s">
        <v>21</v>
      </c>
      <c r="M169" s="22" t="s">
        <v>31</v>
      </c>
      <c r="N169" s="27">
        <f t="shared" si="16"/>
        <v>5</v>
      </c>
      <c r="O169" s="28">
        <f t="shared" si="17"/>
        <v>1.2421952021031876E-2</v>
      </c>
      <c r="P169" s="28">
        <f t="shared" si="18"/>
        <v>0.16402116402116401</v>
      </c>
      <c r="Q169" s="26">
        <f t="shared" si="19"/>
        <v>1.0142592592592592</v>
      </c>
      <c r="R169" s="29">
        <f t="shared" si="20"/>
        <v>6.1837096774193547</v>
      </c>
      <c r="S169" s="30">
        <f t="shared" si="21"/>
        <v>2</v>
      </c>
      <c r="T169" s="30">
        <f t="shared" si="22"/>
        <v>2023</v>
      </c>
      <c r="U169" s="29" t="str">
        <f t="shared" si="23"/>
        <v>February</v>
      </c>
    </row>
    <row r="170" spans="1:21" ht="17.399999999999999" x14ac:dyDescent="0.3">
      <c r="A170" s="21" t="s">
        <v>544</v>
      </c>
      <c r="B170" s="21" t="s">
        <v>545</v>
      </c>
      <c r="C170" s="23" t="s">
        <v>3516</v>
      </c>
      <c r="D170" s="21" t="s">
        <v>3520</v>
      </c>
      <c r="E170" s="24">
        <v>44962</v>
      </c>
      <c r="F170" s="24">
        <v>44965</v>
      </c>
      <c r="G170" s="22" t="s">
        <v>24</v>
      </c>
      <c r="H170" s="25">
        <v>49354</v>
      </c>
      <c r="I170" s="25">
        <v>2115</v>
      </c>
      <c r="J170" s="26">
        <v>2252.04</v>
      </c>
      <c r="K170" s="25">
        <v>322</v>
      </c>
      <c r="L170" s="21" t="s">
        <v>21</v>
      </c>
      <c r="M170" s="22" t="s">
        <v>3536</v>
      </c>
      <c r="N170" s="27">
        <f t="shared" si="16"/>
        <v>3</v>
      </c>
      <c r="O170" s="28">
        <f t="shared" si="17"/>
        <v>4.2853669408761196E-2</v>
      </c>
      <c r="P170" s="28">
        <f t="shared" si="18"/>
        <v>0.15224586288416075</v>
      </c>
      <c r="Q170" s="26">
        <f t="shared" si="19"/>
        <v>1.0647943262411348</v>
      </c>
      <c r="R170" s="29">
        <f t="shared" si="20"/>
        <v>6.993913043478261</v>
      </c>
      <c r="S170" s="30">
        <f t="shared" si="21"/>
        <v>2</v>
      </c>
      <c r="T170" s="30">
        <f t="shared" si="22"/>
        <v>2023</v>
      </c>
      <c r="U170" s="29" t="str">
        <f t="shared" si="23"/>
        <v>February</v>
      </c>
    </row>
    <row r="171" spans="1:21" ht="17.399999999999999" x14ac:dyDescent="0.3">
      <c r="A171" s="21" t="s">
        <v>1772</v>
      </c>
      <c r="B171" s="22" t="s">
        <v>3589</v>
      </c>
      <c r="C171" s="23" t="s">
        <v>3515</v>
      </c>
      <c r="D171" s="22" t="s">
        <v>3545</v>
      </c>
      <c r="E171" s="24">
        <v>44962</v>
      </c>
      <c r="F171" s="24">
        <v>45062</v>
      </c>
      <c r="G171" s="22" t="s">
        <v>24</v>
      </c>
      <c r="H171" s="25">
        <v>77090</v>
      </c>
      <c r="I171" s="25">
        <v>2986</v>
      </c>
      <c r="J171" s="26">
        <v>5013.16</v>
      </c>
      <c r="K171" s="25">
        <v>347</v>
      </c>
      <c r="L171" s="21" t="s">
        <v>17</v>
      </c>
      <c r="M171" s="22" t="s">
        <v>3536</v>
      </c>
      <c r="N171" s="27">
        <f t="shared" si="16"/>
        <v>100</v>
      </c>
      <c r="O171" s="28">
        <f t="shared" si="17"/>
        <v>3.8733947334284605E-2</v>
      </c>
      <c r="P171" s="28">
        <f t="shared" si="18"/>
        <v>0.11620897521768252</v>
      </c>
      <c r="Q171" s="26">
        <f t="shared" si="19"/>
        <v>1.6788881446751507</v>
      </c>
      <c r="R171" s="29">
        <f t="shared" si="20"/>
        <v>14.447146974063401</v>
      </c>
      <c r="S171" s="30">
        <f t="shared" si="21"/>
        <v>2</v>
      </c>
      <c r="T171" s="30">
        <f t="shared" si="22"/>
        <v>2023</v>
      </c>
      <c r="U171" s="29" t="str">
        <f t="shared" si="23"/>
        <v>February</v>
      </c>
    </row>
    <row r="172" spans="1:21" ht="17.399999999999999" x14ac:dyDescent="0.3">
      <c r="A172" s="21" t="s">
        <v>1871</v>
      </c>
      <c r="B172" s="22" t="s">
        <v>3590</v>
      </c>
      <c r="C172" s="23" t="s">
        <v>3515</v>
      </c>
      <c r="D172" s="22" t="s">
        <v>3545</v>
      </c>
      <c r="E172" s="24">
        <v>44962</v>
      </c>
      <c r="F172" s="24">
        <v>44988</v>
      </c>
      <c r="G172" s="22" t="s">
        <v>14</v>
      </c>
      <c r="H172" s="25">
        <v>60383</v>
      </c>
      <c r="I172" s="25">
        <v>1691</v>
      </c>
      <c r="J172" s="26">
        <v>910.97</v>
      </c>
      <c r="K172" s="25">
        <v>128</v>
      </c>
      <c r="L172" s="21" t="s">
        <v>17</v>
      </c>
      <c r="M172" s="22" t="s">
        <v>3537</v>
      </c>
      <c r="N172" s="27">
        <f t="shared" si="16"/>
        <v>26</v>
      </c>
      <c r="O172" s="28">
        <f t="shared" si="17"/>
        <v>2.8004570822913733E-2</v>
      </c>
      <c r="P172" s="28">
        <f t="shared" si="18"/>
        <v>7.5694855115316387E-2</v>
      </c>
      <c r="Q172" s="26">
        <f t="shared" si="19"/>
        <v>0.53871673565937317</v>
      </c>
      <c r="R172" s="29">
        <f t="shared" si="20"/>
        <v>7.1169531250000002</v>
      </c>
      <c r="S172" s="30">
        <f t="shared" si="21"/>
        <v>2</v>
      </c>
      <c r="T172" s="30">
        <f t="shared" si="22"/>
        <v>2023</v>
      </c>
      <c r="U172" s="29" t="str">
        <f t="shared" si="23"/>
        <v>February</v>
      </c>
    </row>
    <row r="173" spans="1:21" ht="17.399999999999999" x14ac:dyDescent="0.3">
      <c r="A173" s="21" t="s">
        <v>2325</v>
      </c>
      <c r="B173" s="22" t="s">
        <v>3591</v>
      </c>
      <c r="C173" s="23" t="s">
        <v>3519</v>
      </c>
      <c r="D173" s="22" t="s">
        <v>3545</v>
      </c>
      <c r="E173" s="24">
        <v>44962</v>
      </c>
      <c r="F173" s="24">
        <v>45078</v>
      </c>
      <c r="G173" s="22" t="s">
        <v>14</v>
      </c>
      <c r="H173" s="25">
        <v>56106</v>
      </c>
      <c r="I173" s="25">
        <v>1984</v>
      </c>
      <c r="J173" s="26">
        <v>3382.46</v>
      </c>
      <c r="K173" s="25">
        <v>306</v>
      </c>
      <c r="L173" s="21" t="s">
        <v>17</v>
      </c>
      <c r="M173" s="22" t="s">
        <v>3537</v>
      </c>
      <c r="N173" s="27">
        <f t="shared" si="16"/>
        <v>116</v>
      </c>
      <c r="O173" s="28">
        <f t="shared" si="17"/>
        <v>3.5361636901579153E-2</v>
      </c>
      <c r="P173" s="28">
        <f t="shared" si="18"/>
        <v>0.15423387096774194</v>
      </c>
      <c r="Q173" s="26">
        <f t="shared" si="19"/>
        <v>1.7048689516129032</v>
      </c>
      <c r="R173" s="29">
        <f t="shared" si="20"/>
        <v>11.053790849673202</v>
      </c>
      <c r="S173" s="30">
        <f t="shared" si="21"/>
        <v>2</v>
      </c>
      <c r="T173" s="30">
        <f t="shared" si="22"/>
        <v>2023</v>
      </c>
      <c r="U173" s="29" t="str">
        <f t="shared" si="23"/>
        <v>February</v>
      </c>
    </row>
    <row r="174" spans="1:21" ht="17.399999999999999" x14ac:dyDescent="0.3">
      <c r="A174" s="21" t="s">
        <v>474</v>
      </c>
      <c r="B174" s="21" t="s">
        <v>475</v>
      </c>
      <c r="C174" s="23" t="s">
        <v>3516</v>
      </c>
      <c r="D174" s="21" t="s">
        <v>3517</v>
      </c>
      <c r="E174" s="24">
        <v>44963</v>
      </c>
      <c r="F174" s="24">
        <v>44974</v>
      </c>
      <c r="G174" s="22" t="s">
        <v>14</v>
      </c>
      <c r="H174" s="25">
        <v>12111</v>
      </c>
      <c r="I174" s="25">
        <v>128</v>
      </c>
      <c r="J174" s="26">
        <v>221.03</v>
      </c>
      <c r="K174" s="25">
        <v>0</v>
      </c>
      <c r="L174" s="21" t="s">
        <v>21</v>
      </c>
      <c r="M174" s="22" t="s">
        <v>3537</v>
      </c>
      <c r="N174" s="27">
        <f t="shared" si="16"/>
        <v>11</v>
      </c>
      <c r="O174" s="28">
        <f t="shared" si="17"/>
        <v>1.056890430187433E-2</v>
      </c>
      <c r="P174" s="28">
        <f t="shared" si="18"/>
        <v>0</v>
      </c>
      <c r="Q174" s="26">
        <f t="shared" si="19"/>
        <v>1.726796875</v>
      </c>
      <c r="R174" s="29" t="str">
        <f t="shared" si="20"/>
        <v>0</v>
      </c>
      <c r="S174" s="30">
        <f t="shared" si="21"/>
        <v>2</v>
      </c>
      <c r="T174" s="30">
        <f t="shared" si="22"/>
        <v>2023</v>
      </c>
      <c r="U174" s="29" t="str">
        <f t="shared" si="23"/>
        <v>February</v>
      </c>
    </row>
    <row r="175" spans="1:21" ht="17.399999999999999" x14ac:dyDescent="0.3">
      <c r="A175" s="21" t="s">
        <v>2890</v>
      </c>
      <c r="B175" s="21" t="s">
        <v>2891</v>
      </c>
      <c r="C175" s="23" t="s">
        <v>3516</v>
      </c>
      <c r="D175" s="21" t="s">
        <v>3520</v>
      </c>
      <c r="E175" s="24">
        <v>44963</v>
      </c>
      <c r="F175" s="24">
        <v>44988</v>
      </c>
      <c r="G175" s="22" t="s">
        <v>24</v>
      </c>
      <c r="H175" s="25">
        <v>65754</v>
      </c>
      <c r="I175" s="25">
        <v>2102</v>
      </c>
      <c r="J175" s="26">
        <v>2984.27</v>
      </c>
      <c r="K175" s="25">
        <v>235</v>
      </c>
      <c r="L175" s="21" t="s">
        <v>17</v>
      </c>
      <c r="M175" s="22" t="s">
        <v>3536</v>
      </c>
      <c r="N175" s="27">
        <f t="shared" si="16"/>
        <v>25</v>
      </c>
      <c r="O175" s="28">
        <f t="shared" si="17"/>
        <v>3.1967636949843357E-2</v>
      </c>
      <c r="P175" s="28">
        <f t="shared" si="18"/>
        <v>0.11179828734538534</v>
      </c>
      <c r="Q175" s="26">
        <f t="shared" si="19"/>
        <v>1.4197288296860133</v>
      </c>
      <c r="R175" s="29">
        <f t="shared" si="20"/>
        <v>12.699021276595744</v>
      </c>
      <c r="S175" s="30">
        <f t="shared" si="21"/>
        <v>2</v>
      </c>
      <c r="T175" s="30">
        <f t="shared" si="22"/>
        <v>2023</v>
      </c>
      <c r="U175" s="29" t="str">
        <f t="shared" si="23"/>
        <v>February</v>
      </c>
    </row>
    <row r="176" spans="1:21" ht="17.399999999999999" x14ac:dyDescent="0.3">
      <c r="A176" s="21" t="s">
        <v>449</v>
      </c>
      <c r="B176" s="21" t="s">
        <v>450</v>
      </c>
      <c r="C176" s="23" t="s">
        <v>3519</v>
      </c>
      <c r="D176" s="21" t="s">
        <v>3521</v>
      </c>
      <c r="E176" s="24">
        <v>44964</v>
      </c>
      <c r="F176" s="24">
        <v>44976</v>
      </c>
      <c r="G176" s="22" t="s">
        <v>14</v>
      </c>
      <c r="H176" s="25">
        <v>3811</v>
      </c>
      <c r="I176" s="25">
        <v>85</v>
      </c>
      <c r="J176" s="26">
        <v>109.15</v>
      </c>
      <c r="K176" s="25">
        <v>7</v>
      </c>
      <c r="L176" s="21" t="s">
        <v>21</v>
      </c>
      <c r="M176" s="22" t="s">
        <v>3537</v>
      </c>
      <c r="N176" s="27">
        <f t="shared" si="16"/>
        <v>12</v>
      </c>
      <c r="O176" s="28">
        <f t="shared" si="17"/>
        <v>2.2303857255313565E-2</v>
      </c>
      <c r="P176" s="28">
        <f t="shared" si="18"/>
        <v>8.2352941176470587E-2</v>
      </c>
      <c r="Q176" s="26">
        <f t="shared" si="19"/>
        <v>1.2841176470588236</v>
      </c>
      <c r="R176" s="29">
        <f t="shared" si="20"/>
        <v>15.592857142857143</v>
      </c>
      <c r="S176" s="30">
        <f t="shared" si="21"/>
        <v>2</v>
      </c>
      <c r="T176" s="30">
        <f t="shared" si="22"/>
        <v>2023</v>
      </c>
      <c r="U176" s="29" t="str">
        <f t="shared" si="23"/>
        <v>February</v>
      </c>
    </row>
    <row r="177" spans="1:21" ht="17.399999999999999" x14ac:dyDescent="0.3">
      <c r="A177" s="21" t="s">
        <v>1412</v>
      </c>
      <c r="B177" s="21" t="s">
        <v>1413</v>
      </c>
      <c r="C177" s="23" t="s">
        <v>3519</v>
      </c>
      <c r="D177" s="21" t="s">
        <v>3521</v>
      </c>
      <c r="E177" s="24">
        <v>44964</v>
      </c>
      <c r="F177" s="24">
        <v>44968</v>
      </c>
      <c r="G177" s="22" t="s">
        <v>31</v>
      </c>
      <c r="H177" s="25">
        <v>73474</v>
      </c>
      <c r="I177" s="25">
        <v>3081</v>
      </c>
      <c r="J177" s="26">
        <v>5528.9</v>
      </c>
      <c r="K177" s="25">
        <v>363</v>
      </c>
      <c r="L177" s="21" t="s">
        <v>21</v>
      </c>
      <c r="M177" s="22" t="s">
        <v>31</v>
      </c>
      <c r="N177" s="27">
        <f t="shared" si="16"/>
        <v>4</v>
      </c>
      <c r="O177" s="28">
        <f t="shared" si="17"/>
        <v>4.1933200860168225E-2</v>
      </c>
      <c r="P177" s="28">
        <f t="shared" si="18"/>
        <v>0.11781888997078871</v>
      </c>
      <c r="Q177" s="26">
        <f t="shared" si="19"/>
        <v>1.7945147679324893</v>
      </c>
      <c r="R177" s="29">
        <f t="shared" si="20"/>
        <v>15.231129476584021</v>
      </c>
      <c r="S177" s="30">
        <f t="shared" si="21"/>
        <v>2</v>
      </c>
      <c r="T177" s="30">
        <f t="shared" si="22"/>
        <v>2023</v>
      </c>
      <c r="U177" s="29" t="str">
        <f t="shared" si="23"/>
        <v>February</v>
      </c>
    </row>
    <row r="178" spans="1:21" ht="17.399999999999999" x14ac:dyDescent="0.3">
      <c r="A178" s="21" t="s">
        <v>2502</v>
      </c>
      <c r="B178" s="21" t="s">
        <v>2503</v>
      </c>
      <c r="C178" s="23" t="s">
        <v>3519</v>
      </c>
      <c r="D178" s="21" t="s">
        <v>3520</v>
      </c>
      <c r="E178" s="24">
        <v>44964</v>
      </c>
      <c r="F178" s="24">
        <v>44992</v>
      </c>
      <c r="G178" s="22" t="s">
        <v>16</v>
      </c>
      <c r="H178" s="25">
        <v>5263</v>
      </c>
      <c r="I178" s="25">
        <v>241</v>
      </c>
      <c r="J178" s="26">
        <v>159.55000000000001</v>
      </c>
      <c r="K178" s="25">
        <v>42</v>
      </c>
      <c r="L178" s="21" t="s">
        <v>21</v>
      </c>
      <c r="M178" s="22" t="s">
        <v>16</v>
      </c>
      <c r="N178" s="27">
        <f t="shared" si="16"/>
        <v>28</v>
      </c>
      <c r="O178" s="28">
        <f t="shared" si="17"/>
        <v>4.5791373741212234E-2</v>
      </c>
      <c r="P178" s="28">
        <f t="shared" si="18"/>
        <v>0.17427385892116182</v>
      </c>
      <c r="Q178" s="26">
        <f t="shared" si="19"/>
        <v>0.66203319502074698</v>
      </c>
      <c r="R178" s="29">
        <f t="shared" si="20"/>
        <v>3.7988095238095241</v>
      </c>
      <c r="S178" s="30">
        <f t="shared" si="21"/>
        <v>2</v>
      </c>
      <c r="T178" s="30">
        <f t="shared" si="22"/>
        <v>2023</v>
      </c>
      <c r="U178" s="29" t="str">
        <f t="shared" si="23"/>
        <v>February</v>
      </c>
    </row>
    <row r="179" spans="1:21" ht="17.399999999999999" x14ac:dyDescent="0.3">
      <c r="A179" s="21" t="s">
        <v>2555</v>
      </c>
      <c r="B179" s="21" t="s">
        <v>2556</v>
      </c>
      <c r="C179" s="23" t="s">
        <v>3519</v>
      </c>
      <c r="D179" s="21" t="s">
        <v>3520</v>
      </c>
      <c r="E179" s="24">
        <v>44964</v>
      </c>
      <c r="F179" s="24">
        <v>44979</v>
      </c>
      <c r="G179" s="22" t="s">
        <v>16</v>
      </c>
      <c r="H179" s="25">
        <v>24150</v>
      </c>
      <c r="I179" s="25">
        <v>415</v>
      </c>
      <c r="J179" s="26">
        <v>770.32</v>
      </c>
      <c r="K179" s="25">
        <v>70</v>
      </c>
      <c r="L179" s="21" t="s">
        <v>21</v>
      </c>
      <c r="M179" s="22" t="s">
        <v>16</v>
      </c>
      <c r="N179" s="27">
        <f t="shared" si="16"/>
        <v>15</v>
      </c>
      <c r="O179" s="28">
        <f t="shared" si="17"/>
        <v>1.7184265010351966E-2</v>
      </c>
      <c r="P179" s="28">
        <f t="shared" si="18"/>
        <v>0.16867469879518071</v>
      </c>
      <c r="Q179" s="26">
        <f t="shared" si="19"/>
        <v>1.8561927710843376</v>
      </c>
      <c r="R179" s="29">
        <f t="shared" si="20"/>
        <v>11.004571428571429</v>
      </c>
      <c r="S179" s="30">
        <f t="shared" si="21"/>
        <v>2</v>
      </c>
      <c r="T179" s="30">
        <f t="shared" si="22"/>
        <v>2023</v>
      </c>
      <c r="U179" s="29" t="str">
        <f t="shared" si="23"/>
        <v>February</v>
      </c>
    </row>
    <row r="180" spans="1:21" ht="17.399999999999999" x14ac:dyDescent="0.3">
      <c r="A180" s="21" t="s">
        <v>184</v>
      </c>
      <c r="B180" s="21" t="s">
        <v>185</v>
      </c>
      <c r="C180" s="23" t="s">
        <v>3518</v>
      </c>
      <c r="D180" s="21" t="s">
        <v>3517</v>
      </c>
      <c r="E180" s="24">
        <v>44964</v>
      </c>
      <c r="F180" s="24">
        <v>44975</v>
      </c>
      <c r="G180" s="22" t="s">
        <v>11</v>
      </c>
      <c r="H180" s="25">
        <v>3568</v>
      </c>
      <c r="I180" s="25">
        <v>81</v>
      </c>
      <c r="J180" s="26">
        <v>90.9</v>
      </c>
      <c r="K180" s="25">
        <v>8</v>
      </c>
      <c r="L180" s="21" t="s">
        <v>21</v>
      </c>
      <c r="M180" s="22" t="s">
        <v>11</v>
      </c>
      <c r="N180" s="27">
        <f t="shared" si="16"/>
        <v>11</v>
      </c>
      <c r="O180" s="28">
        <f t="shared" si="17"/>
        <v>2.2701793721973094E-2</v>
      </c>
      <c r="P180" s="28">
        <f t="shared" si="18"/>
        <v>9.8765432098765427E-2</v>
      </c>
      <c r="Q180" s="26">
        <f t="shared" si="19"/>
        <v>1.1222222222222222</v>
      </c>
      <c r="R180" s="29">
        <f t="shared" si="20"/>
        <v>11.362500000000001</v>
      </c>
      <c r="S180" s="30">
        <f t="shared" si="21"/>
        <v>2</v>
      </c>
      <c r="T180" s="30">
        <f t="shared" si="22"/>
        <v>2023</v>
      </c>
      <c r="U180" s="29" t="str">
        <f t="shared" si="23"/>
        <v>February</v>
      </c>
    </row>
    <row r="181" spans="1:21" ht="17.399999999999999" x14ac:dyDescent="0.3">
      <c r="A181" s="21" t="s">
        <v>732</v>
      </c>
      <c r="B181" s="21" t="s">
        <v>733</v>
      </c>
      <c r="C181" s="23" t="s">
        <v>3518</v>
      </c>
      <c r="D181" s="21" t="s">
        <v>3517</v>
      </c>
      <c r="E181" s="24">
        <v>44964</v>
      </c>
      <c r="F181" s="24">
        <v>44973</v>
      </c>
      <c r="G181" s="22" t="s">
        <v>14</v>
      </c>
      <c r="H181" s="25">
        <v>71316</v>
      </c>
      <c r="I181" s="25">
        <v>2779</v>
      </c>
      <c r="J181" s="26">
        <v>2178.9899999999998</v>
      </c>
      <c r="K181" s="25">
        <v>234</v>
      </c>
      <c r="L181" s="21" t="s">
        <v>17</v>
      </c>
      <c r="M181" s="22" t="s">
        <v>3537</v>
      </c>
      <c r="N181" s="27">
        <f t="shared" si="16"/>
        <v>9</v>
      </c>
      <c r="O181" s="28">
        <f t="shared" si="17"/>
        <v>3.8967412642324305E-2</v>
      </c>
      <c r="P181" s="28">
        <f t="shared" si="18"/>
        <v>8.4202950701691259E-2</v>
      </c>
      <c r="Q181" s="26">
        <f t="shared" si="19"/>
        <v>0.78409139978409492</v>
      </c>
      <c r="R181" s="29">
        <f t="shared" si="20"/>
        <v>9.3119230769230761</v>
      </c>
      <c r="S181" s="30">
        <f t="shared" si="21"/>
        <v>2</v>
      </c>
      <c r="T181" s="30">
        <f t="shared" si="22"/>
        <v>2023</v>
      </c>
      <c r="U181" s="29" t="str">
        <f t="shared" si="23"/>
        <v>February</v>
      </c>
    </row>
    <row r="182" spans="1:21" ht="17.399999999999999" x14ac:dyDescent="0.3">
      <c r="A182" s="21" t="s">
        <v>2001</v>
      </c>
      <c r="B182" s="21" t="s">
        <v>2002</v>
      </c>
      <c r="C182" s="23" t="s">
        <v>3516</v>
      </c>
      <c r="D182" s="21" t="s">
        <v>3520</v>
      </c>
      <c r="E182" s="24">
        <v>44964</v>
      </c>
      <c r="F182" s="24">
        <v>44991</v>
      </c>
      <c r="G182" s="22" t="s">
        <v>16</v>
      </c>
      <c r="H182" s="25">
        <v>97646</v>
      </c>
      <c r="I182" s="25">
        <v>1786</v>
      </c>
      <c r="J182" s="26">
        <v>2124.39</v>
      </c>
      <c r="K182" s="25">
        <v>272</v>
      </c>
      <c r="L182" s="21" t="s">
        <v>21</v>
      </c>
      <c r="M182" s="22" t="s">
        <v>16</v>
      </c>
      <c r="N182" s="27">
        <f t="shared" si="16"/>
        <v>27</v>
      </c>
      <c r="O182" s="28">
        <f t="shared" si="17"/>
        <v>1.829055977715421E-2</v>
      </c>
      <c r="P182" s="28">
        <f t="shared" si="18"/>
        <v>0.1522956326987682</v>
      </c>
      <c r="Q182" s="26">
        <f t="shared" si="19"/>
        <v>1.1894680851063828</v>
      </c>
      <c r="R182" s="29">
        <f t="shared" si="20"/>
        <v>7.8102573529411758</v>
      </c>
      <c r="S182" s="30">
        <f t="shared" si="21"/>
        <v>2</v>
      </c>
      <c r="T182" s="30">
        <f t="shared" si="22"/>
        <v>2023</v>
      </c>
      <c r="U182" s="29" t="str">
        <f t="shared" si="23"/>
        <v>February</v>
      </c>
    </row>
    <row r="183" spans="1:21" ht="17.399999999999999" x14ac:dyDescent="0.3">
      <c r="A183" s="21" t="s">
        <v>180</v>
      </c>
      <c r="B183" s="21" t="s">
        <v>181</v>
      </c>
      <c r="C183" s="23" t="s">
        <v>3515</v>
      </c>
      <c r="D183" s="21" t="s">
        <v>3521</v>
      </c>
      <c r="E183" s="24">
        <v>44964</v>
      </c>
      <c r="F183" s="24">
        <v>44983</v>
      </c>
      <c r="G183" s="22" t="s">
        <v>3535</v>
      </c>
      <c r="H183" s="25">
        <v>49984</v>
      </c>
      <c r="I183" s="25">
        <v>1871</v>
      </c>
      <c r="J183" s="26">
        <v>950.5</v>
      </c>
      <c r="K183" s="25">
        <v>273</v>
      </c>
      <c r="L183" s="21" t="s">
        <v>17</v>
      </c>
      <c r="M183" s="22" t="s">
        <v>3535</v>
      </c>
      <c r="N183" s="27">
        <f t="shared" si="16"/>
        <v>19</v>
      </c>
      <c r="O183" s="28">
        <f t="shared" si="17"/>
        <v>3.7431978233034569E-2</v>
      </c>
      <c r="P183" s="28">
        <f t="shared" si="18"/>
        <v>0.1459112773917691</v>
      </c>
      <c r="Q183" s="26">
        <f t="shared" si="19"/>
        <v>0.50801710315339388</v>
      </c>
      <c r="R183" s="29">
        <f t="shared" si="20"/>
        <v>3.4816849816849818</v>
      </c>
      <c r="S183" s="30">
        <f t="shared" si="21"/>
        <v>2</v>
      </c>
      <c r="T183" s="30">
        <f t="shared" si="22"/>
        <v>2023</v>
      </c>
      <c r="U183" s="29" t="str">
        <f t="shared" si="23"/>
        <v>February</v>
      </c>
    </row>
    <row r="184" spans="1:21" ht="17.399999999999999" x14ac:dyDescent="0.3">
      <c r="A184" s="21" t="s">
        <v>864</v>
      </c>
      <c r="B184" s="21" t="s">
        <v>865</v>
      </c>
      <c r="C184" s="23" t="s">
        <v>3515</v>
      </c>
      <c r="D184" s="21" t="s">
        <v>3517</v>
      </c>
      <c r="E184" s="24">
        <v>44964</v>
      </c>
      <c r="F184" s="24">
        <v>44977</v>
      </c>
      <c r="G184" s="22" t="s">
        <v>31</v>
      </c>
      <c r="H184" s="25">
        <v>14500</v>
      </c>
      <c r="I184" s="25">
        <v>691</v>
      </c>
      <c r="J184" s="26">
        <v>1156.0999999999999</v>
      </c>
      <c r="K184" s="25">
        <v>44</v>
      </c>
      <c r="L184" s="21" t="s">
        <v>21</v>
      </c>
      <c r="M184" s="22" t="s">
        <v>31</v>
      </c>
      <c r="N184" s="27">
        <f t="shared" si="16"/>
        <v>13</v>
      </c>
      <c r="O184" s="28">
        <f t="shared" si="17"/>
        <v>4.7655172413793107E-2</v>
      </c>
      <c r="P184" s="28">
        <f t="shared" si="18"/>
        <v>6.3675832127351659E-2</v>
      </c>
      <c r="Q184" s="26">
        <f t="shared" si="19"/>
        <v>1.6730824891461649</v>
      </c>
      <c r="R184" s="29">
        <f t="shared" si="20"/>
        <v>26.274999999999999</v>
      </c>
      <c r="S184" s="30">
        <f t="shared" si="21"/>
        <v>2</v>
      </c>
      <c r="T184" s="30">
        <f t="shared" si="22"/>
        <v>2023</v>
      </c>
      <c r="U184" s="29" t="str">
        <f t="shared" si="23"/>
        <v>February</v>
      </c>
    </row>
    <row r="185" spans="1:21" ht="17.399999999999999" x14ac:dyDescent="0.3">
      <c r="A185" s="21" t="s">
        <v>2542</v>
      </c>
      <c r="B185" s="21" t="s">
        <v>2543</v>
      </c>
      <c r="C185" s="23" t="s">
        <v>3515</v>
      </c>
      <c r="D185" s="21" t="s">
        <v>3517</v>
      </c>
      <c r="E185" s="24">
        <v>44964</v>
      </c>
      <c r="F185" s="24">
        <v>44971</v>
      </c>
      <c r="G185" s="22" t="s">
        <v>14</v>
      </c>
      <c r="H185" s="25">
        <v>73355</v>
      </c>
      <c r="I185" s="25">
        <v>1773</v>
      </c>
      <c r="J185" s="26">
        <v>1596.79</v>
      </c>
      <c r="K185" s="25">
        <v>251</v>
      </c>
      <c r="L185" s="21" t="s">
        <v>17</v>
      </c>
      <c r="M185" s="22" t="s">
        <v>3537</v>
      </c>
      <c r="N185" s="27">
        <f t="shared" si="16"/>
        <v>7</v>
      </c>
      <c r="O185" s="28">
        <f t="shared" si="17"/>
        <v>2.4170131552041441E-2</v>
      </c>
      <c r="P185" s="28">
        <f t="shared" si="18"/>
        <v>0.14156796390298929</v>
      </c>
      <c r="Q185" s="26">
        <f t="shared" si="19"/>
        <v>0.90061477721376193</v>
      </c>
      <c r="R185" s="29">
        <f t="shared" si="20"/>
        <v>6.3617131474103585</v>
      </c>
      <c r="S185" s="30">
        <f t="shared" si="21"/>
        <v>2</v>
      </c>
      <c r="T185" s="30">
        <f t="shared" si="22"/>
        <v>2023</v>
      </c>
      <c r="U185" s="29" t="str">
        <f t="shared" si="23"/>
        <v>February</v>
      </c>
    </row>
    <row r="186" spans="1:21" ht="17.399999999999999" x14ac:dyDescent="0.3">
      <c r="A186" s="21" t="s">
        <v>2374</v>
      </c>
      <c r="B186" s="21" t="s">
        <v>2375</v>
      </c>
      <c r="C186" s="23" t="s">
        <v>3519</v>
      </c>
      <c r="D186" s="21" t="s">
        <v>3520</v>
      </c>
      <c r="E186" s="24">
        <v>44965</v>
      </c>
      <c r="F186" s="24">
        <v>44977</v>
      </c>
      <c r="G186" s="22" t="s">
        <v>14</v>
      </c>
      <c r="H186" s="25">
        <v>5425</v>
      </c>
      <c r="I186" s="25">
        <v>202</v>
      </c>
      <c r="J186" s="26">
        <v>193.19</v>
      </c>
      <c r="K186" s="25">
        <v>36</v>
      </c>
      <c r="L186" s="21" t="s">
        <v>21</v>
      </c>
      <c r="M186" s="22" t="s">
        <v>3537</v>
      </c>
      <c r="N186" s="27">
        <f t="shared" si="16"/>
        <v>12</v>
      </c>
      <c r="O186" s="28">
        <f t="shared" si="17"/>
        <v>3.7235023041474656E-2</v>
      </c>
      <c r="P186" s="28">
        <f t="shared" si="18"/>
        <v>0.17821782178217821</v>
      </c>
      <c r="Q186" s="26">
        <f t="shared" si="19"/>
        <v>0.95638613861386135</v>
      </c>
      <c r="R186" s="29">
        <f t="shared" si="20"/>
        <v>5.3663888888888884</v>
      </c>
      <c r="S186" s="30">
        <f t="shared" si="21"/>
        <v>2</v>
      </c>
      <c r="T186" s="30">
        <f t="shared" si="22"/>
        <v>2023</v>
      </c>
      <c r="U186" s="29" t="str">
        <f t="shared" si="23"/>
        <v>February</v>
      </c>
    </row>
    <row r="187" spans="1:21" ht="17.399999999999999" x14ac:dyDescent="0.3">
      <c r="A187" s="21" t="s">
        <v>382</v>
      </c>
      <c r="B187" s="21" t="s">
        <v>383</v>
      </c>
      <c r="C187" s="23" t="s">
        <v>3518</v>
      </c>
      <c r="D187" s="21" t="s">
        <v>3520</v>
      </c>
      <c r="E187" s="24">
        <v>44965</v>
      </c>
      <c r="F187" s="24">
        <v>44986</v>
      </c>
      <c r="G187" s="22" t="s">
        <v>3535</v>
      </c>
      <c r="H187" s="25">
        <v>66318</v>
      </c>
      <c r="I187" s="25">
        <v>990</v>
      </c>
      <c r="J187" s="26">
        <v>1037.9100000000001</v>
      </c>
      <c r="K187" s="25">
        <v>122</v>
      </c>
      <c r="L187" s="21" t="s">
        <v>17</v>
      </c>
      <c r="M187" s="22" t="s">
        <v>3535</v>
      </c>
      <c r="N187" s="27">
        <f t="shared" si="16"/>
        <v>21</v>
      </c>
      <c r="O187" s="28">
        <f t="shared" si="17"/>
        <v>1.4928073826110558E-2</v>
      </c>
      <c r="P187" s="28">
        <f t="shared" si="18"/>
        <v>0.12323232323232323</v>
      </c>
      <c r="Q187" s="26">
        <f t="shared" si="19"/>
        <v>1.0483939393939394</v>
      </c>
      <c r="R187" s="29">
        <f t="shared" si="20"/>
        <v>8.5074590163934438</v>
      </c>
      <c r="S187" s="30">
        <f t="shared" si="21"/>
        <v>2</v>
      </c>
      <c r="T187" s="30">
        <f t="shared" si="22"/>
        <v>2023</v>
      </c>
      <c r="U187" s="29" t="str">
        <f t="shared" si="23"/>
        <v>February</v>
      </c>
    </row>
    <row r="188" spans="1:21" ht="17.399999999999999" x14ac:dyDescent="0.3">
      <c r="A188" s="21" t="s">
        <v>1041</v>
      </c>
      <c r="B188" s="21" t="s">
        <v>1042</v>
      </c>
      <c r="C188" s="23" t="s">
        <v>3518</v>
      </c>
      <c r="D188" s="21" t="s">
        <v>3517</v>
      </c>
      <c r="E188" s="24">
        <v>44965</v>
      </c>
      <c r="F188" s="24">
        <v>44978</v>
      </c>
      <c r="G188" s="22" t="s">
        <v>11</v>
      </c>
      <c r="H188" s="25">
        <v>45425</v>
      </c>
      <c r="I188" s="25">
        <v>1832</v>
      </c>
      <c r="J188" s="26">
        <v>1670.01</v>
      </c>
      <c r="K188" s="25">
        <v>141</v>
      </c>
      <c r="L188" s="21" t="s">
        <v>21</v>
      </c>
      <c r="M188" s="22" t="s">
        <v>11</v>
      </c>
      <c r="N188" s="27">
        <f t="shared" si="16"/>
        <v>13</v>
      </c>
      <c r="O188" s="28">
        <f t="shared" si="17"/>
        <v>4.0330214639515687E-2</v>
      </c>
      <c r="P188" s="28">
        <f t="shared" si="18"/>
        <v>7.6965065502183405E-2</v>
      </c>
      <c r="Q188" s="26">
        <f t="shared" si="19"/>
        <v>0.91157751091703054</v>
      </c>
      <c r="R188" s="29">
        <f t="shared" si="20"/>
        <v>11.844042553191489</v>
      </c>
      <c r="S188" s="30">
        <f t="shared" si="21"/>
        <v>2</v>
      </c>
      <c r="T188" s="30">
        <f t="shared" si="22"/>
        <v>2023</v>
      </c>
      <c r="U188" s="29" t="str">
        <f t="shared" si="23"/>
        <v>February</v>
      </c>
    </row>
    <row r="189" spans="1:21" ht="17.399999999999999" x14ac:dyDescent="0.3">
      <c r="A189" s="21" t="s">
        <v>1451</v>
      </c>
      <c r="B189" s="21" t="s">
        <v>1452</v>
      </c>
      <c r="C189" s="23" t="s">
        <v>3518</v>
      </c>
      <c r="D189" s="21" t="s">
        <v>3517</v>
      </c>
      <c r="E189" s="24">
        <v>44965</v>
      </c>
      <c r="F189" s="24">
        <v>44988</v>
      </c>
      <c r="G189" s="22" t="s">
        <v>16</v>
      </c>
      <c r="H189" s="25">
        <v>5809</v>
      </c>
      <c r="I189" s="25">
        <v>126</v>
      </c>
      <c r="J189" s="26">
        <v>87.07</v>
      </c>
      <c r="K189" s="25">
        <v>16</v>
      </c>
      <c r="L189" s="21" t="s">
        <v>21</v>
      </c>
      <c r="M189" s="22" t="s">
        <v>16</v>
      </c>
      <c r="N189" s="27">
        <f t="shared" si="16"/>
        <v>23</v>
      </c>
      <c r="O189" s="28">
        <f t="shared" si="17"/>
        <v>2.1690480289206403E-2</v>
      </c>
      <c r="P189" s="28">
        <f t="shared" si="18"/>
        <v>0.12698412698412698</v>
      </c>
      <c r="Q189" s="26">
        <f t="shared" si="19"/>
        <v>0.691031746031746</v>
      </c>
      <c r="R189" s="29">
        <f t="shared" si="20"/>
        <v>5.4418749999999996</v>
      </c>
      <c r="S189" s="30">
        <f t="shared" si="21"/>
        <v>2</v>
      </c>
      <c r="T189" s="30">
        <f t="shared" si="22"/>
        <v>2023</v>
      </c>
      <c r="U189" s="29" t="str">
        <f t="shared" si="23"/>
        <v>February</v>
      </c>
    </row>
    <row r="190" spans="1:21" ht="17.399999999999999" x14ac:dyDescent="0.3">
      <c r="A190" s="21" t="s">
        <v>2052</v>
      </c>
      <c r="B190" s="21" t="s">
        <v>2053</v>
      </c>
      <c r="C190" s="23" t="s">
        <v>3518</v>
      </c>
      <c r="D190" s="21" t="s">
        <v>3520</v>
      </c>
      <c r="E190" s="24">
        <v>44965</v>
      </c>
      <c r="F190" s="24">
        <v>44968</v>
      </c>
      <c r="G190" s="22" t="s">
        <v>31</v>
      </c>
      <c r="H190" s="25">
        <v>47197</v>
      </c>
      <c r="I190" s="25">
        <v>1896</v>
      </c>
      <c r="J190" s="26">
        <v>1671.91</v>
      </c>
      <c r="K190" s="25">
        <v>234</v>
      </c>
      <c r="L190" s="21" t="s">
        <v>17</v>
      </c>
      <c r="M190" s="22" t="s">
        <v>31</v>
      </c>
      <c r="N190" s="27">
        <f t="shared" si="16"/>
        <v>3</v>
      </c>
      <c r="O190" s="28">
        <f t="shared" si="17"/>
        <v>4.0172044833358053E-2</v>
      </c>
      <c r="P190" s="28">
        <f t="shared" si="18"/>
        <v>0.12341772151898735</v>
      </c>
      <c r="Q190" s="26">
        <f t="shared" si="19"/>
        <v>0.88180907172995782</v>
      </c>
      <c r="R190" s="29">
        <f t="shared" si="20"/>
        <v>7.14491452991453</v>
      </c>
      <c r="S190" s="30">
        <f t="shared" si="21"/>
        <v>2</v>
      </c>
      <c r="T190" s="30">
        <f t="shared" si="22"/>
        <v>2023</v>
      </c>
      <c r="U190" s="29" t="str">
        <f t="shared" si="23"/>
        <v>February</v>
      </c>
    </row>
    <row r="191" spans="1:21" ht="17.399999999999999" x14ac:dyDescent="0.3">
      <c r="A191" s="21" t="s">
        <v>652</v>
      </c>
      <c r="B191" s="21" t="s">
        <v>653</v>
      </c>
      <c r="C191" s="23" t="s">
        <v>3516</v>
      </c>
      <c r="D191" s="21" t="s">
        <v>3520</v>
      </c>
      <c r="E191" s="24">
        <v>44965</v>
      </c>
      <c r="F191" s="24">
        <v>44987</v>
      </c>
      <c r="G191" s="22" t="s">
        <v>3535</v>
      </c>
      <c r="H191" s="25">
        <v>33635</v>
      </c>
      <c r="I191" s="25">
        <v>1544</v>
      </c>
      <c r="J191" s="26">
        <v>1508.6</v>
      </c>
      <c r="K191" s="25">
        <v>0</v>
      </c>
      <c r="L191" s="21" t="s">
        <v>21</v>
      </c>
      <c r="M191" s="22" t="s">
        <v>3535</v>
      </c>
      <c r="N191" s="27">
        <f t="shared" si="16"/>
        <v>22</v>
      </c>
      <c r="O191" s="28">
        <f t="shared" si="17"/>
        <v>4.5904563698528321E-2</v>
      </c>
      <c r="P191" s="28">
        <f t="shared" si="18"/>
        <v>0</v>
      </c>
      <c r="Q191" s="26">
        <f t="shared" si="19"/>
        <v>0.97707253886010359</v>
      </c>
      <c r="R191" s="29" t="str">
        <f t="shared" si="20"/>
        <v>0</v>
      </c>
      <c r="S191" s="30">
        <f t="shared" si="21"/>
        <v>2</v>
      </c>
      <c r="T191" s="30">
        <f t="shared" si="22"/>
        <v>2023</v>
      </c>
      <c r="U191" s="29" t="str">
        <f t="shared" si="23"/>
        <v>February</v>
      </c>
    </row>
    <row r="192" spans="1:21" ht="17.399999999999999" x14ac:dyDescent="0.3">
      <c r="A192" s="21" t="s">
        <v>1935</v>
      </c>
      <c r="B192" s="21" t="s">
        <v>1936</v>
      </c>
      <c r="C192" s="23" t="s">
        <v>3516</v>
      </c>
      <c r="D192" s="21" t="s">
        <v>3521</v>
      </c>
      <c r="E192" s="24">
        <v>44965</v>
      </c>
      <c r="F192" s="24">
        <v>44993</v>
      </c>
      <c r="G192" s="22" t="s">
        <v>16</v>
      </c>
      <c r="H192" s="25">
        <v>31523</v>
      </c>
      <c r="I192" s="25">
        <v>837</v>
      </c>
      <c r="J192" s="26">
        <v>1659.61</v>
      </c>
      <c r="K192" s="25">
        <v>75</v>
      </c>
      <c r="L192" s="21" t="s">
        <v>21</v>
      </c>
      <c r="M192" s="22" t="s">
        <v>16</v>
      </c>
      <c r="N192" s="27">
        <f t="shared" si="16"/>
        <v>28</v>
      </c>
      <c r="O192" s="28">
        <f t="shared" si="17"/>
        <v>2.6552041366621197E-2</v>
      </c>
      <c r="P192" s="28">
        <f t="shared" si="18"/>
        <v>8.9605734767025089E-2</v>
      </c>
      <c r="Q192" s="26">
        <f t="shared" si="19"/>
        <v>1.9828076463560333</v>
      </c>
      <c r="R192" s="29">
        <f t="shared" si="20"/>
        <v>22.128133333333331</v>
      </c>
      <c r="S192" s="30">
        <f t="shared" si="21"/>
        <v>2</v>
      </c>
      <c r="T192" s="30">
        <f t="shared" si="22"/>
        <v>2023</v>
      </c>
      <c r="U192" s="29" t="str">
        <f t="shared" si="23"/>
        <v>February</v>
      </c>
    </row>
    <row r="193" spans="1:21" ht="17.399999999999999" x14ac:dyDescent="0.3">
      <c r="A193" s="21" t="s">
        <v>2322</v>
      </c>
      <c r="B193" s="21" t="s">
        <v>2323</v>
      </c>
      <c r="C193" s="23" t="s">
        <v>3516</v>
      </c>
      <c r="D193" s="21" t="s">
        <v>3517</v>
      </c>
      <c r="E193" s="24">
        <v>44965</v>
      </c>
      <c r="F193" s="24">
        <v>44972</v>
      </c>
      <c r="G193" s="22" t="s">
        <v>16</v>
      </c>
      <c r="H193" s="25">
        <v>82244</v>
      </c>
      <c r="I193" s="25">
        <v>1707</v>
      </c>
      <c r="J193" s="26">
        <v>1594.61</v>
      </c>
      <c r="K193" s="25">
        <v>143</v>
      </c>
      <c r="L193" s="21" t="s">
        <v>21</v>
      </c>
      <c r="M193" s="22" t="s">
        <v>16</v>
      </c>
      <c r="N193" s="27">
        <f t="shared" si="16"/>
        <v>7</v>
      </c>
      <c r="O193" s="28">
        <f t="shared" si="17"/>
        <v>2.0755313457516657E-2</v>
      </c>
      <c r="P193" s="28">
        <f t="shared" si="18"/>
        <v>8.3772700644405396E-2</v>
      </c>
      <c r="Q193" s="26">
        <f t="shared" si="19"/>
        <v>0.9341593438781487</v>
      </c>
      <c r="R193" s="29">
        <f t="shared" si="20"/>
        <v>11.151118881118881</v>
      </c>
      <c r="S193" s="30">
        <f t="shared" si="21"/>
        <v>2</v>
      </c>
      <c r="T193" s="30">
        <f t="shared" si="22"/>
        <v>2023</v>
      </c>
      <c r="U193" s="29" t="str">
        <f t="shared" si="23"/>
        <v>February</v>
      </c>
    </row>
    <row r="194" spans="1:21" ht="17.399999999999999" x14ac:dyDescent="0.3">
      <c r="A194" s="21" t="s">
        <v>1494</v>
      </c>
      <c r="B194" s="21" t="s">
        <v>1495</v>
      </c>
      <c r="C194" s="23" t="s">
        <v>3515</v>
      </c>
      <c r="D194" s="21" t="s">
        <v>3520</v>
      </c>
      <c r="E194" s="24">
        <v>44965</v>
      </c>
      <c r="F194" s="24">
        <v>44981</v>
      </c>
      <c r="G194" s="22" t="s">
        <v>14</v>
      </c>
      <c r="H194" s="25">
        <v>43944</v>
      </c>
      <c r="I194" s="25">
        <v>885</v>
      </c>
      <c r="J194" s="26">
        <v>742.15</v>
      </c>
      <c r="K194" s="25">
        <v>103</v>
      </c>
      <c r="L194" s="21" t="s">
        <v>21</v>
      </c>
      <c r="M194" s="22" t="s">
        <v>3537</v>
      </c>
      <c r="N194" s="27">
        <f t="shared" ref="N194:N257" si="24">F194-E194</f>
        <v>16</v>
      </c>
      <c r="O194" s="28">
        <f t="shared" ref="O194:O257" si="25">I194/H194</f>
        <v>2.0139268159475695E-2</v>
      </c>
      <c r="P194" s="28">
        <f t="shared" ref="P194:P257" si="26">K194/I194</f>
        <v>0.11638418079096045</v>
      </c>
      <c r="Q194" s="26">
        <f t="shared" ref="Q194:Q257" si="27">J194/I194</f>
        <v>0.83858757062146894</v>
      </c>
      <c r="R194" s="29">
        <f t="shared" ref="R194:R257" si="28">IFERROR(J194/K194,"0")</f>
        <v>7.2053398058252425</v>
      </c>
      <c r="S194" s="30">
        <f t="shared" ref="S194:S257" si="29">MONTH(E194)</f>
        <v>2</v>
      </c>
      <c r="T194" s="30">
        <f t="shared" ref="T194:T257" si="30">YEAR(E194)</f>
        <v>2023</v>
      </c>
      <c r="U194" s="29" t="str">
        <f t="shared" ref="U194:U257" si="31">TEXT(E194,"mmmm")</f>
        <v>February</v>
      </c>
    </row>
    <row r="195" spans="1:21" ht="17.399999999999999" x14ac:dyDescent="0.3">
      <c r="A195" s="21" t="s">
        <v>2617</v>
      </c>
      <c r="B195" s="22" t="s">
        <v>3592</v>
      </c>
      <c r="C195" s="23" t="s">
        <v>3515</v>
      </c>
      <c r="D195" s="22" t="s">
        <v>3545</v>
      </c>
      <c r="E195" s="24">
        <v>44965</v>
      </c>
      <c r="F195" s="24">
        <v>44988</v>
      </c>
      <c r="G195" s="22" t="s">
        <v>14</v>
      </c>
      <c r="H195" s="25">
        <v>86469</v>
      </c>
      <c r="I195" s="25">
        <v>1936</v>
      </c>
      <c r="J195" s="26">
        <v>1371.66</v>
      </c>
      <c r="K195" s="25">
        <v>148</v>
      </c>
      <c r="L195" s="21" t="s">
        <v>21</v>
      </c>
      <c r="M195" s="22" t="s">
        <v>3537</v>
      </c>
      <c r="N195" s="27">
        <f t="shared" si="24"/>
        <v>23</v>
      </c>
      <c r="O195" s="28">
        <f t="shared" si="25"/>
        <v>2.2389526882466548E-2</v>
      </c>
      <c r="P195" s="28">
        <f t="shared" si="26"/>
        <v>7.6446280991735532E-2</v>
      </c>
      <c r="Q195" s="26">
        <f t="shared" si="27"/>
        <v>0.70850206611570254</v>
      </c>
      <c r="R195" s="29">
        <f t="shared" si="28"/>
        <v>9.2679729729729736</v>
      </c>
      <c r="S195" s="30">
        <f t="shared" si="29"/>
        <v>2</v>
      </c>
      <c r="T195" s="30">
        <f t="shared" si="30"/>
        <v>2023</v>
      </c>
      <c r="U195" s="29" t="str">
        <f t="shared" si="31"/>
        <v>February</v>
      </c>
    </row>
    <row r="196" spans="1:21" ht="17.399999999999999" x14ac:dyDescent="0.3">
      <c r="A196" s="21" t="s">
        <v>319</v>
      </c>
      <c r="B196" s="21" t="s">
        <v>320</v>
      </c>
      <c r="C196" s="23" t="s">
        <v>3519</v>
      </c>
      <c r="D196" s="21" t="s">
        <v>3520</v>
      </c>
      <c r="E196" s="24">
        <v>44966</v>
      </c>
      <c r="F196" s="24">
        <v>44993</v>
      </c>
      <c r="G196" s="22" t="s">
        <v>11</v>
      </c>
      <c r="H196" s="25">
        <v>16707</v>
      </c>
      <c r="I196" s="25">
        <v>239</v>
      </c>
      <c r="J196" s="26">
        <v>197.02</v>
      </c>
      <c r="K196" s="25">
        <v>22</v>
      </c>
      <c r="L196" s="21" t="s">
        <v>17</v>
      </c>
      <c r="M196" s="22" t="s">
        <v>11</v>
      </c>
      <c r="N196" s="27">
        <f t="shared" si="24"/>
        <v>27</v>
      </c>
      <c r="O196" s="28">
        <f t="shared" si="25"/>
        <v>1.4305380978033159E-2</v>
      </c>
      <c r="P196" s="28">
        <f t="shared" si="26"/>
        <v>9.2050209205020925E-2</v>
      </c>
      <c r="Q196" s="26">
        <f t="shared" si="27"/>
        <v>0.82435146443514651</v>
      </c>
      <c r="R196" s="29">
        <f t="shared" si="28"/>
        <v>8.9554545454545451</v>
      </c>
      <c r="S196" s="30">
        <f t="shared" si="29"/>
        <v>2</v>
      </c>
      <c r="T196" s="30">
        <f t="shared" si="30"/>
        <v>2023</v>
      </c>
      <c r="U196" s="29" t="str">
        <f t="shared" si="31"/>
        <v>February</v>
      </c>
    </row>
    <row r="197" spans="1:21" ht="17.399999999999999" x14ac:dyDescent="0.3">
      <c r="A197" s="21" t="s">
        <v>3115</v>
      </c>
      <c r="B197" s="22" t="s">
        <v>3593</v>
      </c>
      <c r="C197" s="23" t="s">
        <v>3519</v>
      </c>
      <c r="D197" s="22" t="s">
        <v>3545</v>
      </c>
      <c r="E197" s="24">
        <v>44966</v>
      </c>
      <c r="F197" s="24">
        <v>44981</v>
      </c>
      <c r="G197" s="22" t="s">
        <v>14</v>
      </c>
      <c r="H197" s="25">
        <v>30257</v>
      </c>
      <c r="I197" s="25">
        <v>1379</v>
      </c>
      <c r="J197" s="26">
        <v>2470.06</v>
      </c>
      <c r="K197" s="25">
        <v>0</v>
      </c>
      <c r="L197" s="21" t="s">
        <v>21</v>
      </c>
      <c r="M197" s="22" t="s">
        <v>3537</v>
      </c>
      <c r="N197" s="27">
        <f t="shared" si="24"/>
        <v>15</v>
      </c>
      <c r="O197" s="28">
        <f t="shared" si="25"/>
        <v>4.5576230293816307E-2</v>
      </c>
      <c r="P197" s="28">
        <f t="shared" si="26"/>
        <v>0</v>
      </c>
      <c r="Q197" s="26">
        <f t="shared" si="27"/>
        <v>1.7911965192168238</v>
      </c>
      <c r="R197" s="29" t="str">
        <f t="shared" si="28"/>
        <v>0</v>
      </c>
      <c r="S197" s="30">
        <f t="shared" si="29"/>
        <v>2</v>
      </c>
      <c r="T197" s="30">
        <f t="shared" si="30"/>
        <v>2023</v>
      </c>
      <c r="U197" s="29" t="str">
        <f t="shared" si="31"/>
        <v>February</v>
      </c>
    </row>
    <row r="198" spans="1:21" ht="17.399999999999999" x14ac:dyDescent="0.3">
      <c r="A198" s="21" t="s">
        <v>824</v>
      </c>
      <c r="B198" s="21" t="s">
        <v>825</v>
      </c>
      <c r="C198" s="23" t="s">
        <v>3518</v>
      </c>
      <c r="D198" s="21" t="s">
        <v>3521</v>
      </c>
      <c r="E198" s="24">
        <v>44966</v>
      </c>
      <c r="F198" s="24">
        <v>44995</v>
      </c>
      <c r="G198" s="22" t="s">
        <v>14</v>
      </c>
      <c r="H198" s="25">
        <v>80634</v>
      </c>
      <c r="I198" s="25">
        <v>2052</v>
      </c>
      <c r="J198" s="26">
        <v>3426.8</v>
      </c>
      <c r="K198" s="25">
        <v>280</v>
      </c>
      <c r="L198" s="21" t="s">
        <v>17</v>
      </c>
      <c r="M198" s="22" t="s">
        <v>3537</v>
      </c>
      <c r="N198" s="27">
        <f t="shared" si="24"/>
        <v>29</v>
      </c>
      <c r="O198" s="28">
        <f t="shared" si="25"/>
        <v>2.5448322047771411E-2</v>
      </c>
      <c r="P198" s="28">
        <f t="shared" si="26"/>
        <v>0.1364522417153996</v>
      </c>
      <c r="Q198" s="26">
        <f t="shared" si="27"/>
        <v>1.6699805068226121</v>
      </c>
      <c r="R198" s="29">
        <f t="shared" si="28"/>
        <v>12.238571428571429</v>
      </c>
      <c r="S198" s="30">
        <f t="shared" si="29"/>
        <v>2</v>
      </c>
      <c r="T198" s="30">
        <f t="shared" si="30"/>
        <v>2023</v>
      </c>
      <c r="U198" s="29" t="str">
        <f t="shared" si="31"/>
        <v>February</v>
      </c>
    </row>
    <row r="199" spans="1:21" ht="17.399999999999999" x14ac:dyDescent="0.3">
      <c r="A199" s="21" t="s">
        <v>1552</v>
      </c>
      <c r="B199" s="22" t="s">
        <v>3594</v>
      </c>
      <c r="C199" s="23" t="s">
        <v>3518</v>
      </c>
      <c r="D199" s="22" t="s">
        <v>3545</v>
      </c>
      <c r="E199" s="24">
        <v>44966</v>
      </c>
      <c r="F199" s="24">
        <v>44996</v>
      </c>
      <c r="G199" s="22" t="s">
        <v>11</v>
      </c>
      <c r="H199" s="25">
        <v>98239</v>
      </c>
      <c r="I199" s="25">
        <v>1488</v>
      </c>
      <c r="J199" s="26">
        <v>1842.27</v>
      </c>
      <c r="K199" s="25">
        <v>287</v>
      </c>
      <c r="L199" s="21" t="s">
        <v>21</v>
      </c>
      <c r="M199" s="22" t="s">
        <v>11</v>
      </c>
      <c r="N199" s="27">
        <f t="shared" si="24"/>
        <v>30</v>
      </c>
      <c r="O199" s="28">
        <f t="shared" si="25"/>
        <v>1.5146733985484381E-2</v>
      </c>
      <c r="P199" s="28">
        <f t="shared" si="26"/>
        <v>0.1928763440860215</v>
      </c>
      <c r="Q199" s="26">
        <f t="shared" si="27"/>
        <v>1.2380846774193548</v>
      </c>
      <c r="R199" s="29">
        <f t="shared" si="28"/>
        <v>6.4190592334494774</v>
      </c>
      <c r="S199" s="30">
        <f t="shared" si="29"/>
        <v>2</v>
      </c>
      <c r="T199" s="30">
        <f t="shared" si="30"/>
        <v>2023</v>
      </c>
      <c r="U199" s="29" t="str">
        <f t="shared" si="31"/>
        <v>February</v>
      </c>
    </row>
    <row r="200" spans="1:21" ht="17.399999999999999" x14ac:dyDescent="0.3">
      <c r="A200" s="21" t="s">
        <v>1866</v>
      </c>
      <c r="B200" s="21" t="s">
        <v>1867</v>
      </c>
      <c r="C200" s="23" t="s">
        <v>3518</v>
      </c>
      <c r="D200" s="21" t="s">
        <v>3520</v>
      </c>
      <c r="E200" s="24">
        <v>44966</v>
      </c>
      <c r="F200" s="24">
        <v>44978</v>
      </c>
      <c r="G200" s="22" t="s">
        <v>24</v>
      </c>
      <c r="H200" s="25">
        <v>33254</v>
      </c>
      <c r="I200" s="25">
        <v>1117</v>
      </c>
      <c r="J200" s="26">
        <v>883.82</v>
      </c>
      <c r="K200" s="25">
        <v>214</v>
      </c>
      <c r="L200" s="21" t="s">
        <v>17</v>
      </c>
      <c r="M200" s="22" t="s">
        <v>3536</v>
      </c>
      <c r="N200" s="27">
        <f t="shared" si="24"/>
        <v>12</v>
      </c>
      <c r="O200" s="28">
        <f t="shared" si="25"/>
        <v>3.3589944066879172E-2</v>
      </c>
      <c r="P200" s="28">
        <f t="shared" si="26"/>
        <v>0.19158460161145927</v>
      </c>
      <c r="Q200" s="26">
        <f t="shared" si="27"/>
        <v>0.79124440465532686</v>
      </c>
      <c r="R200" s="29">
        <f t="shared" si="28"/>
        <v>4.13</v>
      </c>
      <c r="S200" s="30">
        <f t="shared" si="29"/>
        <v>2</v>
      </c>
      <c r="T200" s="30">
        <f t="shared" si="30"/>
        <v>2023</v>
      </c>
      <c r="U200" s="29" t="str">
        <f t="shared" si="31"/>
        <v>February</v>
      </c>
    </row>
    <row r="201" spans="1:21" ht="17.399999999999999" x14ac:dyDescent="0.3">
      <c r="A201" s="21" t="s">
        <v>3069</v>
      </c>
      <c r="B201" s="21" t="s">
        <v>3070</v>
      </c>
      <c r="C201" s="23" t="s">
        <v>3515</v>
      </c>
      <c r="D201" s="21" t="s">
        <v>3520</v>
      </c>
      <c r="E201" s="24">
        <v>44966</v>
      </c>
      <c r="F201" s="24">
        <v>44971</v>
      </c>
      <c r="G201" s="22" t="s">
        <v>3535</v>
      </c>
      <c r="H201" s="25">
        <v>23890</v>
      </c>
      <c r="I201" s="25">
        <v>741</v>
      </c>
      <c r="J201" s="26">
        <v>731.3</v>
      </c>
      <c r="K201" s="25">
        <v>145</v>
      </c>
      <c r="L201" s="21" t="s">
        <v>21</v>
      </c>
      <c r="M201" s="22" t="s">
        <v>3535</v>
      </c>
      <c r="N201" s="27">
        <f t="shared" si="24"/>
        <v>5</v>
      </c>
      <c r="O201" s="28">
        <f t="shared" si="25"/>
        <v>3.1017161992465465E-2</v>
      </c>
      <c r="P201" s="28">
        <f t="shared" si="26"/>
        <v>0.19568151147098514</v>
      </c>
      <c r="Q201" s="26">
        <f t="shared" si="27"/>
        <v>0.98690958164642373</v>
      </c>
      <c r="R201" s="29">
        <f t="shared" si="28"/>
        <v>5.0434482758620689</v>
      </c>
      <c r="S201" s="30">
        <f t="shared" si="29"/>
        <v>2</v>
      </c>
      <c r="T201" s="30">
        <f t="shared" si="30"/>
        <v>2023</v>
      </c>
      <c r="U201" s="29" t="str">
        <f t="shared" si="31"/>
        <v>February</v>
      </c>
    </row>
    <row r="202" spans="1:21" ht="17.399999999999999" x14ac:dyDescent="0.3">
      <c r="A202" s="21" t="s">
        <v>1819</v>
      </c>
      <c r="B202" s="22" t="s">
        <v>3595</v>
      </c>
      <c r="C202" s="23" t="s">
        <v>3519</v>
      </c>
      <c r="D202" s="22" t="s">
        <v>3545</v>
      </c>
      <c r="E202" s="24">
        <v>44967</v>
      </c>
      <c r="F202" s="24">
        <v>44974</v>
      </c>
      <c r="G202" s="22" t="s">
        <v>11</v>
      </c>
      <c r="H202" s="25">
        <v>88886</v>
      </c>
      <c r="I202" s="25">
        <v>1300</v>
      </c>
      <c r="J202" s="26">
        <v>678.41</v>
      </c>
      <c r="K202" s="25">
        <v>66</v>
      </c>
      <c r="L202" s="21" t="s">
        <v>21</v>
      </c>
      <c r="M202" s="22" t="s">
        <v>11</v>
      </c>
      <c r="N202" s="27">
        <f t="shared" si="24"/>
        <v>7</v>
      </c>
      <c r="O202" s="28">
        <f t="shared" si="25"/>
        <v>1.4625475327948159E-2</v>
      </c>
      <c r="P202" s="28">
        <f t="shared" si="26"/>
        <v>5.0769230769230768E-2</v>
      </c>
      <c r="Q202" s="26">
        <f t="shared" si="27"/>
        <v>0.52185384615384611</v>
      </c>
      <c r="R202" s="29">
        <f t="shared" si="28"/>
        <v>10.278939393939394</v>
      </c>
      <c r="S202" s="30">
        <f t="shared" si="29"/>
        <v>2</v>
      </c>
      <c r="T202" s="30">
        <f t="shared" si="30"/>
        <v>2023</v>
      </c>
      <c r="U202" s="29" t="str">
        <f t="shared" si="31"/>
        <v>February</v>
      </c>
    </row>
    <row r="203" spans="1:21" ht="17.399999999999999" x14ac:dyDescent="0.3">
      <c r="A203" s="21" t="s">
        <v>2819</v>
      </c>
      <c r="B203" s="21" t="s">
        <v>2820</v>
      </c>
      <c r="C203" s="23" t="s">
        <v>3519</v>
      </c>
      <c r="D203" s="21" t="s">
        <v>3521</v>
      </c>
      <c r="E203" s="24">
        <v>44967</v>
      </c>
      <c r="F203" s="24">
        <v>44973</v>
      </c>
      <c r="G203" s="22" t="s">
        <v>11</v>
      </c>
      <c r="H203" s="25">
        <v>13676</v>
      </c>
      <c r="I203" s="25">
        <v>553</v>
      </c>
      <c r="J203" s="26">
        <v>348.76</v>
      </c>
      <c r="K203" s="25">
        <v>87</v>
      </c>
      <c r="L203" s="21" t="s">
        <v>17</v>
      </c>
      <c r="M203" s="22" t="s">
        <v>11</v>
      </c>
      <c r="N203" s="27">
        <f t="shared" si="24"/>
        <v>6</v>
      </c>
      <c r="O203" s="28">
        <f t="shared" si="25"/>
        <v>4.0435799941503363E-2</v>
      </c>
      <c r="P203" s="28">
        <f t="shared" si="26"/>
        <v>0.15732368896925858</v>
      </c>
      <c r="Q203" s="26">
        <f t="shared" si="27"/>
        <v>0.63066907775768533</v>
      </c>
      <c r="R203" s="29">
        <f t="shared" si="28"/>
        <v>4.0087356321839076</v>
      </c>
      <c r="S203" s="30">
        <f t="shared" si="29"/>
        <v>2</v>
      </c>
      <c r="T203" s="30">
        <f t="shared" si="30"/>
        <v>2023</v>
      </c>
      <c r="U203" s="29" t="str">
        <f t="shared" si="31"/>
        <v>February</v>
      </c>
    </row>
    <row r="204" spans="1:21" ht="17.399999999999999" x14ac:dyDescent="0.3">
      <c r="A204" s="21" t="s">
        <v>41</v>
      </c>
      <c r="B204" s="21" t="s">
        <v>42</v>
      </c>
      <c r="C204" s="23" t="s">
        <v>3518</v>
      </c>
      <c r="D204" s="21" t="s">
        <v>3521</v>
      </c>
      <c r="E204" s="24">
        <v>44967</v>
      </c>
      <c r="F204" s="24">
        <v>44973</v>
      </c>
      <c r="G204" s="22" t="s">
        <v>31</v>
      </c>
      <c r="H204" s="25">
        <v>1769</v>
      </c>
      <c r="I204" s="25">
        <v>85</v>
      </c>
      <c r="J204" s="26">
        <v>139.18</v>
      </c>
      <c r="K204" s="25">
        <v>11</v>
      </c>
      <c r="L204" s="21" t="s">
        <v>21</v>
      </c>
      <c r="M204" s="22" t="s">
        <v>31</v>
      </c>
      <c r="N204" s="27">
        <f t="shared" si="24"/>
        <v>6</v>
      </c>
      <c r="O204" s="28">
        <f t="shared" si="25"/>
        <v>4.8049745618993785E-2</v>
      </c>
      <c r="P204" s="28">
        <f t="shared" si="26"/>
        <v>0.12941176470588237</v>
      </c>
      <c r="Q204" s="26">
        <f t="shared" si="27"/>
        <v>1.6374117647058823</v>
      </c>
      <c r="R204" s="29">
        <f t="shared" si="28"/>
        <v>12.652727272727274</v>
      </c>
      <c r="S204" s="30">
        <f t="shared" si="29"/>
        <v>2</v>
      </c>
      <c r="T204" s="30">
        <f t="shared" si="30"/>
        <v>2023</v>
      </c>
      <c r="U204" s="29" t="str">
        <f t="shared" si="31"/>
        <v>February</v>
      </c>
    </row>
    <row r="205" spans="1:21" ht="17.399999999999999" x14ac:dyDescent="0.3">
      <c r="A205" s="21" t="s">
        <v>966</v>
      </c>
      <c r="B205" s="22" t="s">
        <v>3596</v>
      </c>
      <c r="C205" s="23" t="s">
        <v>3518</v>
      </c>
      <c r="D205" s="22" t="s">
        <v>3545</v>
      </c>
      <c r="E205" s="24">
        <v>44967</v>
      </c>
      <c r="F205" s="24">
        <v>44997</v>
      </c>
      <c r="G205" s="22" t="s">
        <v>11</v>
      </c>
      <c r="H205" s="25">
        <v>60275</v>
      </c>
      <c r="I205" s="25">
        <v>2418</v>
      </c>
      <c r="J205" s="26">
        <v>4699.12</v>
      </c>
      <c r="K205" s="25">
        <v>391</v>
      </c>
      <c r="L205" s="21" t="s">
        <v>21</v>
      </c>
      <c r="M205" s="22" t="s">
        <v>11</v>
      </c>
      <c r="N205" s="27">
        <f t="shared" si="24"/>
        <v>30</v>
      </c>
      <c r="O205" s="28">
        <f t="shared" si="25"/>
        <v>4.0116134384073E-2</v>
      </c>
      <c r="P205" s="28">
        <f t="shared" si="26"/>
        <v>0.16170388751033912</v>
      </c>
      <c r="Q205" s="26">
        <f t="shared" si="27"/>
        <v>1.9433912324234905</v>
      </c>
      <c r="R205" s="29">
        <f t="shared" si="28"/>
        <v>12.018209718670077</v>
      </c>
      <c r="S205" s="30">
        <f t="shared" si="29"/>
        <v>2</v>
      </c>
      <c r="T205" s="30">
        <f t="shared" si="30"/>
        <v>2023</v>
      </c>
      <c r="U205" s="29" t="str">
        <f t="shared" si="31"/>
        <v>February</v>
      </c>
    </row>
    <row r="206" spans="1:21" ht="17.399999999999999" x14ac:dyDescent="0.3">
      <c r="A206" s="21" t="s">
        <v>2905</v>
      </c>
      <c r="B206" s="22" t="s">
        <v>3597</v>
      </c>
      <c r="C206" s="23" t="s">
        <v>3518</v>
      </c>
      <c r="D206" s="22" t="s">
        <v>3545</v>
      </c>
      <c r="E206" s="24">
        <v>44967</v>
      </c>
      <c r="F206" s="24">
        <v>44969</v>
      </c>
      <c r="G206" s="22" t="s">
        <v>24</v>
      </c>
      <c r="H206" s="25">
        <v>15199</v>
      </c>
      <c r="I206" s="25">
        <v>227</v>
      </c>
      <c r="J206" s="26">
        <v>287.49</v>
      </c>
      <c r="K206" s="25">
        <v>24</v>
      </c>
      <c r="L206" s="21" t="s">
        <v>17</v>
      </c>
      <c r="M206" s="22" t="s">
        <v>3536</v>
      </c>
      <c r="N206" s="27">
        <f t="shared" si="24"/>
        <v>2</v>
      </c>
      <c r="O206" s="28">
        <f t="shared" si="25"/>
        <v>1.4935193104809527E-2</v>
      </c>
      <c r="P206" s="28">
        <f t="shared" si="26"/>
        <v>0.10572687224669604</v>
      </c>
      <c r="Q206" s="26">
        <f t="shared" si="27"/>
        <v>1.2664757709251102</v>
      </c>
      <c r="R206" s="29">
        <f t="shared" si="28"/>
        <v>11.97875</v>
      </c>
      <c r="S206" s="30">
        <f t="shared" si="29"/>
        <v>2</v>
      </c>
      <c r="T206" s="30">
        <f t="shared" si="30"/>
        <v>2023</v>
      </c>
      <c r="U206" s="29" t="str">
        <f t="shared" si="31"/>
        <v>February</v>
      </c>
    </row>
    <row r="207" spans="1:21" ht="17.399999999999999" x14ac:dyDescent="0.3">
      <c r="A207" s="21" t="s">
        <v>2101</v>
      </c>
      <c r="B207" s="21" t="s">
        <v>2102</v>
      </c>
      <c r="C207" s="23" t="s">
        <v>3515</v>
      </c>
      <c r="D207" s="21" t="s">
        <v>3520</v>
      </c>
      <c r="E207" s="24">
        <v>44967</v>
      </c>
      <c r="F207" s="24">
        <v>44984</v>
      </c>
      <c r="G207" s="22" t="s">
        <v>16</v>
      </c>
      <c r="H207" s="25">
        <v>76916</v>
      </c>
      <c r="I207" s="25">
        <v>1448</v>
      </c>
      <c r="J207" s="26">
        <v>1509.5</v>
      </c>
      <c r="K207" s="25">
        <v>258</v>
      </c>
      <c r="L207" s="21" t="s">
        <v>21</v>
      </c>
      <c r="M207" s="22" t="s">
        <v>16</v>
      </c>
      <c r="N207" s="27">
        <f t="shared" si="24"/>
        <v>17</v>
      </c>
      <c r="O207" s="28">
        <f t="shared" si="25"/>
        <v>1.8825731967340994E-2</v>
      </c>
      <c r="P207" s="28">
        <f t="shared" si="26"/>
        <v>0.17817679558011049</v>
      </c>
      <c r="Q207" s="26">
        <f t="shared" si="27"/>
        <v>1.0424723756906078</v>
      </c>
      <c r="R207" s="29">
        <f t="shared" si="28"/>
        <v>5.8507751937984498</v>
      </c>
      <c r="S207" s="30">
        <f t="shared" si="29"/>
        <v>2</v>
      </c>
      <c r="T207" s="30">
        <f t="shared" si="30"/>
        <v>2023</v>
      </c>
      <c r="U207" s="29" t="str">
        <f t="shared" si="31"/>
        <v>February</v>
      </c>
    </row>
    <row r="208" spans="1:21" ht="17.399999999999999" x14ac:dyDescent="0.3">
      <c r="A208" s="21" t="s">
        <v>2112</v>
      </c>
      <c r="B208" s="21" t="s">
        <v>2113</v>
      </c>
      <c r="C208" s="23" t="s">
        <v>3515</v>
      </c>
      <c r="D208" s="21" t="s">
        <v>3520</v>
      </c>
      <c r="E208" s="24">
        <v>44967</v>
      </c>
      <c r="F208" s="24">
        <v>44990</v>
      </c>
      <c r="G208" s="22" t="s">
        <v>11</v>
      </c>
      <c r="H208" s="25">
        <v>28306</v>
      </c>
      <c r="I208" s="25">
        <v>880</v>
      </c>
      <c r="J208" s="26">
        <v>600.64</v>
      </c>
      <c r="K208" s="25">
        <v>126</v>
      </c>
      <c r="L208" s="21" t="s">
        <v>17</v>
      </c>
      <c r="M208" s="22" t="s">
        <v>11</v>
      </c>
      <c r="N208" s="27">
        <f t="shared" si="24"/>
        <v>23</v>
      </c>
      <c r="O208" s="28">
        <f t="shared" si="25"/>
        <v>3.1088815092206599E-2</v>
      </c>
      <c r="P208" s="28">
        <f t="shared" si="26"/>
        <v>0.14318181818181819</v>
      </c>
      <c r="Q208" s="26">
        <f t="shared" si="27"/>
        <v>0.68254545454545457</v>
      </c>
      <c r="R208" s="29">
        <f t="shared" si="28"/>
        <v>4.7669841269841271</v>
      </c>
      <c r="S208" s="30">
        <f t="shared" si="29"/>
        <v>2</v>
      </c>
      <c r="T208" s="30">
        <f t="shared" si="30"/>
        <v>2023</v>
      </c>
      <c r="U208" s="29" t="str">
        <f t="shared" si="31"/>
        <v>February</v>
      </c>
    </row>
    <row r="209" spans="1:21" ht="17.399999999999999" x14ac:dyDescent="0.3">
      <c r="A209" s="21" t="s">
        <v>3060</v>
      </c>
      <c r="B209" s="22" t="s">
        <v>3598</v>
      </c>
      <c r="C209" s="23" t="s">
        <v>3515</v>
      </c>
      <c r="D209" s="22" t="s">
        <v>3545</v>
      </c>
      <c r="E209" s="24">
        <v>44967</v>
      </c>
      <c r="F209" s="24">
        <v>44974</v>
      </c>
      <c r="G209" s="22" t="s">
        <v>14</v>
      </c>
      <c r="H209" s="25">
        <v>50138</v>
      </c>
      <c r="I209" s="25">
        <v>1249</v>
      </c>
      <c r="J209" s="26">
        <v>2221.12</v>
      </c>
      <c r="K209" s="25">
        <v>107</v>
      </c>
      <c r="L209" s="21" t="s">
        <v>17</v>
      </c>
      <c r="M209" s="22" t="s">
        <v>3537</v>
      </c>
      <c r="N209" s="27">
        <f t="shared" si="24"/>
        <v>7</v>
      </c>
      <c r="O209" s="28">
        <f t="shared" si="25"/>
        <v>2.4911244963899636E-2</v>
      </c>
      <c r="P209" s="28">
        <f t="shared" si="26"/>
        <v>8.5668534827862283E-2</v>
      </c>
      <c r="Q209" s="26">
        <f t="shared" si="27"/>
        <v>1.7783186549239391</v>
      </c>
      <c r="R209" s="29">
        <f t="shared" si="28"/>
        <v>20.758130841121496</v>
      </c>
      <c r="S209" s="30">
        <f t="shared" si="29"/>
        <v>2</v>
      </c>
      <c r="T209" s="30">
        <f t="shared" si="30"/>
        <v>2023</v>
      </c>
      <c r="U209" s="29" t="str">
        <f t="shared" si="31"/>
        <v>February</v>
      </c>
    </row>
    <row r="210" spans="1:21" ht="17.399999999999999" x14ac:dyDescent="0.3">
      <c r="A210" s="21" t="s">
        <v>3246</v>
      </c>
      <c r="B210" s="21" t="s">
        <v>3247</v>
      </c>
      <c r="C210" s="23" t="s">
        <v>3515</v>
      </c>
      <c r="D210" s="21" t="s">
        <v>3520</v>
      </c>
      <c r="E210" s="24">
        <v>44967</v>
      </c>
      <c r="F210" s="24">
        <v>44992</v>
      </c>
      <c r="G210" s="22" t="s">
        <v>16</v>
      </c>
      <c r="H210" s="25">
        <v>13857</v>
      </c>
      <c r="I210" s="25">
        <v>596</v>
      </c>
      <c r="J210" s="26">
        <v>658.31</v>
      </c>
      <c r="K210" s="25">
        <v>0</v>
      </c>
      <c r="L210" s="21" t="s">
        <v>21</v>
      </c>
      <c r="M210" s="22" t="s">
        <v>16</v>
      </c>
      <c r="N210" s="27">
        <f t="shared" si="24"/>
        <v>25</v>
      </c>
      <c r="O210" s="28">
        <f t="shared" si="25"/>
        <v>4.3010752688172046E-2</v>
      </c>
      <c r="P210" s="28">
        <f t="shared" si="26"/>
        <v>0</v>
      </c>
      <c r="Q210" s="26">
        <f t="shared" si="27"/>
        <v>1.1045469798657717</v>
      </c>
      <c r="R210" s="29" t="str">
        <f t="shared" si="28"/>
        <v>0</v>
      </c>
      <c r="S210" s="30">
        <f t="shared" si="29"/>
        <v>2</v>
      </c>
      <c r="T210" s="30">
        <f t="shared" si="30"/>
        <v>2023</v>
      </c>
      <c r="U210" s="29" t="str">
        <f t="shared" si="31"/>
        <v>February</v>
      </c>
    </row>
    <row r="211" spans="1:21" ht="17.399999999999999" x14ac:dyDescent="0.3">
      <c r="A211" s="21" t="s">
        <v>2656</v>
      </c>
      <c r="B211" s="22" t="s">
        <v>3599</v>
      </c>
      <c r="C211" s="23" t="s">
        <v>3518</v>
      </c>
      <c r="D211" s="22" t="s">
        <v>3545</v>
      </c>
      <c r="E211" s="24">
        <v>44967</v>
      </c>
      <c r="F211" s="24">
        <v>45261</v>
      </c>
      <c r="G211" s="22" t="s">
        <v>11</v>
      </c>
      <c r="H211" s="25">
        <v>2750</v>
      </c>
      <c r="I211" s="25">
        <v>126</v>
      </c>
      <c r="J211" s="26">
        <v>188.38</v>
      </c>
      <c r="K211" s="25">
        <v>12</v>
      </c>
      <c r="L211" s="21" t="s">
        <v>17</v>
      </c>
      <c r="M211" s="22" t="s">
        <v>11</v>
      </c>
      <c r="N211" s="27">
        <f t="shared" si="24"/>
        <v>294</v>
      </c>
      <c r="O211" s="28">
        <f t="shared" si="25"/>
        <v>4.581818181818182E-2</v>
      </c>
      <c r="P211" s="28">
        <f t="shared" si="26"/>
        <v>9.5238095238095233E-2</v>
      </c>
      <c r="Q211" s="26">
        <f t="shared" si="27"/>
        <v>1.495079365079365</v>
      </c>
      <c r="R211" s="29">
        <f t="shared" si="28"/>
        <v>15.698333333333332</v>
      </c>
      <c r="S211" s="30">
        <f t="shared" si="29"/>
        <v>2</v>
      </c>
      <c r="T211" s="30">
        <f t="shared" si="30"/>
        <v>2023</v>
      </c>
      <c r="U211" s="29" t="str">
        <f t="shared" si="31"/>
        <v>February</v>
      </c>
    </row>
    <row r="212" spans="1:21" ht="17.399999999999999" x14ac:dyDescent="0.3">
      <c r="A212" s="21" t="s">
        <v>167</v>
      </c>
      <c r="B212" s="21" t="s">
        <v>168</v>
      </c>
      <c r="C212" s="23" t="s">
        <v>3516</v>
      </c>
      <c r="D212" s="21" t="s">
        <v>3517</v>
      </c>
      <c r="E212" s="24">
        <v>44968</v>
      </c>
      <c r="F212" s="24">
        <v>45253</v>
      </c>
      <c r="G212" s="22" t="s">
        <v>24</v>
      </c>
      <c r="H212" s="25">
        <v>13185</v>
      </c>
      <c r="I212" s="25">
        <v>250</v>
      </c>
      <c r="J212" s="26">
        <v>242.07</v>
      </c>
      <c r="K212" s="25">
        <v>14</v>
      </c>
      <c r="L212" s="21" t="s">
        <v>21</v>
      </c>
      <c r="M212" s="22" t="s">
        <v>3536</v>
      </c>
      <c r="N212" s="27">
        <f t="shared" si="24"/>
        <v>285</v>
      </c>
      <c r="O212" s="28">
        <f t="shared" si="25"/>
        <v>1.8960940462646948E-2</v>
      </c>
      <c r="P212" s="28">
        <f t="shared" si="26"/>
        <v>5.6000000000000001E-2</v>
      </c>
      <c r="Q212" s="26">
        <f t="shared" si="27"/>
        <v>0.96827999999999992</v>
      </c>
      <c r="R212" s="29">
        <f t="shared" si="28"/>
        <v>17.290714285714284</v>
      </c>
      <c r="S212" s="30">
        <f t="shared" si="29"/>
        <v>2</v>
      </c>
      <c r="T212" s="30">
        <f t="shared" si="30"/>
        <v>2023</v>
      </c>
      <c r="U212" s="29" t="str">
        <f t="shared" si="31"/>
        <v>February</v>
      </c>
    </row>
    <row r="213" spans="1:21" ht="17.399999999999999" x14ac:dyDescent="0.3">
      <c r="A213" s="21" t="s">
        <v>1478</v>
      </c>
      <c r="B213" s="21" t="s">
        <v>1479</v>
      </c>
      <c r="C213" s="23" t="s">
        <v>3516</v>
      </c>
      <c r="D213" s="21" t="s">
        <v>3521</v>
      </c>
      <c r="E213" s="24">
        <v>44968</v>
      </c>
      <c r="F213" s="24">
        <v>44990</v>
      </c>
      <c r="G213" s="22" t="s">
        <v>3535</v>
      </c>
      <c r="H213" s="25">
        <v>8239</v>
      </c>
      <c r="I213" s="25">
        <v>380</v>
      </c>
      <c r="J213" s="26">
        <v>654.71</v>
      </c>
      <c r="K213" s="25">
        <v>61</v>
      </c>
      <c r="L213" s="21" t="s">
        <v>21</v>
      </c>
      <c r="M213" s="22" t="s">
        <v>3535</v>
      </c>
      <c r="N213" s="27">
        <f t="shared" si="24"/>
        <v>22</v>
      </c>
      <c r="O213" s="28">
        <f t="shared" si="25"/>
        <v>4.6122102196868554E-2</v>
      </c>
      <c r="P213" s="28">
        <f t="shared" si="26"/>
        <v>0.16052631578947368</v>
      </c>
      <c r="Q213" s="26">
        <f t="shared" si="27"/>
        <v>1.722921052631579</v>
      </c>
      <c r="R213" s="29">
        <f t="shared" si="28"/>
        <v>10.732950819672132</v>
      </c>
      <c r="S213" s="30">
        <f t="shared" si="29"/>
        <v>2</v>
      </c>
      <c r="T213" s="30">
        <f t="shared" si="30"/>
        <v>2023</v>
      </c>
      <c r="U213" s="29" t="str">
        <f t="shared" si="31"/>
        <v>February</v>
      </c>
    </row>
    <row r="214" spans="1:21" ht="17.399999999999999" x14ac:dyDescent="0.3">
      <c r="A214" s="21" t="s">
        <v>490</v>
      </c>
      <c r="B214" s="21" t="s">
        <v>491</v>
      </c>
      <c r="C214" s="23" t="s">
        <v>3515</v>
      </c>
      <c r="D214" s="21" t="s">
        <v>3520</v>
      </c>
      <c r="E214" s="24">
        <v>44968</v>
      </c>
      <c r="F214" s="24">
        <v>44993</v>
      </c>
      <c r="G214" s="22" t="s">
        <v>11</v>
      </c>
      <c r="H214" s="25">
        <v>61713</v>
      </c>
      <c r="I214" s="25">
        <v>2087</v>
      </c>
      <c r="J214" s="26">
        <v>1918.21</v>
      </c>
      <c r="K214" s="25">
        <v>200</v>
      </c>
      <c r="L214" s="21" t="s">
        <v>21</v>
      </c>
      <c r="M214" s="22" t="s">
        <v>11</v>
      </c>
      <c r="N214" s="27">
        <f t="shared" si="24"/>
        <v>25</v>
      </c>
      <c r="O214" s="28">
        <f t="shared" si="25"/>
        <v>3.3817834167841461E-2</v>
      </c>
      <c r="P214" s="28">
        <f t="shared" si="26"/>
        <v>9.5831336847149021E-2</v>
      </c>
      <c r="Q214" s="26">
        <f t="shared" si="27"/>
        <v>0.91912314326784861</v>
      </c>
      <c r="R214" s="29">
        <f t="shared" si="28"/>
        <v>9.591050000000001</v>
      </c>
      <c r="S214" s="30">
        <f t="shared" si="29"/>
        <v>2</v>
      </c>
      <c r="T214" s="30">
        <f t="shared" si="30"/>
        <v>2023</v>
      </c>
      <c r="U214" s="29" t="str">
        <f t="shared" si="31"/>
        <v>February</v>
      </c>
    </row>
    <row r="215" spans="1:21" ht="17.399999999999999" x14ac:dyDescent="0.3">
      <c r="A215" s="21" t="s">
        <v>2152</v>
      </c>
      <c r="B215" s="21" t="s">
        <v>2153</v>
      </c>
      <c r="C215" s="23" t="s">
        <v>3518</v>
      </c>
      <c r="D215" s="21" t="s">
        <v>3520</v>
      </c>
      <c r="E215" s="24">
        <v>44968</v>
      </c>
      <c r="F215" s="24">
        <v>45140</v>
      </c>
      <c r="G215" s="22" t="s">
        <v>31</v>
      </c>
      <c r="H215" s="25">
        <v>37244</v>
      </c>
      <c r="I215" s="25">
        <v>1415</v>
      </c>
      <c r="J215" s="26">
        <v>1936.38</v>
      </c>
      <c r="K215" s="25">
        <v>142</v>
      </c>
      <c r="L215" s="21" t="s">
        <v>21</v>
      </c>
      <c r="M215" s="22" t="s">
        <v>31</v>
      </c>
      <c r="N215" s="27">
        <f t="shared" si="24"/>
        <v>172</v>
      </c>
      <c r="O215" s="28">
        <f t="shared" si="25"/>
        <v>3.7992696810224463E-2</v>
      </c>
      <c r="P215" s="28">
        <f t="shared" si="26"/>
        <v>0.10035335689045936</v>
      </c>
      <c r="Q215" s="26">
        <f t="shared" si="27"/>
        <v>1.3684664310954064</v>
      </c>
      <c r="R215" s="29">
        <f t="shared" si="28"/>
        <v>13.636478873239437</v>
      </c>
      <c r="S215" s="30">
        <f t="shared" si="29"/>
        <v>2</v>
      </c>
      <c r="T215" s="30">
        <f t="shared" si="30"/>
        <v>2023</v>
      </c>
      <c r="U215" s="29" t="str">
        <f t="shared" si="31"/>
        <v>February</v>
      </c>
    </row>
    <row r="216" spans="1:21" ht="17.399999999999999" x14ac:dyDescent="0.3">
      <c r="A216" s="21" t="s">
        <v>2722</v>
      </c>
      <c r="B216" s="22" t="s">
        <v>3600</v>
      </c>
      <c r="C216" s="23" t="s">
        <v>3518</v>
      </c>
      <c r="D216" s="22" t="s">
        <v>3545</v>
      </c>
      <c r="E216" s="24">
        <v>44969</v>
      </c>
      <c r="F216" s="24">
        <v>44977</v>
      </c>
      <c r="G216" s="22" t="s">
        <v>11</v>
      </c>
      <c r="H216" s="25">
        <v>18850</v>
      </c>
      <c r="I216" s="25">
        <v>869</v>
      </c>
      <c r="J216" s="26">
        <v>749.74</v>
      </c>
      <c r="K216" s="25">
        <v>99</v>
      </c>
      <c r="L216" s="21" t="s">
        <v>21</v>
      </c>
      <c r="M216" s="22" t="s">
        <v>11</v>
      </c>
      <c r="N216" s="27">
        <f t="shared" si="24"/>
        <v>8</v>
      </c>
      <c r="O216" s="28">
        <f t="shared" si="25"/>
        <v>4.610079575596817E-2</v>
      </c>
      <c r="P216" s="28">
        <f t="shared" si="26"/>
        <v>0.11392405063291139</v>
      </c>
      <c r="Q216" s="26">
        <f t="shared" si="27"/>
        <v>0.86276179516685847</v>
      </c>
      <c r="R216" s="29">
        <f t="shared" si="28"/>
        <v>7.5731313131313129</v>
      </c>
      <c r="S216" s="30">
        <f t="shared" si="29"/>
        <v>2</v>
      </c>
      <c r="T216" s="30">
        <f t="shared" si="30"/>
        <v>2023</v>
      </c>
      <c r="U216" s="29" t="str">
        <f t="shared" si="31"/>
        <v>February</v>
      </c>
    </row>
    <row r="217" spans="1:21" ht="17.399999999999999" x14ac:dyDescent="0.3">
      <c r="A217" s="21" t="s">
        <v>1526</v>
      </c>
      <c r="B217" s="21" t="s">
        <v>1527</v>
      </c>
      <c r="C217" s="23" t="s">
        <v>3515</v>
      </c>
      <c r="D217" s="21" t="s">
        <v>3521</v>
      </c>
      <c r="E217" s="24">
        <v>44969</v>
      </c>
      <c r="F217" s="24">
        <v>44971</v>
      </c>
      <c r="G217" s="22" t="s">
        <v>24</v>
      </c>
      <c r="H217" s="25">
        <v>82317</v>
      </c>
      <c r="I217" s="25">
        <v>2167</v>
      </c>
      <c r="J217" s="26">
        <v>3341.47</v>
      </c>
      <c r="K217" s="25">
        <v>234</v>
      </c>
      <c r="L217" s="21" t="s">
        <v>21</v>
      </c>
      <c r="M217" s="22" t="s">
        <v>3536</v>
      </c>
      <c r="N217" s="27">
        <f t="shared" si="24"/>
        <v>2</v>
      </c>
      <c r="O217" s="28">
        <f t="shared" si="25"/>
        <v>2.632506043709076E-2</v>
      </c>
      <c r="P217" s="28">
        <f t="shared" si="26"/>
        <v>0.10798338717120443</v>
      </c>
      <c r="Q217" s="26">
        <f t="shared" si="27"/>
        <v>1.541979695431472</v>
      </c>
      <c r="R217" s="29">
        <f t="shared" si="28"/>
        <v>14.279786324786324</v>
      </c>
      <c r="S217" s="30">
        <f t="shared" si="29"/>
        <v>2</v>
      </c>
      <c r="T217" s="30">
        <f t="shared" si="30"/>
        <v>2023</v>
      </c>
      <c r="U217" s="29" t="str">
        <f t="shared" si="31"/>
        <v>February</v>
      </c>
    </row>
    <row r="218" spans="1:21" ht="17.399999999999999" x14ac:dyDescent="0.3">
      <c r="A218" s="21" t="s">
        <v>2575</v>
      </c>
      <c r="B218" s="21" t="s">
        <v>2576</v>
      </c>
      <c r="C218" s="23" t="s">
        <v>3519</v>
      </c>
      <c r="D218" s="21" t="s">
        <v>3520</v>
      </c>
      <c r="E218" s="24">
        <v>44970</v>
      </c>
      <c r="F218" s="24">
        <v>44995</v>
      </c>
      <c r="G218" s="22" t="s">
        <v>11</v>
      </c>
      <c r="H218" s="25">
        <v>25058</v>
      </c>
      <c r="I218" s="25">
        <v>359</v>
      </c>
      <c r="J218" s="26">
        <v>705.88</v>
      </c>
      <c r="K218" s="25">
        <v>68</v>
      </c>
      <c r="L218" s="21" t="s">
        <v>21</v>
      </c>
      <c r="M218" s="22" t="s">
        <v>11</v>
      </c>
      <c r="N218" s="27">
        <f t="shared" si="24"/>
        <v>25</v>
      </c>
      <c r="O218" s="28">
        <f t="shared" si="25"/>
        <v>1.4326761912363317E-2</v>
      </c>
      <c r="P218" s="28">
        <f t="shared" si="26"/>
        <v>0.1894150417827298</v>
      </c>
      <c r="Q218" s="26">
        <f t="shared" si="27"/>
        <v>1.9662395543175488</v>
      </c>
      <c r="R218" s="29">
        <f t="shared" si="28"/>
        <v>10.380588235294118</v>
      </c>
      <c r="S218" s="30">
        <f t="shared" si="29"/>
        <v>2</v>
      </c>
      <c r="T218" s="30">
        <f t="shared" si="30"/>
        <v>2023</v>
      </c>
      <c r="U218" s="29" t="str">
        <f t="shared" si="31"/>
        <v>February</v>
      </c>
    </row>
    <row r="219" spans="1:21" ht="17.399999999999999" x14ac:dyDescent="0.3">
      <c r="A219" s="21" t="s">
        <v>1611</v>
      </c>
      <c r="B219" s="21" t="s">
        <v>1612</v>
      </c>
      <c r="C219" s="23" t="s">
        <v>3518</v>
      </c>
      <c r="D219" s="21" t="s">
        <v>3521</v>
      </c>
      <c r="E219" s="24">
        <v>44970</v>
      </c>
      <c r="F219" s="24">
        <v>44976</v>
      </c>
      <c r="G219" s="22" t="s">
        <v>14</v>
      </c>
      <c r="H219" s="25">
        <v>76697</v>
      </c>
      <c r="I219" s="25">
        <v>3458</v>
      </c>
      <c r="J219" s="26">
        <v>6612.96</v>
      </c>
      <c r="K219" s="25">
        <v>432</v>
      </c>
      <c r="L219" s="21" t="s">
        <v>17</v>
      </c>
      <c r="M219" s="22" t="s">
        <v>3537</v>
      </c>
      <c r="N219" s="27">
        <f t="shared" si="24"/>
        <v>6</v>
      </c>
      <c r="O219" s="28">
        <f t="shared" si="25"/>
        <v>4.5086509250687773E-2</v>
      </c>
      <c r="P219" s="28">
        <f t="shared" si="26"/>
        <v>0.12492770387507229</v>
      </c>
      <c r="Q219" s="26">
        <f t="shared" si="27"/>
        <v>1.9123655292076345</v>
      </c>
      <c r="R219" s="29">
        <f t="shared" si="28"/>
        <v>15.307777777777778</v>
      </c>
      <c r="S219" s="30">
        <f t="shared" si="29"/>
        <v>2</v>
      </c>
      <c r="T219" s="30">
        <f t="shared" si="30"/>
        <v>2023</v>
      </c>
      <c r="U219" s="29" t="str">
        <f t="shared" si="31"/>
        <v>February</v>
      </c>
    </row>
    <row r="220" spans="1:21" ht="17.399999999999999" x14ac:dyDescent="0.3">
      <c r="A220" s="21" t="s">
        <v>1897</v>
      </c>
      <c r="B220" s="21" t="s">
        <v>1898</v>
      </c>
      <c r="C220" s="23" t="s">
        <v>3516</v>
      </c>
      <c r="D220" s="21" t="s">
        <v>3517</v>
      </c>
      <c r="E220" s="24">
        <v>44970</v>
      </c>
      <c r="F220" s="24">
        <v>44978</v>
      </c>
      <c r="G220" s="22" t="s">
        <v>11</v>
      </c>
      <c r="H220" s="25">
        <v>98829</v>
      </c>
      <c r="I220" s="25">
        <v>4730</v>
      </c>
      <c r="J220" s="26">
        <v>5588.11</v>
      </c>
      <c r="K220" s="25">
        <v>634</v>
      </c>
      <c r="L220" s="21" t="s">
        <v>17</v>
      </c>
      <c r="M220" s="22" t="s">
        <v>11</v>
      </c>
      <c r="N220" s="27">
        <f t="shared" si="24"/>
        <v>8</v>
      </c>
      <c r="O220" s="28">
        <f t="shared" si="25"/>
        <v>4.786044582055874E-2</v>
      </c>
      <c r="P220" s="28">
        <f t="shared" si="26"/>
        <v>0.13403805496828752</v>
      </c>
      <c r="Q220" s="26">
        <f t="shared" si="27"/>
        <v>1.1814186046511628</v>
      </c>
      <c r="R220" s="29">
        <f t="shared" si="28"/>
        <v>8.8140536277602521</v>
      </c>
      <c r="S220" s="30">
        <f t="shared" si="29"/>
        <v>2</v>
      </c>
      <c r="T220" s="30">
        <f t="shared" si="30"/>
        <v>2023</v>
      </c>
      <c r="U220" s="29" t="str">
        <f t="shared" si="31"/>
        <v>February</v>
      </c>
    </row>
    <row r="221" spans="1:21" ht="17.399999999999999" x14ac:dyDescent="0.3">
      <c r="A221" s="21" t="s">
        <v>3167</v>
      </c>
      <c r="B221" s="21" t="s">
        <v>3168</v>
      </c>
      <c r="C221" s="23" t="s">
        <v>3516</v>
      </c>
      <c r="D221" s="21" t="s">
        <v>3520</v>
      </c>
      <c r="E221" s="24">
        <v>44970</v>
      </c>
      <c r="F221" s="24">
        <v>45000</v>
      </c>
      <c r="G221" s="22" t="s">
        <v>16</v>
      </c>
      <c r="H221" s="25">
        <v>88266</v>
      </c>
      <c r="I221" s="25">
        <v>2235</v>
      </c>
      <c r="J221" s="26">
        <v>1460.69</v>
      </c>
      <c r="K221" s="25">
        <v>417</v>
      </c>
      <c r="L221" s="21" t="s">
        <v>21</v>
      </c>
      <c r="M221" s="22" t="s">
        <v>16</v>
      </c>
      <c r="N221" s="27">
        <f t="shared" si="24"/>
        <v>30</v>
      </c>
      <c r="O221" s="28">
        <f t="shared" si="25"/>
        <v>2.532118822649718E-2</v>
      </c>
      <c r="P221" s="28">
        <f t="shared" si="26"/>
        <v>0.18657718120805369</v>
      </c>
      <c r="Q221" s="26">
        <f t="shared" si="27"/>
        <v>0.65355257270693512</v>
      </c>
      <c r="R221" s="29">
        <f t="shared" si="28"/>
        <v>3.5028537170263792</v>
      </c>
      <c r="S221" s="30">
        <f t="shared" si="29"/>
        <v>2</v>
      </c>
      <c r="T221" s="30">
        <f t="shared" si="30"/>
        <v>2023</v>
      </c>
      <c r="U221" s="29" t="str">
        <f t="shared" si="31"/>
        <v>February</v>
      </c>
    </row>
    <row r="222" spans="1:21" ht="17.399999999999999" x14ac:dyDescent="0.3">
      <c r="A222" s="21" t="s">
        <v>754</v>
      </c>
      <c r="B222" s="21" t="s">
        <v>755</v>
      </c>
      <c r="C222" s="23" t="s">
        <v>3515</v>
      </c>
      <c r="D222" s="21" t="s">
        <v>3517</v>
      </c>
      <c r="E222" s="24">
        <v>44970</v>
      </c>
      <c r="F222" s="24">
        <v>44990</v>
      </c>
      <c r="G222" s="22" t="s">
        <v>31</v>
      </c>
      <c r="H222" s="25">
        <v>94848</v>
      </c>
      <c r="I222" s="25">
        <v>3946</v>
      </c>
      <c r="J222" s="26">
        <v>3449.54</v>
      </c>
      <c r="K222" s="25">
        <v>473</v>
      </c>
      <c r="L222" s="21" t="s">
        <v>17</v>
      </c>
      <c r="M222" s="22" t="s">
        <v>31</v>
      </c>
      <c r="N222" s="27">
        <f t="shared" si="24"/>
        <v>20</v>
      </c>
      <c r="O222" s="28">
        <f t="shared" si="25"/>
        <v>4.1603407557354928E-2</v>
      </c>
      <c r="P222" s="28">
        <f t="shared" si="26"/>
        <v>0.1198682209832742</v>
      </c>
      <c r="Q222" s="26">
        <f t="shared" si="27"/>
        <v>0.87418651799290414</v>
      </c>
      <c r="R222" s="29">
        <f t="shared" si="28"/>
        <v>7.2928964059196613</v>
      </c>
      <c r="S222" s="30">
        <f t="shared" si="29"/>
        <v>2</v>
      </c>
      <c r="T222" s="30">
        <f t="shared" si="30"/>
        <v>2023</v>
      </c>
      <c r="U222" s="29" t="str">
        <f t="shared" si="31"/>
        <v>February</v>
      </c>
    </row>
    <row r="223" spans="1:21" ht="17.399999999999999" x14ac:dyDescent="0.3">
      <c r="A223" s="21" t="s">
        <v>1934</v>
      </c>
      <c r="B223" s="22" t="s">
        <v>3601</v>
      </c>
      <c r="C223" s="23" t="s">
        <v>3515</v>
      </c>
      <c r="D223" s="22" t="s">
        <v>3545</v>
      </c>
      <c r="E223" s="24">
        <v>44970</v>
      </c>
      <c r="F223" s="24">
        <v>44975</v>
      </c>
      <c r="G223" s="22" t="s">
        <v>24</v>
      </c>
      <c r="H223" s="25">
        <v>59596</v>
      </c>
      <c r="I223" s="25">
        <v>2802</v>
      </c>
      <c r="J223" s="26">
        <v>1494.38</v>
      </c>
      <c r="K223" s="25">
        <v>475</v>
      </c>
      <c r="L223" s="21" t="s">
        <v>17</v>
      </c>
      <c r="M223" s="22" t="s">
        <v>3536</v>
      </c>
      <c r="N223" s="27">
        <f t="shared" si="24"/>
        <v>5</v>
      </c>
      <c r="O223" s="28">
        <f t="shared" si="25"/>
        <v>4.7016578293845222E-2</v>
      </c>
      <c r="P223" s="28">
        <f t="shared" si="26"/>
        <v>0.16952177016416844</v>
      </c>
      <c r="Q223" s="26">
        <f t="shared" si="27"/>
        <v>0.5333261955745896</v>
      </c>
      <c r="R223" s="29">
        <f t="shared" si="28"/>
        <v>3.1460631578947371</v>
      </c>
      <c r="S223" s="30">
        <f t="shared" si="29"/>
        <v>2</v>
      </c>
      <c r="T223" s="30">
        <f t="shared" si="30"/>
        <v>2023</v>
      </c>
      <c r="U223" s="29" t="str">
        <f t="shared" si="31"/>
        <v>February</v>
      </c>
    </row>
    <row r="224" spans="1:21" ht="17.399999999999999" x14ac:dyDescent="0.3">
      <c r="A224" s="21" t="s">
        <v>3188</v>
      </c>
      <c r="B224" s="22" t="s">
        <v>3602</v>
      </c>
      <c r="C224" s="23" t="s">
        <v>3518</v>
      </c>
      <c r="D224" s="22" t="s">
        <v>3545</v>
      </c>
      <c r="E224" s="24">
        <v>44970</v>
      </c>
      <c r="F224" s="24">
        <v>45262</v>
      </c>
      <c r="G224" s="22" t="s">
        <v>11</v>
      </c>
      <c r="H224" s="25">
        <v>45569</v>
      </c>
      <c r="I224" s="25">
        <v>1913</v>
      </c>
      <c r="J224" s="26">
        <v>3097.66</v>
      </c>
      <c r="K224" s="25">
        <v>259</v>
      </c>
      <c r="L224" s="21" t="s">
        <v>21</v>
      </c>
      <c r="M224" s="22" t="s">
        <v>11</v>
      </c>
      <c r="N224" s="27">
        <f t="shared" si="24"/>
        <v>292</v>
      </c>
      <c r="O224" s="28">
        <f t="shared" si="25"/>
        <v>4.1980293620663169E-2</v>
      </c>
      <c r="P224" s="28">
        <f t="shared" si="26"/>
        <v>0.1353894406691061</v>
      </c>
      <c r="Q224" s="26">
        <f t="shared" si="27"/>
        <v>1.6192681651855723</v>
      </c>
      <c r="R224" s="29">
        <f t="shared" si="28"/>
        <v>11.960077220077219</v>
      </c>
      <c r="S224" s="30">
        <f t="shared" si="29"/>
        <v>2</v>
      </c>
      <c r="T224" s="30">
        <f t="shared" si="30"/>
        <v>2023</v>
      </c>
      <c r="U224" s="29" t="str">
        <f t="shared" si="31"/>
        <v>February</v>
      </c>
    </row>
    <row r="225" spans="1:21" ht="17.399999999999999" x14ac:dyDescent="0.3">
      <c r="A225" s="21" t="s">
        <v>401</v>
      </c>
      <c r="B225" s="21" t="s">
        <v>402</v>
      </c>
      <c r="C225" s="23" t="s">
        <v>3519</v>
      </c>
      <c r="D225" s="21" t="s">
        <v>3520</v>
      </c>
      <c r="E225" s="24">
        <v>44971</v>
      </c>
      <c r="F225" s="24">
        <v>44984</v>
      </c>
      <c r="G225" s="22" t="s">
        <v>14</v>
      </c>
      <c r="H225" s="25">
        <v>56680</v>
      </c>
      <c r="I225" s="25">
        <v>1760</v>
      </c>
      <c r="J225" s="26">
        <v>2745.62</v>
      </c>
      <c r="K225" s="25">
        <v>205</v>
      </c>
      <c r="L225" s="21" t="s">
        <v>17</v>
      </c>
      <c r="M225" s="22" t="s">
        <v>3537</v>
      </c>
      <c r="N225" s="27">
        <f t="shared" si="24"/>
        <v>13</v>
      </c>
      <c r="O225" s="28">
        <f t="shared" si="25"/>
        <v>3.1051517290049402E-2</v>
      </c>
      <c r="P225" s="28">
        <f t="shared" si="26"/>
        <v>0.11647727272727272</v>
      </c>
      <c r="Q225" s="26">
        <f t="shared" si="27"/>
        <v>1.5600113636363635</v>
      </c>
      <c r="R225" s="29">
        <f t="shared" si="28"/>
        <v>13.393268292682926</v>
      </c>
      <c r="S225" s="30">
        <f t="shared" si="29"/>
        <v>2</v>
      </c>
      <c r="T225" s="30">
        <f t="shared" si="30"/>
        <v>2023</v>
      </c>
      <c r="U225" s="29" t="str">
        <f t="shared" si="31"/>
        <v>February</v>
      </c>
    </row>
    <row r="226" spans="1:21" ht="17.399999999999999" x14ac:dyDescent="0.3">
      <c r="A226" s="21" t="s">
        <v>1071</v>
      </c>
      <c r="B226" s="21" t="s">
        <v>1072</v>
      </c>
      <c r="C226" s="23" t="s">
        <v>3518</v>
      </c>
      <c r="D226" s="21" t="s">
        <v>3517</v>
      </c>
      <c r="E226" s="24">
        <v>44971</v>
      </c>
      <c r="F226" s="24">
        <v>44980</v>
      </c>
      <c r="G226" s="22" t="s">
        <v>16</v>
      </c>
      <c r="H226" s="25">
        <v>45811</v>
      </c>
      <c r="I226" s="25">
        <v>790</v>
      </c>
      <c r="J226" s="26">
        <v>933.47</v>
      </c>
      <c r="K226" s="25">
        <v>153</v>
      </c>
      <c r="L226" s="21" t="s">
        <v>21</v>
      </c>
      <c r="M226" s="22" t="s">
        <v>16</v>
      </c>
      <c r="N226" s="27">
        <f t="shared" si="24"/>
        <v>9</v>
      </c>
      <c r="O226" s="28">
        <f t="shared" si="25"/>
        <v>1.7244766540787146E-2</v>
      </c>
      <c r="P226" s="28">
        <f t="shared" si="26"/>
        <v>0.19367088607594937</v>
      </c>
      <c r="Q226" s="26">
        <f t="shared" si="27"/>
        <v>1.1816075949367089</v>
      </c>
      <c r="R226" s="29">
        <f t="shared" si="28"/>
        <v>6.1011111111111109</v>
      </c>
      <c r="S226" s="30">
        <f t="shared" si="29"/>
        <v>2</v>
      </c>
      <c r="T226" s="30">
        <f t="shared" si="30"/>
        <v>2023</v>
      </c>
      <c r="U226" s="29" t="str">
        <f t="shared" si="31"/>
        <v>February</v>
      </c>
    </row>
    <row r="227" spans="1:21" ht="17.399999999999999" x14ac:dyDescent="0.3">
      <c r="A227" s="21" t="s">
        <v>1830</v>
      </c>
      <c r="B227" s="22" t="s">
        <v>3603</v>
      </c>
      <c r="C227" s="23" t="s">
        <v>3518</v>
      </c>
      <c r="D227" s="22" t="s">
        <v>3545</v>
      </c>
      <c r="E227" s="24">
        <v>44971</v>
      </c>
      <c r="F227" s="24">
        <v>44980</v>
      </c>
      <c r="G227" s="22" t="s">
        <v>14</v>
      </c>
      <c r="H227" s="25">
        <v>11954</v>
      </c>
      <c r="I227" s="25">
        <v>515</v>
      </c>
      <c r="J227" s="26">
        <v>627.01</v>
      </c>
      <c r="K227" s="25">
        <v>96</v>
      </c>
      <c r="L227" s="21" t="s">
        <v>21</v>
      </c>
      <c r="M227" s="22" t="s">
        <v>3537</v>
      </c>
      <c r="N227" s="27">
        <f t="shared" si="24"/>
        <v>9</v>
      </c>
      <c r="O227" s="28">
        <f t="shared" si="25"/>
        <v>4.3081813618872346E-2</v>
      </c>
      <c r="P227" s="28">
        <f t="shared" si="26"/>
        <v>0.18640776699029127</v>
      </c>
      <c r="Q227" s="26">
        <f t="shared" si="27"/>
        <v>1.2174951456310679</v>
      </c>
      <c r="R227" s="29">
        <f t="shared" si="28"/>
        <v>6.5313541666666666</v>
      </c>
      <c r="S227" s="30">
        <f t="shared" si="29"/>
        <v>2</v>
      </c>
      <c r="T227" s="30">
        <f t="shared" si="30"/>
        <v>2023</v>
      </c>
      <c r="U227" s="29" t="str">
        <f t="shared" si="31"/>
        <v>February</v>
      </c>
    </row>
    <row r="228" spans="1:21" ht="17.399999999999999" x14ac:dyDescent="0.3">
      <c r="A228" s="21" t="s">
        <v>2559</v>
      </c>
      <c r="B228" s="22" t="s">
        <v>3604</v>
      </c>
      <c r="C228" s="23" t="s">
        <v>3518</v>
      </c>
      <c r="D228" s="22" t="s">
        <v>3545</v>
      </c>
      <c r="E228" s="24">
        <v>44971</v>
      </c>
      <c r="F228" s="24">
        <v>44976</v>
      </c>
      <c r="G228" s="22" t="s">
        <v>31</v>
      </c>
      <c r="H228" s="25">
        <v>5853</v>
      </c>
      <c r="I228" s="25">
        <v>189</v>
      </c>
      <c r="J228" s="26">
        <v>375.7</v>
      </c>
      <c r="K228" s="25">
        <v>9</v>
      </c>
      <c r="L228" s="21" t="s">
        <v>21</v>
      </c>
      <c r="M228" s="22" t="s">
        <v>31</v>
      </c>
      <c r="N228" s="27">
        <f t="shared" si="24"/>
        <v>5</v>
      </c>
      <c r="O228" s="28">
        <f t="shared" si="25"/>
        <v>3.2291132752434649E-2</v>
      </c>
      <c r="P228" s="28">
        <f t="shared" si="26"/>
        <v>4.7619047619047616E-2</v>
      </c>
      <c r="Q228" s="26">
        <f t="shared" si="27"/>
        <v>1.9878306878306877</v>
      </c>
      <c r="R228" s="29">
        <f t="shared" si="28"/>
        <v>41.74444444444444</v>
      </c>
      <c r="S228" s="30">
        <f t="shared" si="29"/>
        <v>2</v>
      </c>
      <c r="T228" s="30">
        <f t="shared" si="30"/>
        <v>2023</v>
      </c>
      <c r="U228" s="29" t="str">
        <f t="shared" si="31"/>
        <v>February</v>
      </c>
    </row>
    <row r="229" spans="1:21" ht="17.399999999999999" x14ac:dyDescent="0.3">
      <c r="A229" s="21" t="s">
        <v>2767</v>
      </c>
      <c r="B229" s="21" t="s">
        <v>2768</v>
      </c>
      <c r="C229" s="23" t="s">
        <v>3516</v>
      </c>
      <c r="D229" s="21" t="s">
        <v>3521</v>
      </c>
      <c r="E229" s="24">
        <v>44971</v>
      </c>
      <c r="F229" s="24">
        <v>44986</v>
      </c>
      <c r="G229" s="22" t="s">
        <v>24</v>
      </c>
      <c r="H229" s="25">
        <v>75038</v>
      </c>
      <c r="I229" s="25">
        <v>2391</v>
      </c>
      <c r="J229" s="26">
        <v>2620.31</v>
      </c>
      <c r="K229" s="25">
        <v>363</v>
      </c>
      <c r="L229" s="21" t="s">
        <v>21</v>
      </c>
      <c r="M229" s="22" t="s">
        <v>3536</v>
      </c>
      <c r="N229" s="27">
        <f t="shared" si="24"/>
        <v>15</v>
      </c>
      <c r="O229" s="28">
        <f t="shared" si="25"/>
        <v>3.1863855646472455E-2</v>
      </c>
      <c r="P229" s="28">
        <f t="shared" si="26"/>
        <v>0.15181932245922208</v>
      </c>
      <c r="Q229" s="26">
        <f t="shared" si="27"/>
        <v>1.09590547887913</v>
      </c>
      <c r="R229" s="29">
        <f t="shared" si="28"/>
        <v>7.2184848484848487</v>
      </c>
      <c r="S229" s="30">
        <f t="shared" si="29"/>
        <v>2</v>
      </c>
      <c r="T229" s="30">
        <f t="shared" si="30"/>
        <v>2023</v>
      </c>
      <c r="U229" s="29" t="str">
        <f t="shared" si="31"/>
        <v>February</v>
      </c>
    </row>
    <row r="230" spans="1:21" ht="17.399999999999999" x14ac:dyDescent="0.3">
      <c r="A230" s="21" t="s">
        <v>3352</v>
      </c>
      <c r="B230" s="21" t="s">
        <v>3353</v>
      </c>
      <c r="C230" s="23" t="s">
        <v>3516</v>
      </c>
      <c r="D230" s="21" t="s">
        <v>3521</v>
      </c>
      <c r="E230" s="24">
        <v>44971</v>
      </c>
      <c r="F230" s="24">
        <v>44979</v>
      </c>
      <c r="G230" s="22" t="s">
        <v>3535</v>
      </c>
      <c r="H230" s="25">
        <v>50930</v>
      </c>
      <c r="I230" s="25">
        <v>1892</v>
      </c>
      <c r="J230" s="26">
        <v>3377.7</v>
      </c>
      <c r="K230" s="25">
        <v>264</v>
      </c>
      <c r="L230" s="21" t="s">
        <v>17</v>
      </c>
      <c r="M230" s="22" t="s">
        <v>3535</v>
      </c>
      <c r="N230" s="27">
        <f t="shared" si="24"/>
        <v>8</v>
      </c>
      <c r="O230" s="28">
        <f t="shared" si="25"/>
        <v>3.7149028077753776E-2</v>
      </c>
      <c r="P230" s="28">
        <f t="shared" si="26"/>
        <v>0.13953488372093023</v>
      </c>
      <c r="Q230" s="26">
        <f t="shared" si="27"/>
        <v>1.7852536997885835</v>
      </c>
      <c r="R230" s="29">
        <f t="shared" si="28"/>
        <v>12.794318181818181</v>
      </c>
      <c r="S230" s="30">
        <f t="shared" si="29"/>
        <v>2</v>
      </c>
      <c r="T230" s="30">
        <f t="shared" si="30"/>
        <v>2023</v>
      </c>
      <c r="U230" s="29" t="str">
        <f t="shared" si="31"/>
        <v>February</v>
      </c>
    </row>
    <row r="231" spans="1:21" ht="17.399999999999999" x14ac:dyDescent="0.3">
      <c r="A231" s="21" t="s">
        <v>1691</v>
      </c>
      <c r="B231" s="21" t="s">
        <v>1692</v>
      </c>
      <c r="C231" s="23" t="s">
        <v>3515</v>
      </c>
      <c r="D231" s="21" t="s">
        <v>3517</v>
      </c>
      <c r="E231" s="24">
        <v>44971</v>
      </c>
      <c r="F231" s="24">
        <v>44996</v>
      </c>
      <c r="G231" s="22" t="s">
        <v>16</v>
      </c>
      <c r="H231" s="25">
        <v>6126</v>
      </c>
      <c r="I231" s="25">
        <v>160</v>
      </c>
      <c r="J231" s="26">
        <v>119.01</v>
      </c>
      <c r="K231" s="25">
        <v>28</v>
      </c>
      <c r="L231" s="21" t="s">
        <v>17</v>
      </c>
      <c r="M231" s="22" t="s">
        <v>16</v>
      </c>
      <c r="N231" s="27">
        <f t="shared" si="24"/>
        <v>25</v>
      </c>
      <c r="O231" s="28">
        <f t="shared" si="25"/>
        <v>2.6118184786157361E-2</v>
      </c>
      <c r="P231" s="28">
        <f t="shared" si="26"/>
        <v>0.17499999999999999</v>
      </c>
      <c r="Q231" s="26">
        <f t="shared" si="27"/>
        <v>0.74381249999999999</v>
      </c>
      <c r="R231" s="29">
        <f t="shared" si="28"/>
        <v>4.2503571428571432</v>
      </c>
      <c r="S231" s="30">
        <f t="shared" si="29"/>
        <v>2</v>
      </c>
      <c r="T231" s="30">
        <f t="shared" si="30"/>
        <v>2023</v>
      </c>
      <c r="U231" s="29" t="str">
        <f t="shared" si="31"/>
        <v>February</v>
      </c>
    </row>
    <row r="232" spans="1:21" ht="17.399999999999999" x14ac:dyDescent="0.3">
      <c r="A232" s="21" t="s">
        <v>3431</v>
      </c>
      <c r="B232" s="21" t="s">
        <v>3432</v>
      </c>
      <c r="C232" s="23" t="s">
        <v>3515</v>
      </c>
      <c r="D232" s="21" t="s">
        <v>3517</v>
      </c>
      <c r="E232" s="24">
        <v>44971</v>
      </c>
      <c r="F232" s="24">
        <v>45000</v>
      </c>
      <c r="G232" s="22" t="s">
        <v>11</v>
      </c>
      <c r="H232" s="25">
        <v>84976</v>
      </c>
      <c r="I232" s="25">
        <v>3051</v>
      </c>
      <c r="J232" s="26">
        <v>4754.75</v>
      </c>
      <c r="K232" s="25">
        <v>577</v>
      </c>
      <c r="L232" s="21" t="s">
        <v>21</v>
      </c>
      <c r="M232" s="22" t="s">
        <v>11</v>
      </c>
      <c r="N232" s="27">
        <f t="shared" si="24"/>
        <v>29</v>
      </c>
      <c r="O232" s="28">
        <f t="shared" si="25"/>
        <v>3.5904255319148939E-2</v>
      </c>
      <c r="P232" s="28">
        <f t="shared" si="26"/>
        <v>0.1891183218616847</v>
      </c>
      <c r="Q232" s="26">
        <f t="shared" si="27"/>
        <v>1.5584234677155031</v>
      </c>
      <c r="R232" s="29">
        <f t="shared" si="28"/>
        <v>8.2404679376083187</v>
      </c>
      <c r="S232" s="30">
        <f t="shared" si="29"/>
        <v>2</v>
      </c>
      <c r="T232" s="30">
        <f t="shared" si="30"/>
        <v>2023</v>
      </c>
      <c r="U232" s="29" t="str">
        <f t="shared" si="31"/>
        <v>February</v>
      </c>
    </row>
    <row r="233" spans="1:21" ht="17.399999999999999" x14ac:dyDescent="0.3">
      <c r="A233" s="21" t="s">
        <v>715</v>
      </c>
      <c r="B233" s="21" t="s">
        <v>716</v>
      </c>
      <c r="C233" s="23" t="s">
        <v>3516</v>
      </c>
      <c r="D233" s="21" t="s">
        <v>3521</v>
      </c>
      <c r="E233" s="24">
        <v>44971</v>
      </c>
      <c r="F233" s="24">
        <v>45048</v>
      </c>
      <c r="G233" s="22" t="s">
        <v>3535</v>
      </c>
      <c r="H233" s="25">
        <v>6801</v>
      </c>
      <c r="I233" s="25">
        <v>116</v>
      </c>
      <c r="J233" s="26">
        <v>221.39</v>
      </c>
      <c r="K233" s="25">
        <v>13</v>
      </c>
      <c r="L233" s="21" t="s">
        <v>21</v>
      </c>
      <c r="M233" s="22" t="s">
        <v>3535</v>
      </c>
      <c r="N233" s="27">
        <f t="shared" si="24"/>
        <v>77</v>
      </c>
      <c r="O233" s="28">
        <f t="shared" si="25"/>
        <v>1.7056315247757681E-2</v>
      </c>
      <c r="P233" s="28">
        <f t="shared" si="26"/>
        <v>0.11206896551724138</v>
      </c>
      <c r="Q233" s="26">
        <f t="shared" si="27"/>
        <v>1.9085344827586206</v>
      </c>
      <c r="R233" s="29">
        <f t="shared" si="28"/>
        <v>17.029999999999998</v>
      </c>
      <c r="S233" s="30">
        <f t="shared" si="29"/>
        <v>2</v>
      </c>
      <c r="T233" s="30">
        <f t="shared" si="30"/>
        <v>2023</v>
      </c>
      <c r="U233" s="29" t="str">
        <f t="shared" si="31"/>
        <v>February</v>
      </c>
    </row>
    <row r="234" spans="1:21" ht="17.399999999999999" x14ac:dyDescent="0.3">
      <c r="A234" s="21" t="s">
        <v>3199</v>
      </c>
      <c r="B234" s="21" t="s">
        <v>3200</v>
      </c>
      <c r="C234" s="23" t="s">
        <v>3519</v>
      </c>
      <c r="D234" s="21" t="s">
        <v>3520</v>
      </c>
      <c r="E234" s="24">
        <v>44972</v>
      </c>
      <c r="F234" s="24">
        <v>44974</v>
      </c>
      <c r="G234" s="22" t="s">
        <v>11</v>
      </c>
      <c r="H234" s="25">
        <v>98768</v>
      </c>
      <c r="I234" s="25">
        <v>2612</v>
      </c>
      <c r="J234" s="26">
        <v>2544.9299999999998</v>
      </c>
      <c r="K234" s="25">
        <v>250</v>
      </c>
      <c r="L234" s="21" t="s">
        <v>21</v>
      </c>
      <c r="M234" s="22" t="s">
        <v>11</v>
      </c>
      <c r="N234" s="27">
        <f t="shared" si="24"/>
        <v>2</v>
      </c>
      <c r="O234" s="28">
        <f t="shared" si="25"/>
        <v>2.6445812408877369E-2</v>
      </c>
      <c r="P234" s="28">
        <f t="shared" si="26"/>
        <v>9.5712098009188368E-2</v>
      </c>
      <c r="Q234" s="26">
        <f t="shared" si="27"/>
        <v>0.97432235834609493</v>
      </c>
      <c r="R234" s="29">
        <f t="shared" si="28"/>
        <v>10.17972</v>
      </c>
      <c r="S234" s="30">
        <f t="shared" si="29"/>
        <v>2</v>
      </c>
      <c r="T234" s="30">
        <f t="shared" si="30"/>
        <v>2023</v>
      </c>
      <c r="U234" s="29" t="str">
        <f t="shared" si="31"/>
        <v>February</v>
      </c>
    </row>
    <row r="235" spans="1:21" ht="17.399999999999999" x14ac:dyDescent="0.3">
      <c r="A235" s="21" t="s">
        <v>2258</v>
      </c>
      <c r="B235" s="21" t="s">
        <v>2259</v>
      </c>
      <c r="C235" s="23" t="s">
        <v>3518</v>
      </c>
      <c r="D235" s="21" t="s">
        <v>3517</v>
      </c>
      <c r="E235" s="24">
        <v>44972</v>
      </c>
      <c r="F235" s="24">
        <v>44982</v>
      </c>
      <c r="G235" s="22" t="s">
        <v>16</v>
      </c>
      <c r="H235" s="25">
        <v>34719</v>
      </c>
      <c r="I235" s="25">
        <v>489</v>
      </c>
      <c r="J235" s="26">
        <v>827.68</v>
      </c>
      <c r="K235" s="25">
        <v>62</v>
      </c>
      <c r="L235" s="21" t="s">
        <v>21</v>
      </c>
      <c r="M235" s="22" t="s">
        <v>16</v>
      </c>
      <c r="N235" s="27">
        <f t="shared" si="24"/>
        <v>10</v>
      </c>
      <c r="O235" s="28">
        <f t="shared" si="25"/>
        <v>1.4084507042253521E-2</v>
      </c>
      <c r="P235" s="28">
        <f t="shared" si="26"/>
        <v>0.12678936605316973</v>
      </c>
      <c r="Q235" s="26">
        <f t="shared" si="27"/>
        <v>1.6925971370143149</v>
      </c>
      <c r="R235" s="29">
        <f t="shared" si="28"/>
        <v>13.349677419354839</v>
      </c>
      <c r="S235" s="30">
        <f t="shared" si="29"/>
        <v>2</v>
      </c>
      <c r="T235" s="30">
        <f t="shared" si="30"/>
        <v>2023</v>
      </c>
      <c r="U235" s="29" t="str">
        <f t="shared" si="31"/>
        <v>February</v>
      </c>
    </row>
    <row r="236" spans="1:21" ht="17.399999999999999" x14ac:dyDescent="0.3">
      <c r="A236" s="21" t="s">
        <v>3009</v>
      </c>
      <c r="B236" s="21" t="s">
        <v>3010</v>
      </c>
      <c r="C236" s="23" t="s">
        <v>3516</v>
      </c>
      <c r="D236" s="21" t="s">
        <v>3521</v>
      </c>
      <c r="E236" s="24">
        <v>44972</v>
      </c>
      <c r="F236" s="24">
        <v>44989</v>
      </c>
      <c r="G236" s="22" t="s">
        <v>11</v>
      </c>
      <c r="H236" s="25">
        <v>10516</v>
      </c>
      <c r="I236" s="25">
        <v>109</v>
      </c>
      <c r="J236" s="26">
        <v>149.77000000000001</v>
      </c>
      <c r="K236" s="25">
        <v>7</v>
      </c>
      <c r="L236" s="21" t="s">
        <v>21</v>
      </c>
      <c r="M236" s="22" t="s">
        <v>11</v>
      </c>
      <c r="N236" s="27">
        <f t="shared" si="24"/>
        <v>17</v>
      </c>
      <c r="O236" s="28">
        <f t="shared" si="25"/>
        <v>1.0365157854697604E-2</v>
      </c>
      <c r="P236" s="28">
        <f t="shared" si="26"/>
        <v>6.4220183486238536E-2</v>
      </c>
      <c r="Q236" s="26">
        <f t="shared" si="27"/>
        <v>1.3740366972477065</v>
      </c>
      <c r="R236" s="29">
        <f t="shared" si="28"/>
        <v>21.395714285714288</v>
      </c>
      <c r="S236" s="30">
        <f t="shared" si="29"/>
        <v>2</v>
      </c>
      <c r="T236" s="30">
        <f t="shared" si="30"/>
        <v>2023</v>
      </c>
      <c r="U236" s="29" t="str">
        <f t="shared" si="31"/>
        <v>February</v>
      </c>
    </row>
    <row r="237" spans="1:21" ht="17.399999999999999" x14ac:dyDescent="0.3">
      <c r="A237" s="21" t="s">
        <v>833</v>
      </c>
      <c r="B237" s="21" t="s">
        <v>834</v>
      </c>
      <c r="C237" s="23" t="s">
        <v>3515</v>
      </c>
      <c r="D237" s="21" t="s">
        <v>3517</v>
      </c>
      <c r="E237" s="24">
        <v>44972</v>
      </c>
      <c r="F237" s="24">
        <v>44989</v>
      </c>
      <c r="G237" s="22" t="s">
        <v>11</v>
      </c>
      <c r="H237" s="25">
        <v>9308</v>
      </c>
      <c r="I237" s="25">
        <v>421</v>
      </c>
      <c r="J237" s="26">
        <v>579.98</v>
      </c>
      <c r="K237" s="25">
        <v>25</v>
      </c>
      <c r="L237" s="21" t="s">
        <v>17</v>
      </c>
      <c r="M237" s="22" t="s">
        <v>11</v>
      </c>
      <c r="N237" s="27">
        <f t="shared" si="24"/>
        <v>17</v>
      </c>
      <c r="O237" s="28">
        <f t="shared" si="25"/>
        <v>4.5229909755049418E-2</v>
      </c>
      <c r="P237" s="28">
        <f t="shared" si="26"/>
        <v>5.9382422802850353E-2</v>
      </c>
      <c r="Q237" s="26">
        <f t="shared" si="27"/>
        <v>1.3776247030878861</v>
      </c>
      <c r="R237" s="29">
        <f t="shared" si="28"/>
        <v>23.199200000000001</v>
      </c>
      <c r="S237" s="30">
        <f t="shared" si="29"/>
        <v>2</v>
      </c>
      <c r="T237" s="30">
        <f t="shared" si="30"/>
        <v>2023</v>
      </c>
      <c r="U237" s="29" t="str">
        <f t="shared" si="31"/>
        <v>February</v>
      </c>
    </row>
    <row r="238" spans="1:21" ht="17.399999999999999" x14ac:dyDescent="0.3">
      <c r="A238" s="21" t="s">
        <v>1264</v>
      </c>
      <c r="B238" s="21" t="s">
        <v>1265</v>
      </c>
      <c r="C238" s="23" t="s">
        <v>3515</v>
      </c>
      <c r="D238" s="21" t="s">
        <v>3521</v>
      </c>
      <c r="E238" s="24">
        <v>44972</v>
      </c>
      <c r="F238" s="24">
        <v>44998</v>
      </c>
      <c r="G238" s="22" t="s">
        <v>3535</v>
      </c>
      <c r="H238" s="25">
        <v>43918</v>
      </c>
      <c r="I238" s="25">
        <v>1033</v>
      </c>
      <c r="J238" s="26">
        <v>2050.13</v>
      </c>
      <c r="K238" s="25">
        <v>0</v>
      </c>
      <c r="L238" s="21" t="s">
        <v>17</v>
      </c>
      <c r="M238" s="22" t="s">
        <v>3535</v>
      </c>
      <c r="N238" s="27">
        <f t="shared" si="24"/>
        <v>26</v>
      </c>
      <c r="O238" s="28">
        <f t="shared" si="25"/>
        <v>2.3521107518557311E-2</v>
      </c>
      <c r="P238" s="28">
        <f t="shared" si="26"/>
        <v>0</v>
      </c>
      <c r="Q238" s="26">
        <f t="shared" si="27"/>
        <v>1.9846369796708616</v>
      </c>
      <c r="R238" s="29" t="str">
        <f t="shared" si="28"/>
        <v>0</v>
      </c>
      <c r="S238" s="30">
        <f t="shared" si="29"/>
        <v>2</v>
      </c>
      <c r="T238" s="30">
        <f t="shared" si="30"/>
        <v>2023</v>
      </c>
      <c r="U238" s="29" t="str">
        <f t="shared" si="31"/>
        <v>February</v>
      </c>
    </row>
    <row r="239" spans="1:21" ht="17.399999999999999" x14ac:dyDescent="0.3">
      <c r="A239" s="21" t="s">
        <v>3156</v>
      </c>
      <c r="B239" s="21" t="s">
        <v>3157</v>
      </c>
      <c r="C239" s="23" t="s">
        <v>3515</v>
      </c>
      <c r="D239" s="21" t="s">
        <v>3520</v>
      </c>
      <c r="E239" s="24">
        <v>44972</v>
      </c>
      <c r="F239" s="24">
        <v>44984</v>
      </c>
      <c r="G239" s="22" t="s">
        <v>24</v>
      </c>
      <c r="H239" s="25">
        <v>24821</v>
      </c>
      <c r="I239" s="25">
        <v>462</v>
      </c>
      <c r="J239" s="26">
        <v>610.29999999999995</v>
      </c>
      <c r="K239" s="25">
        <v>0</v>
      </c>
      <c r="L239" s="21" t="s">
        <v>21</v>
      </c>
      <c r="M239" s="22" t="s">
        <v>3536</v>
      </c>
      <c r="N239" s="27">
        <f t="shared" si="24"/>
        <v>12</v>
      </c>
      <c r="O239" s="28">
        <f t="shared" si="25"/>
        <v>1.861327102050683E-2</v>
      </c>
      <c r="P239" s="28">
        <f t="shared" si="26"/>
        <v>0</v>
      </c>
      <c r="Q239" s="26">
        <f t="shared" si="27"/>
        <v>1.3209956709956709</v>
      </c>
      <c r="R239" s="29" t="str">
        <f t="shared" si="28"/>
        <v>0</v>
      </c>
      <c r="S239" s="30">
        <f t="shared" si="29"/>
        <v>2</v>
      </c>
      <c r="T239" s="30">
        <f t="shared" si="30"/>
        <v>2023</v>
      </c>
      <c r="U239" s="29" t="str">
        <f t="shared" si="31"/>
        <v>February</v>
      </c>
    </row>
    <row r="240" spans="1:21" ht="17.399999999999999" x14ac:dyDescent="0.3">
      <c r="A240" s="21" t="s">
        <v>3328</v>
      </c>
      <c r="B240" s="21" t="s">
        <v>3329</v>
      </c>
      <c r="C240" s="23" t="s">
        <v>3515</v>
      </c>
      <c r="D240" s="21" t="s">
        <v>3521</v>
      </c>
      <c r="E240" s="24">
        <v>44972</v>
      </c>
      <c r="F240" s="24">
        <v>45079</v>
      </c>
      <c r="G240" s="22" t="s">
        <v>24</v>
      </c>
      <c r="H240" s="25">
        <v>31015</v>
      </c>
      <c r="I240" s="25">
        <v>457</v>
      </c>
      <c r="J240" s="26">
        <v>460.85</v>
      </c>
      <c r="K240" s="25">
        <v>61</v>
      </c>
      <c r="L240" s="21" t="s">
        <v>17</v>
      </c>
      <c r="M240" s="22" t="s">
        <v>3536</v>
      </c>
      <c r="N240" s="27">
        <f t="shared" si="24"/>
        <v>107</v>
      </c>
      <c r="O240" s="28">
        <f t="shared" si="25"/>
        <v>1.4734805739158472E-2</v>
      </c>
      <c r="P240" s="28">
        <f t="shared" si="26"/>
        <v>0.13347921225382933</v>
      </c>
      <c r="Q240" s="26">
        <f t="shared" si="27"/>
        <v>1.0084245076586433</v>
      </c>
      <c r="R240" s="29">
        <f t="shared" si="28"/>
        <v>7.5549180327868859</v>
      </c>
      <c r="S240" s="30">
        <f t="shared" si="29"/>
        <v>2</v>
      </c>
      <c r="T240" s="30">
        <f t="shared" si="30"/>
        <v>2023</v>
      </c>
      <c r="U240" s="29" t="str">
        <f t="shared" si="31"/>
        <v>February</v>
      </c>
    </row>
    <row r="241" spans="1:21" ht="17.399999999999999" x14ac:dyDescent="0.3">
      <c r="A241" s="21" t="s">
        <v>788</v>
      </c>
      <c r="B241" s="21" t="s">
        <v>789</v>
      </c>
      <c r="C241" s="23" t="s">
        <v>3519</v>
      </c>
      <c r="D241" s="21" t="s">
        <v>3517</v>
      </c>
      <c r="E241" s="24">
        <v>44973</v>
      </c>
      <c r="F241" s="24">
        <v>44992</v>
      </c>
      <c r="G241" s="22" t="s">
        <v>3535</v>
      </c>
      <c r="H241" s="25">
        <v>88142</v>
      </c>
      <c r="I241" s="25">
        <v>1739</v>
      </c>
      <c r="J241" s="26">
        <v>1227.0999999999999</v>
      </c>
      <c r="K241" s="25">
        <v>249</v>
      </c>
      <c r="L241" s="21" t="s">
        <v>21</v>
      </c>
      <c r="M241" s="22" t="s">
        <v>3535</v>
      </c>
      <c r="N241" s="27">
        <f t="shared" si="24"/>
        <v>19</v>
      </c>
      <c r="O241" s="28">
        <f t="shared" si="25"/>
        <v>1.9729527353588527E-2</v>
      </c>
      <c r="P241" s="28">
        <f t="shared" si="26"/>
        <v>0.14318573893041978</v>
      </c>
      <c r="Q241" s="26">
        <f t="shared" si="27"/>
        <v>0.70563542265669921</v>
      </c>
      <c r="R241" s="29">
        <f t="shared" si="28"/>
        <v>4.9281124497991966</v>
      </c>
      <c r="S241" s="30">
        <f t="shared" si="29"/>
        <v>2</v>
      </c>
      <c r="T241" s="30">
        <f t="shared" si="30"/>
        <v>2023</v>
      </c>
      <c r="U241" s="29" t="str">
        <f t="shared" si="31"/>
        <v>February</v>
      </c>
    </row>
    <row r="242" spans="1:21" ht="17.399999999999999" x14ac:dyDescent="0.3">
      <c r="A242" s="21" t="s">
        <v>3288</v>
      </c>
      <c r="B242" s="21" t="s">
        <v>3289</v>
      </c>
      <c r="C242" s="23" t="s">
        <v>3519</v>
      </c>
      <c r="D242" s="21" t="s">
        <v>3521</v>
      </c>
      <c r="E242" s="24">
        <v>44973</v>
      </c>
      <c r="F242" s="24">
        <v>44980</v>
      </c>
      <c r="G242" s="22" t="s">
        <v>31</v>
      </c>
      <c r="H242" s="25">
        <v>6655</v>
      </c>
      <c r="I242" s="25">
        <v>158</v>
      </c>
      <c r="J242" s="26">
        <v>135.65</v>
      </c>
      <c r="K242" s="25">
        <v>19</v>
      </c>
      <c r="L242" s="21" t="s">
        <v>21</v>
      </c>
      <c r="M242" s="22" t="s">
        <v>31</v>
      </c>
      <c r="N242" s="27">
        <f t="shared" si="24"/>
        <v>7</v>
      </c>
      <c r="O242" s="28">
        <f t="shared" si="25"/>
        <v>2.3741547708489859E-2</v>
      </c>
      <c r="P242" s="28">
        <f t="shared" si="26"/>
        <v>0.12025316455696203</v>
      </c>
      <c r="Q242" s="26">
        <f t="shared" si="27"/>
        <v>0.85854430379746838</v>
      </c>
      <c r="R242" s="29">
        <f t="shared" si="28"/>
        <v>7.1394736842105262</v>
      </c>
      <c r="S242" s="30">
        <f t="shared" si="29"/>
        <v>2</v>
      </c>
      <c r="T242" s="30">
        <f t="shared" si="30"/>
        <v>2023</v>
      </c>
      <c r="U242" s="29" t="str">
        <f t="shared" si="31"/>
        <v>February</v>
      </c>
    </row>
    <row r="243" spans="1:21" ht="17.399999999999999" x14ac:dyDescent="0.3">
      <c r="A243" s="21" t="s">
        <v>1917</v>
      </c>
      <c r="B243" s="21" t="s">
        <v>1918</v>
      </c>
      <c r="C243" s="23" t="s">
        <v>3518</v>
      </c>
      <c r="D243" s="21" t="s">
        <v>3517</v>
      </c>
      <c r="E243" s="24">
        <v>44973</v>
      </c>
      <c r="F243" s="24">
        <v>44979</v>
      </c>
      <c r="G243" s="22" t="s">
        <v>24</v>
      </c>
      <c r="H243" s="25">
        <v>71792</v>
      </c>
      <c r="I243" s="25">
        <v>2384</v>
      </c>
      <c r="J243" s="26">
        <v>4510.71</v>
      </c>
      <c r="K243" s="25">
        <v>267</v>
      </c>
      <c r="L243" s="21" t="s">
        <v>17</v>
      </c>
      <c r="M243" s="22" t="s">
        <v>3536</v>
      </c>
      <c r="N243" s="27">
        <f t="shared" si="24"/>
        <v>6</v>
      </c>
      <c r="O243" s="28">
        <f t="shared" si="25"/>
        <v>3.3207042567416981E-2</v>
      </c>
      <c r="P243" s="28">
        <f t="shared" si="26"/>
        <v>0.11199664429530201</v>
      </c>
      <c r="Q243" s="26">
        <f t="shared" si="27"/>
        <v>1.8920763422818792</v>
      </c>
      <c r="R243" s="29">
        <f t="shared" si="28"/>
        <v>16.894044943820226</v>
      </c>
      <c r="S243" s="30">
        <f t="shared" si="29"/>
        <v>2</v>
      </c>
      <c r="T243" s="30">
        <f t="shared" si="30"/>
        <v>2023</v>
      </c>
      <c r="U243" s="29" t="str">
        <f t="shared" si="31"/>
        <v>February</v>
      </c>
    </row>
    <row r="244" spans="1:21" ht="17.399999999999999" x14ac:dyDescent="0.3">
      <c r="A244" s="21" t="s">
        <v>3279</v>
      </c>
      <c r="B244" s="21" t="s">
        <v>3280</v>
      </c>
      <c r="C244" s="23" t="s">
        <v>3518</v>
      </c>
      <c r="D244" s="21" t="s">
        <v>3520</v>
      </c>
      <c r="E244" s="24">
        <v>44973</v>
      </c>
      <c r="F244" s="24">
        <v>44982</v>
      </c>
      <c r="G244" s="22" t="s">
        <v>24</v>
      </c>
      <c r="H244" s="25">
        <v>31707</v>
      </c>
      <c r="I244" s="25">
        <v>1368</v>
      </c>
      <c r="J244" s="26">
        <v>2642.74</v>
      </c>
      <c r="K244" s="25">
        <v>198</v>
      </c>
      <c r="L244" s="21" t="s">
        <v>21</v>
      </c>
      <c r="M244" s="22" t="s">
        <v>3536</v>
      </c>
      <c r="N244" s="27">
        <f t="shared" si="24"/>
        <v>9</v>
      </c>
      <c r="O244" s="28">
        <f t="shared" si="25"/>
        <v>4.3145046835083738E-2</v>
      </c>
      <c r="P244" s="28">
        <f t="shared" si="26"/>
        <v>0.14473684210526316</v>
      </c>
      <c r="Q244" s="26">
        <f t="shared" si="27"/>
        <v>1.9318274853801167</v>
      </c>
      <c r="R244" s="29">
        <f t="shared" si="28"/>
        <v>13.347171717171715</v>
      </c>
      <c r="S244" s="30">
        <f t="shared" si="29"/>
        <v>2</v>
      </c>
      <c r="T244" s="30">
        <f t="shared" si="30"/>
        <v>2023</v>
      </c>
      <c r="U244" s="29" t="str">
        <f t="shared" si="31"/>
        <v>February</v>
      </c>
    </row>
    <row r="245" spans="1:21" ht="17.399999999999999" x14ac:dyDescent="0.3">
      <c r="A245" s="21" t="s">
        <v>2631</v>
      </c>
      <c r="B245" s="22" t="s">
        <v>3605</v>
      </c>
      <c r="C245" s="23" t="s">
        <v>3515</v>
      </c>
      <c r="D245" s="22" t="s">
        <v>3545</v>
      </c>
      <c r="E245" s="24">
        <v>44973</v>
      </c>
      <c r="F245" s="24">
        <v>44999</v>
      </c>
      <c r="G245" s="22" t="s">
        <v>11</v>
      </c>
      <c r="H245" s="25">
        <v>36772</v>
      </c>
      <c r="I245" s="25">
        <v>1596</v>
      </c>
      <c r="J245" s="26">
        <v>2720.34</v>
      </c>
      <c r="K245" s="25">
        <v>0</v>
      </c>
      <c r="L245" s="21" t="s">
        <v>21</v>
      </c>
      <c r="M245" s="22" t="s">
        <v>11</v>
      </c>
      <c r="N245" s="27">
        <f t="shared" si="24"/>
        <v>26</v>
      </c>
      <c r="O245" s="28">
        <f t="shared" si="25"/>
        <v>4.3402588926357011E-2</v>
      </c>
      <c r="P245" s="28">
        <f t="shared" si="26"/>
        <v>0</v>
      </c>
      <c r="Q245" s="26">
        <f t="shared" si="27"/>
        <v>1.7044736842105264</v>
      </c>
      <c r="R245" s="29" t="str">
        <f t="shared" si="28"/>
        <v>0</v>
      </c>
      <c r="S245" s="30">
        <f t="shared" si="29"/>
        <v>2</v>
      </c>
      <c r="T245" s="30">
        <f t="shared" si="30"/>
        <v>2023</v>
      </c>
      <c r="U245" s="29" t="str">
        <f t="shared" si="31"/>
        <v>February</v>
      </c>
    </row>
    <row r="246" spans="1:21" ht="17.399999999999999" x14ac:dyDescent="0.3">
      <c r="A246" s="21" t="s">
        <v>2748</v>
      </c>
      <c r="B246" s="22" t="s">
        <v>3606</v>
      </c>
      <c r="C246" s="23" t="s">
        <v>3515</v>
      </c>
      <c r="D246" s="22" t="s">
        <v>3545</v>
      </c>
      <c r="E246" s="24">
        <v>44973</v>
      </c>
      <c r="F246" s="24">
        <v>45003</v>
      </c>
      <c r="G246" s="22" t="s">
        <v>24</v>
      </c>
      <c r="H246" s="25">
        <v>57846</v>
      </c>
      <c r="I246" s="25">
        <v>2491</v>
      </c>
      <c r="J246" s="26">
        <v>1515.56</v>
      </c>
      <c r="K246" s="25">
        <v>304</v>
      </c>
      <c r="L246" s="21" t="s">
        <v>17</v>
      </c>
      <c r="M246" s="22" t="s">
        <v>3536</v>
      </c>
      <c r="N246" s="27">
        <f t="shared" si="24"/>
        <v>30</v>
      </c>
      <c r="O246" s="28">
        <f t="shared" si="25"/>
        <v>4.3062614528230125E-2</v>
      </c>
      <c r="P246" s="28">
        <f t="shared" si="26"/>
        <v>0.12203934162986753</v>
      </c>
      <c r="Q246" s="26">
        <f t="shared" si="27"/>
        <v>0.60841429144921721</v>
      </c>
      <c r="R246" s="29">
        <f t="shared" si="28"/>
        <v>4.985394736842105</v>
      </c>
      <c r="S246" s="30">
        <f t="shared" si="29"/>
        <v>2</v>
      </c>
      <c r="T246" s="30">
        <f t="shared" si="30"/>
        <v>2023</v>
      </c>
      <c r="U246" s="29" t="str">
        <f t="shared" si="31"/>
        <v>February</v>
      </c>
    </row>
    <row r="247" spans="1:21" ht="17.399999999999999" x14ac:dyDescent="0.3">
      <c r="A247" s="21" t="s">
        <v>1121</v>
      </c>
      <c r="B247" s="22" t="s">
        <v>3607</v>
      </c>
      <c r="C247" s="23" t="s">
        <v>3519</v>
      </c>
      <c r="D247" s="22" t="s">
        <v>3545</v>
      </c>
      <c r="E247" s="24">
        <v>44973</v>
      </c>
      <c r="F247" s="24">
        <v>45140</v>
      </c>
      <c r="G247" s="22" t="s">
        <v>31</v>
      </c>
      <c r="H247" s="25">
        <v>55098</v>
      </c>
      <c r="I247" s="25">
        <v>2317</v>
      </c>
      <c r="J247" s="26">
        <v>2217.15</v>
      </c>
      <c r="K247" s="25">
        <v>0</v>
      </c>
      <c r="L247" s="21" t="s">
        <v>21</v>
      </c>
      <c r="M247" s="22" t="s">
        <v>31</v>
      </c>
      <c r="N247" s="27">
        <f t="shared" si="24"/>
        <v>167</v>
      </c>
      <c r="O247" s="28">
        <f t="shared" si="25"/>
        <v>4.2052343097753096E-2</v>
      </c>
      <c r="P247" s="28">
        <f t="shared" si="26"/>
        <v>0</v>
      </c>
      <c r="Q247" s="26">
        <f t="shared" si="27"/>
        <v>0.95690548122572294</v>
      </c>
      <c r="R247" s="29" t="str">
        <f t="shared" si="28"/>
        <v>0</v>
      </c>
      <c r="S247" s="30">
        <f t="shared" si="29"/>
        <v>2</v>
      </c>
      <c r="T247" s="30">
        <f t="shared" si="30"/>
        <v>2023</v>
      </c>
      <c r="U247" s="29" t="str">
        <f t="shared" si="31"/>
        <v>February</v>
      </c>
    </row>
    <row r="248" spans="1:21" ht="17.399999999999999" x14ac:dyDescent="0.3">
      <c r="A248" s="21" t="s">
        <v>2054</v>
      </c>
      <c r="B248" s="21" t="s">
        <v>2055</v>
      </c>
      <c r="C248" s="23" t="s">
        <v>3519</v>
      </c>
      <c r="D248" s="21" t="s">
        <v>3521</v>
      </c>
      <c r="E248" s="24">
        <v>44974</v>
      </c>
      <c r="F248" s="24">
        <v>44992</v>
      </c>
      <c r="G248" s="22" t="s">
        <v>24</v>
      </c>
      <c r="H248" s="25">
        <v>56180</v>
      </c>
      <c r="I248" s="25">
        <v>1667</v>
      </c>
      <c r="J248" s="26">
        <v>2016.31</v>
      </c>
      <c r="K248" s="25">
        <v>292</v>
      </c>
      <c r="L248" s="21" t="s">
        <v>21</v>
      </c>
      <c r="M248" s="22" t="s">
        <v>3536</v>
      </c>
      <c r="N248" s="27">
        <f t="shared" si="24"/>
        <v>18</v>
      </c>
      <c r="O248" s="28">
        <f t="shared" si="25"/>
        <v>2.9672481310074758E-2</v>
      </c>
      <c r="P248" s="28">
        <f t="shared" si="26"/>
        <v>0.17516496700659867</v>
      </c>
      <c r="Q248" s="26">
        <f t="shared" si="27"/>
        <v>1.2095440911817636</v>
      </c>
      <c r="R248" s="29">
        <f t="shared" si="28"/>
        <v>6.9051712328767119</v>
      </c>
      <c r="S248" s="30">
        <f t="shared" si="29"/>
        <v>2</v>
      </c>
      <c r="T248" s="30">
        <f t="shared" si="30"/>
        <v>2023</v>
      </c>
      <c r="U248" s="29" t="str">
        <f t="shared" si="31"/>
        <v>February</v>
      </c>
    </row>
    <row r="249" spans="1:21" ht="17.399999999999999" x14ac:dyDescent="0.3">
      <c r="A249" s="21" t="s">
        <v>204</v>
      </c>
      <c r="B249" s="22" t="s">
        <v>3608</v>
      </c>
      <c r="C249" s="23" t="s">
        <v>3515</v>
      </c>
      <c r="D249" s="22" t="s">
        <v>3545</v>
      </c>
      <c r="E249" s="24">
        <v>44974</v>
      </c>
      <c r="F249" s="24">
        <v>44997</v>
      </c>
      <c r="G249" s="22" t="s">
        <v>16</v>
      </c>
      <c r="H249" s="25">
        <v>13666</v>
      </c>
      <c r="I249" s="25">
        <v>537</v>
      </c>
      <c r="J249" s="26">
        <v>573.89</v>
      </c>
      <c r="K249" s="25">
        <v>92</v>
      </c>
      <c r="L249" s="21" t="s">
        <v>17</v>
      </c>
      <c r="M249" s="22" t="s">
        <v>16</v>
      </c>
      <c r="N249" s="27">
        <f t="shared" si="24"/>
        <v>23</v>
      </c>
      <c r="O249" s="28">
        <f t="shared" si="25"/>
        <v>3.9294599736572518E-2</v>
      </c>
      <c r="P249" s="28">
        <f t="shared" si="26"/>
        <v>0.17132216014897581</v>
      </c>
      <c r="Q249" s="26">
        <f t="shared" si="27"/>
        <v>1.0686964618249535</v>
      </c>
      <c r="R249" s="29">
        <f t="shared" si="28"/>
        <v>6.2379347826086953</v>
      </c>
      <c r="S249" s="30">
        <f t="shared" si="29"/>
        <v>2</v>
      </c>
      <c r="T249" s="30">
        <f t="shared" si="30"/>
        <v>2023</v>
      </c>
      <c r="U249" s="29" t="str">
        <f t="shared" si="31"/>
        <v>February</v>
      </c>
    </row>
    <row r="250" spans="1:21" ht="17.399999999999999" x14ac:dyDescent="0.3">
      <c r="A250" s="21" t="s">
        <v>1726</v>
      </c>
      <c r="B250" s="21" t="s">
        <v>1727</v>
      </c>
      <c r="C250" s="23" t="s">
        <v>3515</v>
      </c>
      <c r="D250" s="21" t="s">
        <v>3520</v>
      </c>
      <c r="E250" s="24">
        <v>44974</v>
      </c>
      <c r="F250" s="24">
        <v>44980</v>
      </c>
      <c r="G250" s="22" t="s">
        <v>31</v>
      </c>
      <c r="H250" s="25">
        <v>57793</v>
      </c>
      <c r="I250" s="25">
        <v>1236</v>
      </c>
      <c r="J250" s="26">
        <v>1306.8499999999999</v>
      </c>
      <c r="K250" s="25">
        <v>130</v>
      </c>
      <c r="L250" s="21" t="s">
        <v>21</v>
      </c>
      <c r="M250" s="22" t="s">
        <v>31</v>
      </c>
      <c r="N250" s="27">
        <f t="shared" si="24"/>
        <v>6</v>
      </c>
      <c r="O250" s="28">
        <f t="shared" si="25"/>
        <v>2.1386673126503209E-2</v>
      </c>
      <c r="P250" s="28">
        <f t="shared" si="26"/>
        <v>0.10517799352750809</v>
      </c>
      <c r="Q250" s="26">
        <f t="shared" si="27"/>
        <v>1.0573220064724917</v>
      </c>
      <c r="R250" s="29">
        <f t="shared" si="28"/>
        <v>10.052692307692308</v>
      </c>
      <c r="S250" s="30">
        <f t="shared" si="29"/>
        <v>2</v>
      </c>
      <c r="T250" s="30">
        <f t="shared" si="30"/>
        <v>2023</v>
      </c>
      <c r="U250" s="29" t="str">
        <f t="shared" si="31"/>
        <v>February</v>
      </c>
    </row>
    <row r="251" spans="1:21" ht="17.399999999999999" x14ac:dyDescent="0.3">
      <c r="A251" s="21" t="s">
        <v>1536</v>
      </c>
      <c r="B251" s="22" t="s">
        <v>3609</v>
      </c>
      <c r="C251" s="23" t="s">
        <v>3516</v>
      </c>
      <c r="D251" s="22" t="s">
        <v>3545</v>
      </c>
      <c r="E251" s="24">
        <v>44974</v>
      </c>
      <c r="F251" s="24">
        <v>44979</v>
      </c>
      <c r="G251" s="22" t="s">
        <v>24</v>
      </c>
      <c r="H251" s="25">
        <v>7941</v>
      </c>
      <c r="I251" s="25">
        <v>364</v>
      </c>
      <c r="J251" s="26">
        <v>322.18</v>
      </c>
      <c r="K251" s="25">
        <v>23</v>
      </c>
      <c r="L251" s="21" t="s">
        <v>17</v>
      </c>
      <c r="M251" s="22" t="s">
        <v>3536</v>
      </c>
      <c r="N251" s="27">
        <f t="shared" si="24"/>
        <v>5</v>
      </c>
      <c r="O251" s="28">
        <f t="shared" si="25"/>
        <v>4.583805566049616E-2</v>
      </c>
      <c r="P251" s="28">
        <f t="shared" si="26"/>
        <v>6.3186813186813184E-2</v>
      </c>
      <c r="Q251" s="26">
        <f t="shared" si="27"/>
        <v>0.88510989010989016</v>
      </c>
      <c r="R251" s="29">
        <f t="shared" si="28"/>
        <v>14.007826086956522</v>
      </c>
      <c r="S251" s="30">
        <f t="shared" si="29"/>
        <v>2</v>
      </c>
      <c r="T251" s="30">
        <f t="shared" si="30"/>
        <v>2023</v>
      </c>
      <c r="U251" s="29" t="str">
        <f t="shared" si="31"/>
        <v>February</v>
      </c>
    </row>
    <row r="252" spans="1:21" ht="17.399999999999999" x14ac:dyDescent="0.3">
      <c r="A252" s="21" t="s">
        <v>1707</v>
      </c>
      <c r="B252" s="22" t="s">
        <v>3610</v>
      </c>
      <c r="C252" s="23" t="s">
        <v>3519</v>
      </c>
      <c r="D252" s="22" t="s">
        <v>3545</v>
      </c>
      <c r="E252" s="24">
        <v>44975</v>
      </c>
      <c r="F252" s="24">
        <v>44994</v>
      </c>
      <c r="G252" s="22" t="s">
        <v>24</v>
      </c>
      <c r="H252" s="25">
        <v>35674</v>
      </c>
      <c r="I252" s="25">
        <v>1031</v>
      </c>
      <c r="J252" s="26">
        <v>695.63</v>
      </c>
      <c r="K252" s="25">
        <v>134</v>
      </c>
      <c r="L252" s="21" t="s">
        <v>17</v>
      </c>
      <c r="M252" s="22" t="s">
        <v>3536</v>
      </c>
      <c r="N252" s="27">
        <f t="shared" si="24"/>
        <v>19</v>
      </c>
      <c r="O252" s="28">
        <f t="shared" si="25"/>
        <v>2.8900599876660875E-2</v>
      </c>
      <c r="P252" s="28">
        <f t="shared" si="26"/>
        <v>0.12997090203685743</v>
      </c>
      <c r="Q252" s="26">
        <f t="shared" si="27"/>
        <v>0.674713870029098</v>
      </c>
      <c r="R252" s="29">
        <f t="shared" si="28"/>
        <v>5.1912686567164181</v>
      </c>
      <c r="S252" s="30">
        <f t="shared" si="29"/>
        <v>2</v>
      </c>
      <c r="T252" s="30">
        <f t="shared" si="30"/>
        <v>2023</v>
      </c>
      <c r="U252" s="29" t="str">
        <f t="shared" si="31"/>
        <v>February</v>
      </c>
    </row>
    <row r="253" spans="1:21" ht="17.399999999999999" x14ac:dyDescent="0.3">
      <c r="A253" s="21" t="s">
        <v>2989</v>
      </c>
      <c r="B253" s="21" t="s">
        <v>2990</v>
      </c>
      <c r="C253" s="23" t="s">
        <v>3519</v>
      </c>
      <c r="D253" s="21" t="s">
        <v>3517</v>
      </c>
      <c r="E253" s="24">
        <v>44975</v>
      </c>
      <c r="F253" s="24">
        <v>44992</v>
      </c>
      <c r="G253" s="22" t="s">
        <v>24</v>
      </c>
      <c r="H253" s="25">
        <v>22754</v>
      </c>
      <c r="I253" s="25">
        <v>1121</v>
      </c>
      <c r="J253" s="26">
        <v>1455.43</v>
      </c>
      <c r="K253" s="25">
        <v>179</v>
      </c>
      <c r="L253" s="21" t="s">
        <v>17</v>
      </c>
      <c r="M253" s="22" t="s">
        <v>3536</v>
      </c>
      <c r="N253" s="27">
        <f t="shared" si="24"/>
        <v>17</v>
      </c>
      <c r="O253" s="28">
        <f t="shared" si="25"/>
        <v>4.9266063109782897E-2</v>
      </c>
      <c r="P253" s="28">
        <f t="shared" si="26"/>
        <v>0.15967885816235505</v>
      </c>
      <c r="Q253" s="26">
        <f t="shared" si="27"/>
        <v>1.2983318465655664</v>
      </c>
      <c r="R253" s="29">
        <f t="shared" si="28"/>
        <v>8.1308938547486029</v>
      </c>
      <c r="S253" s="30">
        <f t="shared" si="29"/>
        <v>2</v>
      </c>
      <c r="T253" s="30">
        <f t="shared" si="30"/>
        <v>2023</v>
      </c>
      <c r="U253" s="29" t="str">
        <f t="shared" si="31"/>
        <v>February</v>
      </c>
    </row>
    <row r="254" spans="1:21" ht="17.399999999999999" x14ac:dyDescent="0.3">
      <c r="A254" s="21" t="s">
        <v>2906</v>
      </c>
      <c r="B254" s="22" t="s">
        <v>3611</v>
      </c>
      <c r="C254" s="23" t="s">
        <v>3518</v>
      </c>
      <c r="D254" s="22" t="s">
        <v>3545</v>
      </c>
      <c r="E254" s="24">
        <v>44975</v>
      </c>
      <c r="F254" s="24">
        <v>44988</v>
      </c>
      <c r="G254" s="22" t="s">
        <v>16</v>
      </c>
      <c r="H254" s="25">
        <v>82412</v>
      </c>
      <c r="I254" s="25">
        <v>3453</v>
      </c>
      <c r="J254" s="26">
        <v>3947.28</v>
      </c>
      <c r="K254" s="25">
        <v>355</v>
      </c>
      <c r="L254" s="21" t="s">
        <v>17</v>
      </c>
      <c r="M254" s="22" t="s">
        <v>16</v>
      </c>
      <c r="N254" s="27">
        <f t="shared" si="24"/>
        <v>13</v>
      </c>
      <c r="O254" s="28">
        <f t="shared" si="25"/>
        <v>4.1899237975052177E-2</v>
      </c>
      <c r="P254" s="28">
        <f t="shared" si="26"/>
        <v>0.10280915146249638</v>
      </c>
      <c r="Q254" s="26">
        <f t="shared" si="27"/>
        <v>1.1431450912250218</v>
      </c>
      <c r="R254" s="29">
        <f t="shared" si="28"/>
        <v>11.119098591549296</v>
      </c>
      <c r="S254" s="30">
        <f t="shared" si="29"/>
        <v>2</v>
      </c>
      <c r="T254" s="30">
        <f t="shared" si="30"/>
        <v>2023</v>
      </c>
      <c r="U254" s="29" t="str">
        <f t="shared" si="31"/>
        <v>February</v>
      </c>
    </row>
    <row r="255" spans="1:21" ht="17.399999999999999" x14ac:dyDescent="0.3">
      <c r="A255" s="21" t="s">
        <v>1489</v>
      </c>
      <c r="B255" s="21" t="s">
        <v>1490</v>
      </c>
      <c r="C255" s="23" t="s">
        <v>3515</v>
      </c>
      <c r="D255" s="21" t="s">
        <v>3517</v>
      </c>
      <c r="E255" s="24">
        <v>44975</v>
      </c>
      <c r="F255" s="24">
        <v>44976</v>
      </c>
      <c r="G255" s="22" t="s">
        <v>24</v>
      </c>
      <c r="H255" s="25">
        <v>95074</v>
      </c>
      <c r="I255" s="25">
        <v>3757</v>
      </c>
      <c r="J255" s="26">
        <v>4042.77</v>
      </c>
      <c r="K255" s="25">
        <v>599</v>
      </c>
      <c r="L255" s="21" t="s">
        <v>17</v>
      </c>
      <c r="M255" s="22" t="s">
        <v>3536</v>
      </c>
      <c r="N255" s="27">
        <f t="shared" si="24"/>
        <v>1</v>
      </c>
      <c r="O255" s="28">
        <f t="shared" si="25"/>
        <v>3.9516587079538042E-2</v>
      </c>
      <c r="P255" s="28">
        <f t="shared" si="26"/>
        <v>0.15943571998935321</v>
      </c>
      <c r="Q255" s="26">
        <f t="shared" si="27"/>
        <v>1.0760633484162896</v>
      </c>
      <c r="R255" s="29">
        <f t="shared" si="28"/>
        <v>6.7491986644407342</v>
      </c>
      <c r="S255" s="30">
        <f t="shared" si="29"/>
        <v>2</v>
      </c>
      <c r="T255" s="30">
        <f t="shared" si="30"/>
        <v>2023</v>
      </c>
      <c r="U255" s="29" t="str">
        <f t="shared" si="31"/>
        <v>February</v>
      </c>
    </row>
    <row r="256" spans="1:21" ht="17.399999999999999" x14ac:dyDescent="0.3">
      <c r="A256" s="21" t="s">
        <v>132</v>
      </c>
      <c r="B256" s="22" t="s">
        <v>3612</v>
      </c>
      <c r="C256" s="23" t="s">
        <v>3519</v>
      </c>
      <c r="D256" s="22" t="s">
        <v>3545</v>
      </c>
      <c r="E256" s="24">
        <v>44976</v>
      </c>
      <c r="F256" s="24">
        <v>45002</v>
      </c>
      <c r="G256" s="22" t="s">
        <v>16</v>
      </c>
      <c r="H256" s="25">
        <v>46758</v>
      </c>
      <c r="I256" s="25">
        <v>1308</v>
      </c>
      <c r="J256" s="26">
        <v>839.07</v>
      </c>
      <c r="K256" s="25">
        <v>91</v>
      </c>
      <c r="L256" s="21" t="s">
        <v>21</v>
      </c>
      <c r="M256" s="22" t="s">
        <v>16</v>
      </c>
      <c r="N256" s="27">
        <f t="shared" si="24"/>
        <v>26</v>
      </c>
      <c r="O256" s="28">
        <f t="shared" si="25"/>
        <v>2.7973822661362762E-2</v>
      </c>
      <c r="P256" s="28">
        <f t="shared" si="26"/>
        <v>6.9571865443425071E-2</v>
      </c>
      <c r="Q256" s="26">
        <f t="shared" si="27"/>
        <v>0.64149082568807347</v>
      </c>
      <c r="R256" s="29">
        <f t="shared" si="28"/>
        <v>9.2205494505494503</v>
      </c>
      <c r="S256" s="30">
        <f t="shared" si="29"/>
        <v>2</v>
      </c>
      <c r="T256" s="30">
        <f t="shared" si="30"/>
        <v>2023</v>
      </c>
      <c r="U256" s="29" t="str">
        <f t="shared" si="31"/>
        <v>February</v>
      </c>
    </row>
    <row r="257" spans="1:21" ht="17.399999999999999" x14ac:dyDescent="0.3">
      <c r="A257" s="21" t="s">
        <v>1170</v>
      </c>
      <c r="B257" s="21" t="s">
        <v>1171</v>
      </c>
      <c r="C257" s="23" t="s">
        <v>3519</v>
      </c>
      <c r="D257" s="21" t="s">
        <v>3517</v>
      </c>
      <c r="E257" s="24">
        <v>44976</v>
      </c>
      <c r="F257" s="24">
        <v>44982</v>
      </c>
      <c r="G257" s="22" t="s">
        <v>31</v>
      </c>
      <c r="H257" s="25">
        <v>83873</v>
      </c>
      <c r="I257" s="25">
        <v>2452</v>
      </c>
      <c r="J257" s="26">
        <v>1826.75</v>
      </c>
      <c r="K257" s="25">
        <v>269</v>
      </c>
      <c r="L257" s="21" t="s">
        <v>17</v>
      </c>
      <c r="M257" s="22" t="s">
        <v>31</v>
      </c>
      <c r="N257" s="27">
        <f t="shared" si="24"/>
        <v>6</v>
      </c>
      <c r="O257" s="28">
        <f t="shared" si="25"/>
        <v>2.9234676236691189E-2</v>
      </c>
      <c r="P257" s="28">
        <f t="shared" si="26"/>
        <v>0.10970636215334421</v>
      </c>
      <c r="Q257" s="26">
        <f t="shared" si="27"/>
        <v>0.74500407830342574</v>
      </c>
      <c r="R257" s="29">
        <f t="shared" si="28"/>
        <v>6.79089219330855</v>
      </c>
      <c r="S257" s="30">
        <f t="shared" si="29"/>
        <v>2</v>
      </c>
      <c r="T257" s="30">
        <f t="shared" si="30"/>
        <v>2023</v>
      </c>
      <c r="U257" s="29" t="str">
        <f t="shared" si="31"/>
        <v>February</v>
      </c>
    </row>
    <row r="258" spans="1:21" ht="17.399999999999999" x14ac:dyDescent="0.3">
      <c r="A258" s="21" t="s">
        <v>3071</v>
      </c>
      <c r="B258" s="21" t="s">
        <v>3072</v>
      </c>
      <c r="C258" s="23" t="s">
        <v>3519</v>
      </c>
      <c r="D258" s="21" t="s">
        <v>3520</v>
      </c>
      <c r="E258" s="24">
        <v>44976</v>
      </c>
      <c r="F258" s="24">
        <v>44991</v>
      </c>
      <c r="G258" s="22" t="s">
        <v>14</v>
      </c>
      <c r="H258" s="25">
        <v>78236</v>
      </c>
      <c r="I258" s="25">
        <v>1563</v>
      </c>
      <c r="J258" s="26">
        <v>2358.7800000000002</v>
      </c>
      <c r="K258" s="25">
        <v>130</v>
      </c>
      <c r="L258" s="21" t="s">
        <v>17</v>
      </c>
      <c r="M258" s="22" t="s">
        <v>3537</v>
      </c>
      <c r="N258" s="27">
        <f t="shared" ref="N258:N321" si="32">F258-E258</f>
        <v>15</v>
      </c>
      <c r="O258" s="28">
        <f t="shared" ref="O258:O321" si="33">I258/H258</f>
        <v>1.9978015235952759E-2</v>
      </c>
      <c r="P258" s="28">
        <f t="shared" ref="P258:P321" si="34">K258/I258</f>
        <v>8.3173384516954579E-2</v>
      </c>
      <c r="Q258" s="26">
        <f t="shared" ref="Q258:Q321" si="35">J258/I258</f>
        <v>1.5091362763915548</v>
      </c>
      <c r="R258" s="29">
        <f t="shared" ref="R258:R321" si="36">IFERROR(J258/K258,"0")</f>
        <v>18.144461538461542</v>
      </c>
      <c r="S258" s="30">
        <f t="shared" ref="S258:S321" si="37">MONTH(E258)</f>
        <v>2</v>
      </c>
      <c r="T258" s="30">
        <f t="shared" ref="T258:T321" si="38">YEAR(E258)</f>
        <v>2023</v>
      </c>
      <c r="U258" s="29" t="str">
        <f t="shared" ref="U258:U321" si="39">TEXT(E258,"mmmm")</f>
        <v>February</v>
      </c>
    </row>
    <row r="259" spans="1:21" ht="17.399999999999999" x14ac:dyDescent="0.3">
      <c r="A259" s="21" t="s">
        <v>2529</v>
      </c>
      <c r="B259" s="21" t="s">
        <v>2530</v>
      </c>
      <c r="C259" s="23" t="s">
        <v>3518</v>
      </c>
      <c r="D259" s="21" t="s">
        <v>3517</v>
      </c>
      <c r="E259" s="24">
        <v>44976</v>
      </c>
      <c r="F259" s="24">
        <v>44986</v>
      </c>
      <c r="G259" s="22" t="s">
        <v>31</v>
      </c>
      <c r="H259" s="25">
        <v>22172</v>
      </c>
      <c r="I259" s="25">
        <v>833</v>
      </c>
      <c r="J259" s="26">
        <v>1426.18</v>
      </c>
      <c r="K259" s="25">
        <v>0</v>
      </c>
      <c r="L259" s="21" t="s">
        <v>21</v>
      </c>
      <c r="M259" s="22" t="s">
        <v>31</v>
      </c>
      <c r="N259" s="27">
        <f t="shared" si="32"/>
        <v>10</v>
      </c>
      <c r="O259" s="28">
        <f t="shared" si="33"/>
        <v>3.7569907992062057E-2</v>
      </c>
      <c r="P259" s="28">
        <f t="shared" si="34"/>
        <v>0</v>
      </c>
      <c r="Q259" s="26">
        <f t="shared" si="35"/>
        <v>1.7121008403361346</v>
      </c>
      <c r="R259" s="29" t="str">
        <f t="shared" si="36"/>
        <v>0</v>
      </c>
      <c r="S259" s="30">
        <f t="shared" si="37"/>
        <v>2</v>
      </c>
      <c r="T259" s="30">
        <f t="shared" si="38"/>
        <v>2023</v>
      </c>
      <c r="U259" s="29" t="str">
        <f t="shared" si="39"/>
        <v>February</v>
      </c>
    </row>
    <row r="260" spans="1:21" ht="17.399999999999999" x14ac:dyDescent="0.3">
      <c r="A260" s="21" t="s">
        <v>3503</v>
      </c>
      <c r="B260" s="22" t="s">
        <v>3613</v>
      </c>
      <c r="C260" s="23" t="s">
        <v>3518</v>
      </c>
      <c r="D260" s="22" t="s">
        <v>3545</v>
      </c>
      <c r="E260" s="24">
        <v>44976</v>
      </c>
      <c r="F260" s="24">
        <v>44989</v>
      </c>
      <c r="G260" s="22" t="s">
        <v>11</v>
      </c>
      <c r="H260" s="25">
        <v>71326</v>
      </c>
      <c r="I260" s="25">
        <v>2877</v>
      </c>
      <c r="J260" s="26">
        <v>4588.82</v>
      </c>
      <c r="K260" s="25">
        <v>245</v>
      </c>
      <c r="L260" s="21" t="s">
        <v>21</v>
      </c>
      <c r="M260" s="22" t="s">
        <v>11</v>
      </c>
      <c r="N260" s="27">
        <f t="shared" si="32"/>
        <v>13</v>
      </c>
      <c r="O260" s="28">
        <f t="shared" si="33"/>
        <v>4.0335922384544205E-2</v>
      </c>
      <c r="P260" s="28">
        <f t="shared" si="34"/>
        <v>8.5158150851581502E-2</v>
      </c>
      <c r="Q260" s="26">
        <f t="shared" si="35"/>
        <v>1.5950017379214458</v>
      </c>
      <c r="R260" s="29">
        <f t="shared" si="36"/>
        <v>18.729877551020408</v>
      </c>
      <c r="S260" s="30">
        <f t="shared" si="37"/>
        <v>2</v>
      </c>
      <c r="T260" s="30">
        <f t="shared" si="38"/>
        <v>2023</v>
      </c>
      <c r="U260" s="29" t="str">
        <f t="shared" si="39"/>
        <v>February</v>
      </c>
    </row>
    <row r="261" spans="1:21" ht="17.399999999999999" x14ac:dyDescent="0.3">
      <c r="A261" s="21" t="s">
        <v>756</v>
      </c>
      <c r="B261" s="21" t="s">
        <v>757</v>
      </c>
      <c r="C261" s="23" t="s">
        <v>3516</v>
      </c>
      <c r="D261" s="21" t="s">
        <v>3520</v>
      </c>
      <c r="E261" s="24">
        <v>44976</v>
      </c>
      <c r="F261" s="24">
        <v>44997</v>
      </c>
      <c r="G261" s="22" t="s">
        <v>11</v>
      </c>
      <c r="H261" s="25">
        <v>53921</v>
      </c>
      <c r="I261" s="25">
        <v>1794</v>
      </c>
      <c r="J261" s="26">
        <v>2826.77</v>
      </c>
      <c r="K261" s="25">
        <v>274</v>
      </c>
      <c r="L261" s="21" t="s">
        <v>21</v>
      </c>
      <c r="M261" s="22" t="s">
        <v>11</v>
      </c>
      <c r="N261" s="27">
        <f t="shared" si="32"/>
        <v>21</v>
      </c>
      <c r="O261" s="28">
        <f t="shared" si="33"/>
        <v>3.3270896311270191E-2</v>
      </c>
      <c r="P261" s="28">
        <f t="shared" si="34"/>
        <v>0.15273132664437011</v>
      </c>
      <c r="Q261" s="26">
        <f t="shared" si="35"/>
        <v>1.5756800445930881</v>
      </c>
      <c r="R261" s="29">
        <f t="shared" si="36"/>
        <v>10.316678832116787</v>
      </c>
      <c r="S261" s="30">
        <f t="shared" si="37"/>
        <v>2</v>
      </c>
      <c r="T261" s="30">
        <f t="shared" si="38"/>
        <v>2023</v>
      </c>
      <c r="U261" s="29" t="str">
        <f t="shared" si="39"/>
        <v>February</v>
      </c>
    </row>
    <row r="262" spans="1:21" ht="17.399999999999999" x14ac:dyDescent="0.3">
      <c r="A262" s="21" t="s">
        <v>1140</v>
      </c>
      <c r="B262" s="21" t="s">
        <v>1141</v>
      </c>
      <c r="C262" s="23" t="s">
        <v>3516</v>
      </c>
      <c r="D262" s="21" t="s">
        <v>3517</v>
      </c>
      <c r="E262" s="24">
        <v>44976</v>
      </c>
      <c r="F262" s="24">
        <v>45003</v>
      </c>
      <c r="G262" s="22" t="s">
        <v>3535</v>
      </c>
      <c r="H262" s="25">
        <v>28192</v>
      </c>
      <c r="I262" s="25">
        <v>1116</v>
      </c>
      <c r="J262" s="26">
        <v>2142.87</v>
      </c>
      <c r="K262" s="25">
        <v>62</v>
      </c>
      <c r="L262" s="21" t="s">
        <v>21</v>
      </c>
      <c r="M262" s="22" t="s">
        <v>3535</v>
      </c>
      <c r="N262" s="27">
        <f t="shared" si="32"/>
        <v>27</v>
      </c>
      <c r="O262" s="28">
        <f t="shared" si="33"/>
        <v>3.9585698070374577E-2</v>
      </c>
      <c r="P262" s="28">
        <f t="shared" si="34"/>
        <v>5.5555555555555552E-2</v>
      </c>
      <c r="Q262" s="26">
        <f t="shared" si="35"/>
        <v>1.9201344086021503</v>
      </c>
      <c r="R262" s="29">
        <f t="shared" si="36"/>
        <v>34.56241935483871</v>
      </c>
      <c r="S262" s="30">
        <f t="shared" si="37"/>
        <v>2</v>
      </c>
      <c r="T262" s="30">
        <f t="shared" si="38"/>
        <v>2023</v>
      </c>
      <c r="U262" s="29" t="str">
        <f t="shared" si="39"/>
        <v>February</v>
      </c>
    </row>
    <row r="263" spans="1:21" ht="17.399999999999999" x14ac:dyDescent="0.3">
      <c r="A263" s="21" t="s">
        <v>1617</v>
      </c>
      <c r="B263" s="22" t="s">
        <v>3614</v>
      </c>
      <c r="C263" s="23" t="s">
        <v>3516</v>
      </c>
      <c r="D263" s="22" t="s">
        <v>3545</v>
      </c>
      <c r="E263" s="24">
        <v>44976</v>
      </c>
      <c r="F263" s="24">
        <v>44999</v>
      </c>
      <c r="G263" s="22" t="s">
        <v>16</v>
      </c>
      <c r="H263" s="25">
        <v>24954</v>
      </c>
      <c r="I263" s="25">
        <v>589</v>
      </c>
      <c r="J263" s="26">
        <v>1110.95</v>
      </c>
      <c r="K263" s="25">
        <v>43</v>
      </c>
      <c r="L263" s="21" t="s">
        <v>21</v>
      </c>
      <c r="M263" s="22" t="s">
        <v>16</v>
      </c>
      <c r="N263" s="27">
        <f t="shared" si="32"/>
        <v>23</v>
      </c>
      <c r="O263" s="28">
        <f t="shared" si="33"/>
        <v>2.3603430311773664E-2</v>
      </c>
      <c r="P263" s="28">
        <f t="shared" si="34"/>
        <v>7.3005093378607805E-2</v>
      </c>
      <c r="Q263" s="26">
        <f t="shared" si="35"/>
        <v>1.88616298811545</v>
      </c>
      <c r="R263" s="29">
        <f t="shared" si="36"/>
        <v>25.836046511627909</v>
      </c>
      <c r="S263" s="30">
        <f t="shared" si="37"/>
        <v>2</v>
      </c>
      <c r="T263" s="30">
        <f t="shared" si="38"/>
        <v>2023</v>
      </c>
      <c r="U263" s="29" t="str">
        <f t="shared" si="39"/>
        <v>February</v>
      </c>
    </row>
    <row r="264" spans="1:21" ht="17.399999999999999" x14ac:dyDescent="0.3">
      <c r="A264" s="21" t="s">
        <v>2076</v>
      </c>
      <c r="B264" s="21" t="s">
        <v>2077</v>
      </c>
      <c r="C264" s="23" t="s">
        <v>3516</v>
      </c>
      <c r="D264" s="21" t="s">
        <v>3520</v>
      </c>
      <c r="E264" s="24">
        <v>44976</v>
      </c>
      <c r="F264" s="24">
        <v>44985</v>
      </c>
      <c r="G264" s="22" t="s">
        <v>11</v>
      </c>
      <c r="H264" s="25">
        <v>21609</v>
      </c>
      <c r="I264" s="25">
        <v>599</v>
      </c>
      <c r="J264" s="26">
        <v>354.24</v>
      </c>
      <c r="K264" s="25">
        <v>116</v>
      </c>
      <c r="L264" s="21" t="s">
        <v>21</v>
      </c>
      <c r="M264" s="22" t="s">
        <v>11</v>
      </c>
      <c r="N264" s="27">
        <f t="shared" si="32"/>
        <v>9</v>
      </c>
      <c r="O264" s="28">
        <f t="shared" si="33"/>
        <v>2.7719931510018975E-2</v>
      </c>
      <c r="P264" s="28">
        <f t="shared" si="34"/>
        <v>0.19365609348914858</v>
      </c>
      <c r="Q264" s="26">
        <f t="shared" si="35"/>
        <v>0.59138564273789651</v>
      </c>
      <c r="R264" s="29">
        <f t="shared" si="36"/>
        <v>3.0537931034482759</v>
      </c>
      <c r="S264" s="30">
        <f t="shared" si="37"/>
        <v>2</v>
      </c>
      <c r="T264" s="30">
        <f t="shared" si="38"/>
        <v>2023</v>
      </c>
      <c r="U264" s="29" t="str">
        <f t="shared" si="39"/>
        <v>February</v>
      </c>
    </row>
    <row r="265" spans="1:21" ht="17.399999999999999" x14ac:dyDescent="0.3">
      <c r="A265" s="21" t="s">
        <v>2703</v>
      </c>
      <c r="B265" s="21" t="s">
        <v>2704</v>
      </c>
      <c r="C265" s="23" t="s">
        <v>3516</v>
      </c>
      <c r="D265" s="21" t="s">
        <v>3517</v>
      </c>
      <c r="E265" s="24">
        <v>44976</v>
      </c>
      <c r="F265" s="24">
        <v>44990</v>
      </c>
      <c r="G265" s="22" t="s">
        <v>14</v>
      </c>
      <c r="H265" s="25">
        <v>74543</v>
      </c>
      <c r="I265" s="25">
        <v>1187</v>
      </c>
      <c r="J265" s="26">
        <v>2064.09</v>
      </c>
      <c r="K265" s="25">
        <v>125</v>
      </c>
      <c r="L265" s="21" t="s">
        <v>21</v>
      </c>
      <c r="M265" s="22" t="s">
        <v>3537</v>
      </c>
      <c r="N265" s="27">
        <f t="shared" si="32"/>
        <v>14</v>
      </c>
      <c r="O265" s="28">
        <f t="shared" si="33"/>
        <v>1.5923695048495501E-2</v>
      </c>
      <c r="P265" s="28">
        <f t="shared" si="34"/>
        <v>0.10530749789385004</v>
      </c>
      <c r="Q265" s="26">
        <f t="shared" si="35"/>
        <v>1.7389132266217355</v>
      </c>
      <c r="R265" s="29">
        <f t="shared" si="36"/>
        <v>16.512720000000002</v>
      </c>
      <c r="S265" s="30">
        <f t="shared" si="37"/>
        <v>2</v>
      </c>
      <c r="T265" s="30">
        <f t="shared" si="38"/>
        <v>2023</v>
      </c>
      <c r="U265" s="29" t="str">
        <f t="shared" si="39"/>
        <v>February</v>
      </c>
    </row>
    <row r="266" spans="1:21" ht="17.399999999999999" x14ac:dyDescent="0.3">
      <c r="A266" s="21" t="s">
        <v>35</v>
      </c>
      <c r="B266" s="21" t="s">
        <v>36</v>
      </c>
      <c r="C266" s="23" t="s">
        <v>3515</v>
      </c>
      <c r="D266" s="21" t="s">
        <v>3520</v>
      </c>
      <c r="E266" s="24">
        <v>44976</v>
      </c>
      <c r="F266" s="24">
        <v>44977</v>
      </c>
      <c r="G266" s="22" t="s">
        <v>31</v>
      </c>
      <c r="H266" s="25">
        <v>42090</v>
      </c>
      <c r="I266" s="25">
        <v>763</v>
      </c>
      <c r="J266" s="26">
        <v>1267.69</v>
      </c>
      <c r="K266" s="25">
        <v>109</v>
      </c>
      <c r="L266" s="21" t="s">
        <v>17</v>
      </c>
      <c r="M266" s="22" t="s">
        <v>31</v>
      </c>
      <c r="N266" s="27">
        <f t="shared" si="32"/>
        <v>1</v>
      </c>
      <c r="O266" s="28">
        <f t="shared" si="33"/>
        <v>1.8127821335234023E-2</v>
      </c>
      <c r="P266" s="28">
        <f t="shared" si="34"/>
        <v>0.14285714285714285</v>
      </c>
      <c r="Q266" s="26">
        <f t="shared" si="35"/>
        <v>1.6614547837483618</v>
      </c>
      <c r="R266" s="29">
        <f t="shared" si="36"/>
        <v>11.630183486238533</v>
      </c>
      <c r="S266" s="30">
        <f t="shared" si="37"/>
        <v>2</v>
      </c>
      <c r="T266" s="30">
        <f t="shared" si="38"/>
        <v>2023</v>
      </c>
      <c r="U266" s="29" t="str">
        <f t="shared" si="39"/>
        <v>February</v>
      </c>
    </row>
    <row r="267" spans="1:21" ht="17.399999999999999" x14ac:dyDescent="0.3">
      <c r="A267" s="21" t="s">
        <v>637</v>
      </c>
      <c r="B267" s="21" t="s">
        <v>638</v>
      </c>
      <c r="C267" s="23" t="s">
        <v>3515</v>
      </c>
      <c r="D267" s="21" t="s">
        <v>3521</v>
      </c>
      <c r="E267" s="24">
        <v>44976</v>
      </c>
      <c r="F267" s="24">
        <v>44997</v>
      </c>
      <c r="G267" s="22" t="s">
        <v>24</v>
      </c>
      <c r="H267" s="25">
        <v>57835</v>
      </c>
      <c r="I267" s="25">
        <v>1095</v>
      </c>
      <c r="J267" s="26">
        <v>638.70000000000005</v>
      </c>
      <c r="K267" s="25">
        <v>90</v>
      </c>
      <c r="L267" s="21" t="s">
        <v>21</v>
      </c>
      <c r="M267" s="22" t="s">
        <v>3536</v>
      </c>
      <c r="N267" s="27">
        <f t="shared" si="32"/>
        <v>21</v>
      </c>
      <c r="O267" s="28">
        <f t="shared" si="33"/>
        <v>1.8933171954698711E-2</v>
      </c>
      <c r="P267" s="28">
        <f t="shared" si="34"/>
        <v>8.2191780821917804E-2</v>
      </c>
      <c r="Q267" s="26">
        <f t="shared" si="35"/>
        <v>0.58328767123287673</v>
      </c>
      <c r="R267" s="29">
        <f t="shared" si="36"/>
        <v>7.0966666666666676</v>
      </c>
      <c r="S267" s="30">
        <f t="shared" si="37"/>
        <v>2</v>
      </c>
      <c r="T267" s="30">
        <f t="shared" si="38"/>
        <v>2023</v>
      </c>
      <c r="U267" s="29" t="str">
        <f t="shared" si="39"/>
        <v>February</v>
      </c>
    </row>
    <row r="268" spans="1:21" ht="17.399999999999999" x14ac:dyDescent="0.3">
      <c r="A268" s="21" t="s">
        <v>675</v>
      </c>
      <c r="B268" s="21" t="s">
        <v>676</v>
      </c>
      <c r="C268" s="23" t="s">
        <v>3515</v>
      </c>
      <c r="D268" s="21" t="s">
        <v>3517</v>
      </c>
      <c r="E268" s="24">
        <v>44976</v>
      </c>
      <c r="F268" s="24">
        <v>44992</v>
      </c>
      <c r="G268" s="22" t="s">
        <v>16</v>
      </c>
      <c r="H268" s="25">
        <v>51336</v>
      </c>
      <c r="I268" s="25">
        <v>1733</v>
      </c>
      <c r="J268" s="26">
        <v>1366.41</v>
      </c>
      <c r="K268" s="25">
        <v>101</v>
      </c>
      <c r="L268" s="21" t="s">
        <v>21</v>
      </c>
      <c r="M268" s="22" t="s">
        <v>16</v>
      </c>
      <c r="N268" s="27">
        <f t="shared" si="32"/>
        <v>16</v>
      </c>
      <c r="O268" s="28">
        <f t="shared" si="33"/>
        <v>3.3757986598098803E-2</v>
      </c>
      <c r="P268" s="28">
        <f t="shared" si="34"/>
        <v>5.8280438545874204E-2</v>
      </c>
      <c r="Q268" s="26">
        <f t="shared" si="35"/>
        <v>0.78846508944027704</v>
      </c>
      <c r="R268" s="29">
        <f t="shared" si="36"/>
        <v>13.528811881188119</v>
      </c>
      <c r="S268" s="30">
        <f t="shared" si="37"/>
        <v>2</v>
      </c>
      <c r="T268" s="30">
        <f t="shared" si="38"/>
        <v>2023</v>
      </c>
      <c r="U268" s="29" t="str">
        <f t="shared" si="39"/>
        <v>February</v>
      </c>
    </row>
    <row r="269" spans="1:21" ht="17.399999999999999" x14ac:dyDescent="0.3">
      <c r="A269" s="21" t="s">
        <v>2226</v>
      </c>
      <c r="B269" s="21" t="s">
        <v>2227</v>
      </c>
      <c r="C269" s="23" t="s">
        <v>3515</v>
      </c>
      <c r="D269" s="21" t="s">
        <v>3520</v>
      </c>
      <c r="E269" s="24">
        <v>44976</v>
      </c>
      <c r="F269" s="24">
        <v>44983</v>
      </c>
      <c r="G269" s="22" t="s">
        <v>14</v>
      </c>
      <c r="H269" s="25">
        <v>28696</v>
      </c>
      <c r="I269" s="25">
        <v>923</v>
      </c>
      <c r="J269" s="26">
        <v>916.39</v>
      </c>
      <c r="K269" s="25">
        <v>93</v>
      </c>
      <c r="L269" s="21" t="s">
        <v>17</v>
      </c>
      <c r="M269" s="22" t="s">
        <v>3537</v>
      </c>
      <c r="N269" s="27">
        <f t="shared" si="32"/>
        <v>7</v>
      </c>
      <c r="O269" s="28">
        <f t="shared" si="33"/>
        <v>3.2164761639252859E-2</v>
      </c>
      <c r="P269" s="28">
        <f t="shared" si="34"/>
        <v>0.10075839653304441</v>
      </c>
      <c r="Q269" s="26">
        <f t="shared" si="35"/>
        <v>0.99283856988082342</v>
      </c>
      <c r="R269" s="29">
        <f t="shared" si="36"/>
        <v>9.8536559139784945</v>
      </c>
      <c r="S269" s="30">
        <f t="shared" si="37"/>
        <v>2</v>
      </c>
      <c r="T269" s="30">
        <f t="shared" si="38"/>
        <v>2023</v>
      </c>
      <c r="U269" s="29" t="str">
        <f t="shared" si="39"/>
        <v>February</v>
      </c>
    </row>
    <row r="270" spans="1:21" ht="17.399999999999999" x14ac:dyDescent="0.3">
      <c r="A270" s="21" t="s">
        <v>463</v>
      </c>
      <c r="B270" s="21" t="s">
        <v>464</v>
      </c>
      <c r="C270" s="23" t="s">
        <v>3518</v>
      </c>
      <c r="D270" s="21" t="s">
        <v>3521</v>
      </c>
      <c r="E270" s="24">
        <v>44977</v>
      </c>
      <c r="F270" s="24">
        <v>44998</v>
      </c>
      <c r="G270" s="22" t="s">
        <v>11</v>
      </c>
      <c r="H270" s="25">
        <v>84763</v>
      </c>
      <c r="I270" s="25">
        <v>1778</v>
      </c>
      <c r="J270" s="26">
        <v>1217.6600000000001</v>
      </c>
      <c r="K270" s="25">
        <v>308</v>
      </c>
      <c r="L270" s="21" t="s">
        <v>21</v>
      </c>
      <c r="M270" s="22" t="s">
        <v>11</v>
      </c>
      <c r="N270" s="27">
        <f t="shared" si="32"/>
        <v>21</v>
      </c>
      <c r="O270" s="28">
        <f t="shared" si="33"/>
        <v>2.0976133454455363E-2</v>
      </c>
      <c r="P270" s="28">
        <f t="shared" si="34"/>
        <v>0.17322834645669291</v>
      </c>
      <c r="Q270" s="26">
        <f t="shared" si="35"/>
        <v>0.68484814398200233</v>
      </c>
      <c r="R270" s="29">
        <f t="shared" si="36"/>
        <v>3.9534415584415585</v>
      </c>
      <c r="S270" s="30">
        <f t="shared" si="37"/>
        <v>2</v>
      </c>
      <c r="T270" s="30">
        <f t="shared" si="38"/>
        <v>2023</v>
      </c>
      <c r="U270" s="29" t="str">
        <f t="shared" si="39"/>
        <v>February</v>
      </c>
    </row>
    <row r="271" spans="1:21" ht="17.399999999999999" x14ac:dyDescent="0.3">
      <c r="A271" s="21" t="s">
        <v>3424</v>
      </c>
      <c r="B271" s="21" t="s">
        <v>3425</v>
      </c>
      <c r="C271" s="23" t="s">
        <v>3518</v>
      </c>
      <c r="D271" s="21" t="s">
        <v>3521</v>
      </c>
      <c r="E271" s="24">
        <v>44977</v>
      </c>
      <c r="F271" s="24">
        <v>44999</v>
      </c>
      <c r="G271" s="22" t="s">
        <v>24</v>
      </c>
      <c r="H271" s="25">
        <v>52047</v>
      </c>
      <c r="I271" s="25">
        <v>2228</v>
      </c>
      <c r="J271" s="26">
        <v>2214.29</v>
      </c>
      <c r="K271" s="25">
        <v>0</v>
      </c>
      <c r="L271" s="21" t="s">
        <v>17</v>
      </c>
      <c r="M271" s="22" t="s">
        <v>3536</v>
      </c>
      <c r="N271" s="27">
        <f t="shared" si="32"/>
        <v>22</v>
      </c>
      <c r="O271" s="28">
        <f t="shared" si="33"/>
        <v>4.2807462485830117E-2</v>
      </c>
      <c r="P271" s="28">
        <f t="shared" si="34"/>
        <v>0</v>
      </c>
      <c r="Q271" s="26">
        <f t="shared" si="35"/>
        <v>0.99384649910233391</v>
      </c>
      <c r="R271" s="29" t="str">
        <f t="shared" si="36"/>
        <v>0</v>
      </c>
      <c r="S271" s="30">
        <f t="shared" si="37"/>
        <v>2</v>
      </c>
      <c r="T271" s="30">
        <f t="shared" si="38"/>
        <v>2023</v>
      </c>
      <c r="U271" s="29" t="str">
        <f t="shared" si="39"/>
        <v>February</v>
      </c>
    </row>
    <row r="272" spans="1:21" ht="17.399999999999999" x14ac:dyDescent="0.3">
      <c r="A272" s="21" t="s">
        <v>146</v>
      </c>
      <c r="B272" s="21" t="s">
        <v>147</v>
      </c>
      <c r="C272" s="23" t="s">
        <v>3516</v>
      </c>
      <c r="D272" s="21" t="s">
        <v>3520</v>
      </c>
      <c r="E272" s="24">
        <v>44977</v>
      </c>
      <c r="F272" s="24">
        <v>44978</v>
      </c>
      <c r="G272" s="22" t="s">
        <v>31</v>
      </c>
      <c r="H272" s="25">
        <v>95663</v>
      </c>
      <c r="I272" s="25">
        <v>2998</v>
      </c>
      <c r="J272" s="26">
        <v>5102.66</v>
      </c>
      <c r="K272" s="25">
        <v>460</v>
      </c>
      <c r="L272" s="21" t="s">
        <v>17</v>
      </c>
      <c r="M272" s="22" t="s">
        <v>31</v>
      </c>
      <c r="N272" s="27">
        <f t="shared" si="32"/>
        <v>1</v>
      </c>
      <c r="O272" s="28">
        <f t="shared" si="33"/>
        <v>3.1339180247326549E-2</v>
      </c>
      <c r="P272" s="28">
        <f t="shared" si="34"/>
        <v>0.15343562374916611</v>
      </c>
      <c r="Q272" s="26">
        <f t="shared" si="35"/>
        <v>1.7020213475650434</v>
      </c>
      <c r="R272" s="29">
        <f t="shared" si="36"/>
        <v>11.092739130434783</v>
      </c>
      <c r="S272" s="30">
        <f t="shared" si="37"/>
        <v>2</v>
      </c>
      <c r="T272" s="30">
        <f t="shared" si="38"/>
        <v>2023</v>
      </c>
      <c r="U272" s="29" t="str">
        <f t="shared" si="39"/>
        <v>February</v>
      </c>
    </row>
    <row r="273" spans="1:21" ht="17.399999999999999" x14ac:dyDescent="0.3">
      <c r="A273" s="21" t="s">
        <v>958</v>
      </c>
      <c r="B273" s="21" t="s">
        <v>959</v>
      </c>
      <c r="C273" s="23" t="s">
        <v>3516</v>
      </c>
      <c r="D273" s="21" t="s">
        <v>3521</v>
      </c>
      <c r="E273" s="24">
        <v>44977</v>
      </c>
      <c r="F273" s="24">
        <v>44987</v>
      </c>
      <c r="G273" s="22" t="s">
        <v>14</v>
      </c>
      <c r="H273" s="25">
        <v>89223</v>
      </c>
      <c r="I273" s="25">
        <v>2883</v>
      </c>
      <c r="J273" s="26">
        <v>1643.83</v>
      </c>
      <c r="K273" s="25">
        <v>332</v>
      </c>
      <c r="L273" s="21" t="s">
        <v>17</v>
      </c>
      <c r="M273" s="22" t="s">
        <v>3537</v>
      </c>
      <c r="N273" s="27">
        <f t="shared" si="32"/>
        <v>10</v>
      </c>
      <c r="O273" s="28">
        <f t="shared" si="33"/>
        <v>3.2312296156820554E-2</v>
      </c>
      <c r="P273" s="28">
        <f t="shared" si="34"/>
        <v>0.11515782171349288</v>
      </c>
      <c r="Q273" s="26">
        <f t="shared" si="35"/>
        <v>0.5701803676725633</v>
      </c>
      <c r="R273" s="29">
        <f t="shared" si="36"/>
        <v>4.9512951807228918</v>
      </c>
      <c r="S273" s="30">
        <f t="shared" si="37"/>
        <v>2</v>
      </c>
      <c r="T273" s="30">
        <f t="shared" si="38"/>
        <v>2023</v>
      </c>
      <c r="U273" s="29" t="str">
        <f t="shared" si="39"/>
        <v>February</v>
      </c>
    </row>
    <row r="274" spans="1:21" ht="17.399999999999999" x14ac:dyDescent="0.3">
      <c r="A274" s="21" t="s">
        <v>2868</v>
      </c>
      <c r="B274" s="22" t="s">
        <v>3615</v>
      </c>
      <c r="C274" s="23" t="s">
        <v>3515</v>
      </c>
      <c r="D274" s="22" t="s">
        <v>3545</v>
      </c>
      <c r="E274" s="24">
        <v>44977</v>
      </c>
      <c r="F274" s="24">
        <v>44989</v>
      </c>
      <c r="G274" s="22" t="s">
        <v>24</v>
      </c>
      <c r="H274" s="25">
        <v>57638</v>
      </c>
      <c r="I274" s="25">
        <v>864</v>
      </c>
      <c r="J274" s="26">
        <v>1033.6099999999999</v>
      </c>
      <c r="K274" s="25">
        <v>126</v>
      </c>
      <c r="L274" s="21" t="s">
        <v>17</v>
      </c>
      <c r="M274" s="22" t="s">
        <v>3536</v>
      </c>
      <c r="N274" s="27">
        <f t="shared" si="32"/>
        <v>12</v>
      </c>
      <c r="O274" s="28">
        <f t="shared" si="33"/>
        <v>1.4990110690863666E-2</v>
      </c>
      <c r="P274" s="28">
        <f t="shared" si="34"/>
        <v>0.14583333333333334</v>
      </c>
      <c r="Q274" s="26">
        <f t="shared" si="35"/>
        <v>1.1963078703703702</v>
      </c>
      <c r="R274" s="29">
        <f t="shared" si="36"/>
        <v>8.2032539682539678</v>
      </c>
      <c r="S274" s="30">
        <f t="shared" si="37"/>
        <v>2</v>
      </c>
      <c r="T274" s="30">
        <f t="shared" si="38"/>
        <v>2023</v>
      </c>
      <c r="U274" s="29" t="str">
        <f t="shared" si="39"/>
        <v>February</v>
      </c>
    </row>
    <row r="275" spans="1:21" ht="17.399999999999999" x14ac:dyDescent="0.3">
      <c r="A275" s="21" t="s">
        <v>1779</v>
      </c>
      <c r="B275" s="21" t="s">
        <v>1780</v>
      </c>
      <c r="C275" s="23" t="s">
        <v>3519</v>
      </c>
      <c r="D275" s="21" t="s">
        <v>3520</v>
      </c>
      <c r="E275" s="24">
        <v>44978</v>
      </c>
      <c r="F275" s="24">
        <v>44981</v>
      </c>
      <c r="G275" s="22" t="s">
        <v>11</v>
      </c>
      <c r="H275" s="25">
        <v>28285</v>
      </c>
      <c r="I275" s="25">
        <v>1094</v>
      </c>
      <c r="J275" s="26">
        <v>919</v>
      </c>
      <c r="K275" s="25">
        <v>93</v>
      </c>
      <c r="L275" s="21" t="s">
        <v>17</v>
      </c>
      <c r="M275" s="22" t="s">
        <v>11</v>
      </c>
      <c r="N275" s="27">
        <f t="shared" si="32"/>
        <v>3</v>
      </c>
      <c r="O275" s="28">
        <f t="shared" si="33"/>
        <v>3.8677744387484531E-2</v>
      </c>
      <c r="P275" s="28">
        <f t="shared" si="34"/>
        <v>8.5009140767824495E-2</v>
      </c>
      <c r="Q275" s="26">
        <f t="shared" si="35"/>
        <v>0.84003656307129804</v>
      </c>
      <c r="R275" s="29">
        <f t="shared" si="36"/>
        <v>9.8817204301075261</v>
      </c>
      <c r="S275" s="30">
        <f t="shared" si="37"/>
        <v>2</v>
      </c>
      <c r="T275" s="30">
        <f t="shared" si="38"/>
        <v>2023</v>
      </c>
      <c r="U275" s="29" t="str">
        <f t="shared" si="39"/>
        <v>February</v>
      </c>
    </row>
    <row r="276" spans="1:21" ht="17.399999999999999" x14ac:dyDescent="0.3">
      <c r="A276" s="21" t="s">
        <v>2131</v>
      </c>
      <c r="B276" s="22" t="s">
        <v>3616</v>
      </c>
      <c r="C276" s="23" t="s">
        <v>3518</v>
      </c>
      <c r="D276" s="22" t="s">
        <v>3545</v>
      </c>
      <c r="E276" s="24">
        <v>44978</v>
      </c>
      <c r="F276" s="24">
        <v>44997</v>
      </c>
      <c r="G276" s="22" t="s">
        <v>24</v>
      </c>
      <c r="H276" s="25">
        <v>28632</v>
      </c>
      <c r="I276" s="25">
        <v>1425</v>
      </c>
      <c r="J276" s="26">
        <v>1099.75</v>
      </c>
      <c r="K276" s="25">
        <v>0</v>
      </c>
      <c r="L276" s="21" t="s">
        <v>17</v>
      </c>
      <c r="M276" s="22" t="s">
        <v>3536</v>
      </c>
      <c r="N276" s="27">
        <f t="shared" si="32"/>
        <v>19</v>
      </c>
      <c r="O276" s="28">
        <f t="shared" si="33"/>
        <v>4.9769488683989942E-2</v>
      </c>
      <c r="P276" s="28">
        <f t="shared" si="34"/>
        <v>0</v>
      </c>
      <c r="Q276" s="26">
        <f t="shared" si="35"/>
        <v>0.7717543859649123</v>
      </c>
      <c r="R276" s="29" t="str">
        <f t="shared" si="36"/>
        <v>0</v>
      </c>
      <c r="S276" s="30">
        <f t="shared" si="37"/>
        <v>2</v>
      </c>
      <c r="T276" s="30">
        <f t="shared" si="38"/>
        <v>2023</v>
      </c>
      <c r="U276" s="29" t="str">
        <f t="shared" si="39"/>
        <v>February</v>
      </c>
    </row>
    <row r="277" spans="1:21" ht="17.399999999999999" x14ac:dyDescent="0.3">
      <c r="A277" s="21" t="s">
        <v>2841</v>
      </c>
      <c r="B277" s="21" t="s">
        <v>2842</v>
      </c>
      <c r="C277" s="23" t="s">
        <v>3516</v>
      </c>
      <c r="D277" s="21" t="s">
        <v>3517</v>
      </c>
      <c r="E277" s="24">
        <v>44978</v>
      </c>
      <c r="F277" s="24">
        <v>45001</v>
      </c>
      <c r="G277" s="22" t="s">
        <v>14</v>
      </c>
      <c r="H277" s="25">
        <v>58775</v>
      </c>
      <c r="I277" s="25">
        <v>1438</v>
      </c>
      <c r="J277" s="26">
        <v>2283.06</v>
      </c>
      <c r="K277" s="25">
        <v>199</v>
      </c>
      <c r="L277" s="21" t="s">
        <v>17</v>
      </c>
      <c r="M277" s="22" t="s">
        <v>3537</v>
      </c>
      <c r="N277" s="27">
        <f t="shared" si="32"/>
        <v>23</v>
      </c>
      <c r="O277" s="28">
        <f t="shared" si="33"/>
        <v>2.4466184602296895E-2</v>
      </c>
      <c r="P277" s="28">
        <f t="shared" si="34"/>
        <v>0.13838664812239221</v>
      </c>
      <c r="Q277" s="26">
        <f t="shared" si="35"/>
        <v>1.5876634214186369</v>
      </c>
      <c r="R277" s="29">
        <f t="shared" si="36"/>
        <v>11.472663316582913</v>
      </c>
      <c r="S277" s="30">
        <f t="shared" si="37"/>
        <v>2</v>
      </c>
      <c r="T277" s="30">
        <f t="shared" si="38"/>
        <v>2023</v>
      </c>
      <c r="U277" s="29" t="str">
        <f t="shared" si="39"/>
        <v>February</v>
      </c>
    </row>
    <row r="278" spans="1:21" ht="17.399999999999999" x14ac:dyDescent="0.3">
      <c r="A278" s="21" t="s">
        <v>2129</v>
      </c>
      <c r="B278" s="21" t="s">
        <v>2130</v>
      </c>
      <c r="C278" s="23" t="s">
        <v>3515</v>
      </c>
      <c r="D278" s="21" t="s">
        <v>3521</v>
      </c>
      <c r="E278" s="24">
        <v>44978</v>
      </c>
      <c r="F278" s="24">
        <v>45004</v>
      </c>
      <c r="G278" s="22" t="s">
        <v>16</v>
      </c>
      <c r="H278" s="25">
        <v>53329</v>
      </c>
      <c r="I278" s="25">
        <v>961</v>
      </c>
      <c r="J278" s="26">
        <v>717.8</v>
      </c>
      <c r="K278" s="25">
        <v>171</v>
      </c>
      <c r="L278" s="21" t="s">
        <v>17</v>
      </c>
      <c r="M278" s="22" t="s">
        <v>16</v>
      </c>
      <c r="N278" s="27">
        <f t="shared" si="32"/>
        <v>26</v>
      </c>
      <c r="O278" s="28">
        <f t="shared" si="33"/>
        <v>1.8020214142399071E-2</v>
      </c>
      <c r="P278" s="28">
        <f t="shared" si="34"/>
        <v>0.17793964620187305</v>
      </c>
      <c r="Q278" s="26">
        <f t="shared" si="35"/>
        <v>0.74693028095733605</v>
      </c>
      <c r="R278" s="29">
        <f t="shared" si="36"/>
        <v>4.1976608187134499</v>
      </c>
      <c r="S278" s="30">
        <f t="shared" si="37"/>
        <v>2</v>
      </c>
      <c r="T278" s="30">
        <f t="shared" si="38"/>
        <v>2023</v>
      </c>
      <c r="U278" s="29" t="str">
        <f t="shared" si="39"/>
        <v>February</v>
      </c>
    </row>
    <row r="279" spans="1:21" ht="17.399999999999999" x14ac:dyDescent="0.3">
      <c r="A279" s="21" t="s">
        <v>2854</v>
      </c>
      <c r="B279" s="21" t="s">
        <v>2855</v>
      </c>
      <c r="C279" s="23" t="s">
        <v>3515</v>
      </c>
      <c r="D279" s="21" t="s">
        <v>3517</v>
      </c>
      <c r="E279" s="24">
        <v>44978</v>
      </c>
      <c r="F279" s="24">
        <v>45004</v>
      </c>
      <c r="G279" s="22" t="s">
        <v>24</v>
      </c>
      <c r="H279" s="25">
        <v>75691</v>
      </c>
      <c r="I279" s="25">
        <v>1277</v>
      </c>
      <c r="J279" s="26">
        <v>1681.67</v>
      </c>
      <c r="K279" s="25">
        <v>200</v>
      </c>
      <c r="L279" s="21" t="s">
        <v>17</v>
      </c>
      <c r="M279" s="22" t="s">
        <v>3536</v>
      </c>
      <c r="N279" s="27">
        <f t="shared" si="32"/>
        <v>26</v>
      </c>
      <c r="O279" s="28">
        <f t="shared" si="33"/>
        <v>1.6871226433790014E-2</v>
      </c>
      <c r="P279" s="28">
        <f t="shared" si="34"/>
        <v>0.15661707126076743</v>
      </c>
      <c r="Q279" s="26">
        <f t="shared" si="35"/>
        <v>1.3168911511354737</v>
      </c>
      <c r="R279" s="29">
        <f t="shared" si="36"/>
        <v>8.4083500000000004</v>
      </c>
      <c r="S279" s="30">
        <f t="shared" si="37"/>
        <v>2</v>
      </c>
      <c r="T279" s="30">
        <f t="shared" si="38"/>
        <v>2023</v>
      </c>
      <c r="U279" s="29" t="str">
        <f t="shared" si="39"/>
        <v>February</v>
      </c>
    </row>
    <row r="280" spans="1:21" ht="17.399999999999999" x14ac:dyDescent="0.3">
      <c r="A280" s="21" t="s">
        <v>2968</v>
      </c>
      <c r="B280" s="21" t="s">
        <v>2969</v>
      </c>
      <c r="C280" s="23" t="s">
        <v>3519</v>
      </c>
      <c r="D280" s="21" t="s">
        <v>3521</v>
      </c>
      <c r="E280" s="24">
        <v>44979</v>
      </c>
      <c r="F280" s="24">
        <v>45005</v>
      </c>
      <c r="G280" s="22" t="s">
        <v>14</v>
      </c>
      <c r="H280" s="25">
        <v>26931</v>
      </c>
      <c r="I280" s="25">
        <v>712</v>
      </c>
      <c r="J280" s="26">
        <v>506.1</v>
      </c>
      <c r="K280" s="25">
        <v>0</v>
      </c>
      <c r="L280" s="21" t="s">
        <v>17</v>
      </c>
      <c r="M280" s="22" t="s">
        <v>3537</v>
      </c>
      <c r="N280" s="27">
        <f t="shared" si="32"/>
        <v>26</v>
      </c>
      <c r="O280" s="28">
        <f t="shared" si="33"/>
        <v>2.643793397942891E-2</v>
      </c>
      <c r="P280" s="28">
        <f t="shared" si="34"/>
        <v>0</v>
      </c>
      <c r="Q280" s="26">
        <f t="shared" si="35"/>
        <v>0.71081460674157304</v>
      </c>
      <c r="R280" s="29" t="str">
        <f t="shared" si="36"/>
        <v>0</v>
      </c>
      <c r="S280" s="30">
        <f t="shared" si="37"/>
        <v>2</v>
      </c>
      <c r="T280" s="30">
        <f t="shared" si="38"/>
        <v>2023</v>
      </c>
      <c r="U280" s="29" t="str">
        <f t="shared" si="39"/>
        <v>February</v>
      </c>
    </row>
    <row r="281" spans="1:21" ht="17.399999999999999" x14ac:dyDescent="0.3">
      <c r="A281" s="21" t="s">
        <v>3433</v>
      </c>
      <c r="B281" s="21" t="s">
        <v>3434</v>
      </c>
      <c r="C281" s="23" t="s">
        <v>3519</v>
      </c>
      <c r="D281" s="21" t="s">
        <v>3520</v>
      </c>
      <c r="E281" s="24">
        <v>44979</v>
      </c>
      <c r="F281" s="24">
        <v>44987</v>
      </c>
      <c r="G281" s="22" t="s">
        <v>14</v>
      </c>
      <c r="H281" s="25">
        <v>27015</v>
      </c>
      <c r="I281" s="25">
        <v>286</v>
      </c>
      <c r="J281" s="26">
        <v>366.75</v>
      </c>
      <c r="K281" s="25">
        <v>55</v>
      </c>
      <c r="L281" s="21" t="s">
        <v>17</v>
      </c>
      <c r="M281" s="22" t="s">
        <v>3537</v>
      </c>
      <c r="N281" s="27">
        <f t="shared" si="32"/>
        <v>8</v>
      </c>
      <c r="O281" s="28">
        <f t="shared" si="33"/>
        <v>1.0586711086433463E-2</v>
      </c>
      <c r="P281" s="28">
        <f t="shared" si="34"/>
        <v>0.19230769230769232</v>
      </c>
      <c r="Q281" s="26">
        <f t="shared" si="35"/>
        <v>1.2823426573426573</v>
      </c>
      <c r="R281" s="29">
        <f t="shared" si="36"/>
        <v>6.668181818181818</v>
      </c>
      <c r="S281" s="30">
        <f t="shared" si="37"/>
        <v>2</v>
      </c>
      <c r="T281" s="30">
        <f t="shared" si="38"/>
        <v>2023</v>
      </c>
      <c r="U281" s="29" t="str">
        <f t="shared" si="39"/>
        <v>February</v>
      </c>
    </row>
    <row r="282" spans="1:21" ht="17.399999999999999" x14ac:dyDescent="0.3">
      <c r="A282" s="21" t="s">
        <v>1534</v>
      </c>
      <c r="B282" s="22" t="s">
        <v>3617</v>
      </c>
      <c r="C282" s="23" t="s">
        <v>3518</v>
      </c>
      <c r="D282" s="22" t="s">
        <v>3545</v>
      </c>
      <c r="E282" s="24">
        <v>44979</v>
      </c>
      <c r="F282" s="24">
        <v>44982</v>
      </c>
      <c r="G282" s="22" t="s">
        <v>11</v>
      </c>
      <c r="H282" s="25">
        <v>56393</v>
      </c>
      <c r="I282" s="25">
        <v>2385</v>
      </c>
      <c r="J282" s="26">
        <v>1620.23</v>
      </c>
      <c r="K282" s="25">
        <v>151</v>
      </c>
      <c r="L282" s="21" t="s">
        <v>21</v>
      </c>
      <c r="M282" s="22" t="s">
        <v>11</v>
      </c>
      <c r="N282" s="27">
        <f t="shared" si="32"/>
        <v>3</v>
      </c>
      <c r="O282" s="28">
        <f t="shared" si="33"/>
        <v>4.2292483109605802E-2</v>
      </c>
      <c r="P282" s="28">
        <f t="shared" si="34"/>
        <v>6.3312368972746336E-2</v>
      </c>
      <c r="Q282" s="26">
        <f t="shared" si="35"/>
        <v>0.67934171907756813</v>
      </c>
      <c r="R282" s="29">
        <f t="shared" si="36"/>
        <v>10.73</v>
      </c>
      <c r="S282" s="30">
        <f t="shared" si="37"/>
        <v>2</v>
      </c>
      <c r="T282" s="30">
        <f t="shared" si="38"/>
        <v>2023</v>
      </c>
      <c r="U282" s="29" t="str">
        <f t="shared" si="39"/>
        <v>February</v>
      </c>
    </row>
    <row r="283" spans="1:21" ht="17.399999999999999" x14ac:dyDescent="0.3">
      <c r="A283" s="21" t="s">
        <v>1685</v>
      </c>
      <c r="B283" s="21" t="s">
        <v>1686</v>
      </c>
      <c r="C283" s="23" t="s">
        <v>3518</v>
      </c>
      <c r="D283" s="21" t="s">
        <v>3517</v>
      </c>
      <c r="E283" s="24">
        <v>44979</v>
      </c>
      <c r="F283" s="24">
        <v>45000</v>
      </c>
      <c r="G283" s="22" t="s">
        <v>16</v>
      </c>
      <c r="H283" s="25">
        <v>17748</v>
      </c>
      <c r="I283" s="25">
        <v>513</v>
      </c>
      <c r="J283" s="26">
        <v>342.08</v>
      </c>
      <c r="K283" s="25">
        <v>85</v>
      </c>
      <c r="L283" s="21" t="s">
        <v>21</v>
      </c>
      <c r="M283" s="22" t="s">
        <v>16</v>
      </c>
      <c r="N283" s="27">
        <f t="shared" si="32"/>
        <v>21</v>
      </c>
      <c r="O283" s="28">
        <f t="shared" si="33"/>
        <v>2.8904665314401622E-2</v>
      </c>
      <c r="P283" s="28">
        <f t="shared" si="34"/>
        <v>0.16569200779727095</v>
      </c>
      <c r="Q283" s="26">
        <f t="shared" si="35"/>
        <v>0.66682261208576998</v>
      </c>
      <c r="R283" s="29">
        <f t="shared" si="36"/>
        <v>4.0244705882352942</v>
      </c>
      <c r="S283" s="30">
        <f t="shared" si="37"/>
        <v>2</v>
      </c>
      <c r="T283" s="30">
        <f t="shared" si="38"/>
        <v>2023</v>
      </c>
      <c r="U283" s="29" t="str">
        <f t="shared" si="39"/>
        <v>February</v>
      </c>
    </row>
    <row r="284" spans="1:21" ht="17.399999999999999" x14ac:dyDescent="0.3">
      <c r="A284" s="21" t="s">
        <v>877</v>
      </c>
      <c r="B284" s="21" t="s">
        <v>878</v>
      </c>
      <c r="C284" s="23" t="s">
        <v>3516</v>
      </c>
      <c r="D284" s="21" t="s">
        <v>3521</v>
      </c>
      <c r="E284" s="24">
        <v>44979</v>
      </c>
      <c r="F284" s="24">
        <v>44999</v>
      </c>
      <c r="G284" s="22" t="s">
        <v>16</v>
      </c>
      <c r="H284" s="25">
        <v>68215</v>
      </c>
      <c r="I284" s="25">
        <v>907</v>
      </c>
      <c r="J284" s="26">
        <v>1235.02</v>
      </c>
      <c r="K284" s="25">
        <v>0</v>
      </c>
      <c r="L284" s="21" t="s">
        <v>17</v>
      </c>
      <c r="M284" s="22" t="s">
        <v>16</v>
      </c>
      <c r="N284" s="27">
        <f t="shared" si="32"/>
        <v>20</v>
      </c>
      <c r="O284" s="28">
        <f t="shared" si="33"/>
        <v>1.3296195851352341E-2</v>
      </c>
      <c r="P284" s="28">
        <f t="shared" si="34"/>
        <v>0</v>
      </c>
      <c r="Q284" s="26">
        <f t="shared" si="35"/>
        <v>1.3616538037486219</v>
      </c>
      <c r="R284" s="29" t="str">
        <f t="shared" si="36"/>
        <v>0</v>
      </c>
      <c r="S284" s="30">
        <f t="shared" si="37"/>
        <v>2</v>
      </c>
      <c r="T284" s="30">
        <f t="shared" si="38"/>
        <v>2023</v>
      </c>
      <c r="U284" s="29" t="str">
        <f t="shared" si="39"/>
        <v>February</v>
      </c>
    </row>
    <row r="285" spans="1:21" ht="17.399999999999999" x14ac:dyDescent="0.3">
      <c r="A285" s="21" t="s">
        <v>1766</v>
      </c>
      <c r="B285" s="21" t="s">
        <v>1767</v>
      </c>
      <c r="C285" s="23" t="s">
        <v>3516</v>
      </c>
      <c r="D285" s="21" t="s">
        <v>3517</v>
      </c>
      <c r="E285" s="24">
        <v>44979</v>
      </c>
      <c r="F285" s="24">
        <v>44995</v>
      </c>
      <c r="G285" s="22" t="s">
        <v>11</v>
      </c>
      <c r="H285" s="25">
        <v>49447</v>
      </c>
      <c r="I285" s="25">
        <v>1005</v>
      </c>
      <c r="J285" s="26">
        <v>518.32000000000005</v>
      </c>
      <c r="K285" s="25">
        <v>104</v>
      </c>
      <c r="L285" s="21" t="s">
        <v>21</v>
      </c>
      <c r="M285" s="22" t="s">
        <v>11</v>
      </c>
      <c r="N285" s="27">
        <f t="shared" si="32"/>
        <v>16</v>
      </c>
      <c r="O285" s="28">
        <f t="shared" si="33"/>
        <v>2.032479220175137E-2</v>
      </c>
      <c r="P285" s="28">
        <f t="shared" si="34"/>
        <v>0.10348258706467661</v>
      </c>
      <c r="Q285" s="26">
        <f t="shared" si="35"/>
        <v>0.51574129353233833</v>
      </c>
      <c r="R285" s="29">
        <f t="shared" si="36"/>
        <v>4.9838461538461543</v>
      </c>
      <c r="S285" s="30">
        <f t="shared" si="37"/>
        <v>2</v>
      </c>
      <c r="T285" s="30">
        <f t="shared" si="38"/>
        <v>2023</v>
      </c>
      <c r="U285" s="29" t="str">
        <f t="shared" si="39"/>
        <v>February</v>
      </c>
    </row>
    <row r="286" spans="1:21" ht="17.399999999999999" x14ac:dyDescent="0.3">
      <c r="A286" s="21" t="s">
        <v>3444</v>
      </c>
      <c r="B286" s="22" t="s">
        <v>3618</v>
      </c>
      <c r="C286" s="23" t="s">
        <v>3516</v>
      </c>
      <c r="D286" s="22" t="s">
        <v>3545</v>
      </c>
      <c r="E286" s="24">
        <v>44979</v>
      </c>
      <c r="F286" s="24">
        <v>44990</v>
      </c>
      <c r="G286" s="22" t="s">
        <v>14</v>
      </c>
      <c r="H286" s="25">
        <v>14629</v>
      </c>
      <c r="I286" s="25">
        <v>642</v>
      </c>
      <c r="J286" s="26">
        <v>339.73</v>
      </c>
      <c r="K286" s="25">
        <v>88</v>
      </c>
      <c r="L286" s="21" t="s">
        <v>17</v>
      </c>
      <c r="M286" s="22" t="s">
        <v>3537</v>
      </c>
      <c r="N286" s="27">
        <f t="shared" si="32"/>
        <v>11</v>
      </c>
      <c r="O286" s="28">
        <f t="shared" si="33"/>
        <v>4.3885433043953793E-2</v>
      </c>
      <c r="P286" s="28">
        <f t="shared" si="34"/>
        <v>0.13707165109034267</v>
      </c>
      <c r="Q286" s="26">
        <f t="shared" si="35"/>
        <v>0.52917445482866043</v>
      </c>
      <c r="R286" s="29">
        <f t="shared" si="36"/>
        <v>3.8605681818181821</v>
      </c>
      <c r="S286" s="30">
        <f t="shared" si="37"/>
        <v>2</v>
      </c>
      <c r="T286" s="30">
        <f t="shared" si="38"/>
        <v>2023</v>
      </c>
      <c r="U286" s="29" t="str">
        <f t="shared" si="39"/>
        <v>February</v>
      </c>
    </row>
    <row r="287" spans="1:21" ht="17.399999999999999" x14ac:dyDescent="0.3">
      <c r="A287" s="21" t="s">
        <v>33</v>
      </c>
      <c r="B287" s="21" t="s">
        <v>34</v>
      </c>
      <c r="C287" s="23" t="s">
        <v>3515</v>
      </c>
      <c r="D287" s="21" t="s">
        <v>3520</v>
      </c>
      <c r="E287" s="24">
        <v>44979</v>
      </c>
      <c r="F287" s="24">
        <v>44986</v>
      </c>
      <c r="G287" s="22" t="s">
        <v>24</v>
      </c>
      <c r="H287" s="25">
        <v>17023</v>
      </c>
      <c r="I287" s="25">
        <v>455</v>
      </c>
      <c r="J287" s="26">
        <v>523.13</v>
      </c>
      <c r="K287" s="25">
        <v>76</v>
      </c>
      <c r="L287" s="21" t="s">
        <v>21</v>
      </c>
      <c r="M287" s="22" t="s">
        <v>3536</v>
      </c>
      <c r="N287" s="27">
        <f t="shared" si="32"/>
        <v>7</v>
      </c>
      <c r="O287" s="28">
        <f t="shared" si="33"/>
        <v>2.6728543734946836E-2</v>
      </c>
      <c r="P287" s="28">
        <f t="shared" si="34"/>
        <v>0.16703296703296702</v>
      </c>
      <c r="Q287" s="26">
        <f t="shared" si="35"/>
        <v>1.1497362637362638</v>
      </c>
      <c r="R287" s="29">
        <f t="shared" si="36"/>
        <v>6.8832894736842105</v>
      </c>
      <c r="S287" s="30">
        <f t="shared" si="37"/>
        <v>2</v>
      </c>
      <c r="T287" s="30">
        <f t="shared" si="38"/>
        <v>2023</v>
      </c>
      <c r="U287" s="29" t="str">
        <f t="shared" si="39"/>
        <v>February</v>
      </c>
    </row>
    <row r="288" spans="1:21" ht="17.399999999999999" x14ac:dyDescent="0.3">
      <c r="A288" s="21" t="s">
        <v>443</v>
      </c>
      <c r="B288" s="21" t="s">
        <v>444</v>
      </c>
      <c r="C288" s="23" t="s">
        <v>3515</v>
      </c>
      <c r="D288" s="21" t="s">
        <v>3517</v>
      </c>
      <c r="E288" s="24">
        <v>44979</v>
      </c>
      <c r="F288" s="24">
        <v>45007</v>
      </c>
      <c r="G288" s="22" t="s">
        <v>24</v>
      </c>
      <c r="H288" s="25">
        <v>52663</v>
      </c>
      <c r="I288" s="25">
        <v>2357</v>
      </c>
      <c r="J288" s="26">
        <v>3167.41</v>
      </c>
      <c r="K288" s="25">
        <v>358</v>
      </c>
      <c r="L288" s="21" t="s">
        <v>21</v>
      </c>
      <c r="M288" s="22" t="s">
        <v>3536</v>
      </c>
      <c r="N288" s="27">
        <f t="shared" si="32"/>
        <v>28</v>
      </c>
      <c r="O288" s="28">
        <f t="shared" si="33"/>
        <v>4.4756280500541173E-2</v>
      </c>
      <c r="P288" s="28">
        <f t="shared" si="34"/>
        <v>0.15188799321170979</v>
      </c>
      <c r="Q288" s="26">
        <f t="shared" si="35"/>
        <v>1.3438311412812898</v>
      </c>
      <c r="R288" s="29">
        <f t="shared" si="36"/>
        <v>8.847513966480447</v>
      </c>
      <c r="S288" s="30">
        <f t="shared" si="37"/>
        <v>2</v>
      </c>
      <c r="T288" s="30">
        <f t="shared" si="38"/>
        <v>2023</v>
      </c>
      <c r="U288" s="29" t="str">
        <f t="shared" si="39"/>
        <v>February</v>
      </c>
    </row>
    <row r="289" spans="1:21" ht="17.399999999999999" x14ac:dyDescent="0.3">
      <c r="A289" s="21" t="s">
        <v>944</v>
      </c>
      <c r="B289" s="22" t="s">
        <v>3619</v>
      </c>
      <c r="C289" s="23" t="s">
        <v>3515</v>
      </c>
      <c r="D289" s="22" t="s">
        <v>3545</v>
      </c>
      <c r="E289" s="24">
        <v>44979</v>
      </c>
      <c r="F289" s="24">
        <v>44993</v>
      </c>
      <c r="G289" s="22" t="s">
        <v>11</v>
      </c>
      <c r="H289" s="25">
        <v>5611</v>
      </c>
      <c r="I289" s="25">
        <v>127</v>
      </c>
      <c r="J289" s="26">
        <v>161.09</v>
      </c>
      <c r="K289" s="25">
        <v>10</v>
      </c>
      <c r="L289" s="21" t="s">
        <v>21</v>
      </c>
      <c r="M289" s="22" t="s">
        <v>11</v>
      </c>
      <c r="N289" s="27">
        <f t="shared" si="32"/>
        <v>14</v>
      </c>
      <c r="O289" s="28">
        <f t="shared" si="33"/>
        <v>2.2634111566565675E-2</v>
      </c>
      <c r="P289" s="28">
        <f t="shared" si="34"/>
        <v>7.874015748031496E-2</v>
      </c>
      <c r="Q289" s="26">
        <f t="shared" si="35"/>
        <v>1.2684251968503937</v>
      </c>
      <c r="R289" s="29">
        <f t="shared" si="36"/>
        <v>16.109000000000002</v>
      </c>
      <c r="S289" s="30">
        <f t="shared" si="37"/>
        <v>2</v>
      </c>
      <c r="T289" s="30">
        <f t="shared" si="38"/>
        <v>2023</v>
      </c>
      <c r="U289" s="29" t="str">
        <f t="shared" si="39"/>
        <v>February</v>
      </c>
    </row>
    <row r="290" spans="1:21" ht="17.399999999999999" x14ac:dyDescent="0.3">
      <c r="A290" s="21" t="s">
        <v>2346</v>
      </c>
      <c r="B290" s="21" t="s">
        <v>2347</v>
      </c>
      <c r="C290" s="23" t="s">
        <v>3519</v>
      </c>
      <c r="D290" s="21" t="s">
        <v>3520</v>
      </c>
      <c r="E290" s="24">
        <v>44980</v>
      </c>
      <c r="F290" s="24">
        <v>44987</v>
      </c>
      <c r="G290" s="22" t="s">
        <v>3535</v>
      </c>
      <c r="H290" s="25">
        <v>80111</v>
      </c>
      <c r="I290" s="25">
        <v>2570</v>
      </c>
      <c r="J290" s="26">
        <v>4448.2299999999996</v>
      </c>
      <c r="K290" s="25">
        <v>329</v>
      </c>
      <c r="L290" s="21" t="s">
        <v>21</v>
      </c>
      <c r="M290" s="22" t="s">
        <v>3535</v>
      </c>
      <c r="N290" s="27">
        <f t="shared" si="32"/>
        <v>7</v>
      </c>
      <c r="O290" s="28">
        <f t="shared" si="33"/>
        <v>3.2080488322452597E-2</v>
      </c>
      <c r="P290" s="28">
        <f t="shared" si="34"/>
        <v>0.12801556420233462</v>
      </c>
      <c r="Q290" s="26">
        <f t="shared" si="35"/>
        <v>1.730828793774319</v>
      </c>
      <c r="R290" s="29">
        <f t="shared" si="36"/>
        <v>13.520455927051671</v>
      </c>
      <c r="S290" s="30">
        <f t="shared" si="37"/>
        <v>2</v>
      </c>
      <c r="T290" s="30">
        <f t="shared" si="38"/>
        <v>2023</v>
      </c>
      <c r="U290" s="29" t="str">
        <f t="shared" si="39"/>
        <v>February</v>
      </c>
    </row>
    <row r="291" spans="1:21" ht="17.399999999999999" x14ac:dyDescent="0.3">
      <c r="A291" s="21" t="s">
        <v>3083</v>
      </c>
      <c r="B291" s="22" t="s">
        <v>3620</v>
      </c>
      <c r="C291" s="23" t="s">
        <v>3519</v>
      </c>
      <c r="D291" s="22" t="s">
        <v>3545</v>
      </c>
      <c r="E291" s="24">
        <v>44980</v>
      </c>
      <c r="F291" s="24">
        <v>44985</v>
      </c>
      <c r="G291" s="22" t="s">
        <v>16</v>
      </c>
      <c r="H291" s="25">
        <v>58932</v>
      </c>
      <c r="I291" s="25">
        <v>1091</v>
      </c>
      <c r="J291" s="26">
        <v>1826.88</v>
      </c>
      <c r="K291" s="25">
        <v>56</v>
      </c>
      <c r="L291" s="21" t="s">
        <v>21</v>
      </c>
      <c r="M291" s="22" t="s">
        <v>16</v>
      </c>
      <c r="N291" s="27">
        <f t="shared" si="32"/>
        <v>5</v>
      </c>
      <c r="O291" s="28">
        <f t="shared" si="33"/>
        <v>1.8512862281952081E-2</v>
      </c>
      <c r="P291" s="28">
        <f t="shared" si="34"/>
        <v>5.1329055912007336E-2</v>
      </c>
      <c r="Q291" s="26">
        <f t="shared" si="35"/>
        <v>1.6745004582951422</v>
      </c>
      <c r="R291" s="29">
        <f t="shared" si="36"/>
        <v>32.622857142857143</v>
      </c>
      <c r="S291" s="30">
        <f t="shared" si="37"/>
        <v>2</v>
      </c>
      <c r="T291" s="30">
        <f t="shared" si="38"/>
        <v>2023</v>
      </c>
      <c r="U291" s="29" t="str">
        <f t="shared" si="39"/>
        <v>February</v>
      </c>
    </row>
    <row r="292" spans="1:21" ht="17.399999999999999" x14ac:dyDescent="0.3">
      <c r="A292" s="21" t="s">
        <v>2910</v>
      </c>
      <c r="B292" s="22" t="s">
        <v>3621</v>
      </c>
      <c r="C292" s="23" t="s">
        <v>3516</v>
      </c>
      <c r="D292" s="22" t="s">
        <v>3545</v>
      </c>
      <c r="E292" s="24">
        <v>44980</v>
      </c>
      <c r="F292" s="24">
        <v>44982</v>
      </c>
      <c r="G292" s="22" t="s">
        <v>24</v>
      </c>
      <c r="H292" s="25">
        <v>73750</v>
      </c>
      <c r="I292" s="25">
        <v>1025</v>
      </c>
      <c r="J292" s="26">
        <v>1062.8699999999999</v>
      </c>
      <c r="K292" s="25">
        <v>129</v>
      </c>
      <c r="L292" s="21" t="s">
        <v>21</v>
      </c>
      <c r="M292" s="22" t="s">
        <v>3536</v>
      </c>
      <c r="N292" s="27">
        <f t="shared" si="32"/>
        <v>2</v>
      </c>
      <c r="O292" s="28">
        <f t="shared" si="33"/>
        <v>1.3898305084745762E-2</v>
      </c>
      <c r="P292" s="28">
        <f t="shared" si="34"/>
        <v>0.12585365853658537</v>
      </c>
      <c r="Q292" s="26">
        <f t="shared" si="35"/>
        <v>1.0369463414634146</v>
      </c>
      <c r="R292" s="29">
        <f t="shared" si="36"/>
        <v>8.2393023255813951</v>
      </c>
      <c r="S292" s="30">
        <f t="shared" si="37"/>
        <v>2</v>
      </c>
      <c r="T292" s="30">
        <f t="shared" si="38"/>
        <v>2023</v>
      </c>
      <c r="U292" s="29" t="str">
        <f t="shared" si="39"/>
        <v>February</v>
      </c>
    </row>
    <row r="293" spans="1:21" ht="17.399999999999999" x14ac:dyDescent="0.3">
      <c r="A293" s="21" t="s">
        <v>2048</v>
      </c>
      <c r="B293" s="21" t="s">
        <v>2049</v>
      </c>
      <c r="C293" s="23" t="s">
        <v>3515</v>
      </c>
      <c r="D293" s="21" t="s">
        <v>3517</v>
      </c>
      <c r="E293" s="24">
        <v>44980</v>
      </c>
      <c r="F293" s="24">
        <v>44981</v>
      </c>
      <c r="G293" s="22" t="s">
        <v>11</v>
      </c>
      <c r="H293" s="25">
        <v>33265</v>
      </c>
      <c r="I293" s="25">
        <v>1015</v>
      </c>
      <c r="J293" s="26">
        <v>612.79</v>
      </c>
      <c r="K293" s="25">
        <v>67</v>
      </c>
      <c r="L293" s="21" t="s">
        <v>21</v>
      </c>
      <c r="M293" s="22" t="s">
        <v>11</v>
      </c>
      <c r="N293" s="27">
        <f t="shared" si="32"/>
        <v>1</v>
      </c>
      <c r="O293" s="28">
        <f t="shared" si="33"/>
        <v>3.0512550728994437E-2</v>
      </c>
      <c r="P293" s="28">
        <f t="shared" si="34"/>
        <v>6.6009852216748766E-2</v>
      </c>
      <c r="Q293" s="26">
        <f t="shared" si="35"/>
        <v>0.60373399014778317</v>
      </c>
      <c r="R293" s="29">
        <f t="shared" si="36"/>
        <v>9.1461194029850734</v>
      </c>
      <c r="S293" s="30">
        <f t="shared" si="37"/>
        <v>2</v>
      </c>
      <c r="T293" s="30">
        <f t="shared" si="38"/>
        <v>2023</v>
      </c>
      <c r="U293" s="29" t="str">
        <f t="shared" si="39"/>
        <v>February</v>
      </c>
    </row>
    <row r="294" spans="1:21" ht="17.399999999999999" x14ac:dyDescent="0.3">
      <c r="A294" s="21" t="s">
        <v>3453</v>
      </c>
      <c r="B294" s="21" t="s">
        <v>3454</v>
      </c>
      <c r="C294" s="23" t="s">
        <v>3519</v>
      </c>
      <c r="D294" s="21" t="s">
        <v>3517</v>
      </c>
      <c r="E294" s="24">
        <v>44981</v>
      </c>
      <c r="F294" s="24">
        <v>44983</v>
      </c>
      <c r="G294" s="22" t="s">
        <v>16</v>
      </c>
      <c r="H294" s="25">
        <v>99511</v>
      </c>
      <c r="I294" s="25">
        <v>1916</v>
      </c>
      <c r="J294" s="26">
        <v>2573</v>
      </c>
      <c r="K294" s="25">
        <v>276</v>
      </c>
      <c r="L294" s="21" t="s">
        <v>17</v>
      </c>
      <c r="M294" s="22" t="s">
        <v>16</v>
      </c>
      <c r="N294" s="27">
        <f t="shared" si="32"/>
        <v>2</v>
      </c>
      <c r="O294" s="28">
        <f t="shared" si="33"/>
        <v>1.9254152807227341E-2</v>
      </c>
      <c r="P294" s="28">
        <f t="shared" si="34"/>
        <v>0.1440501043841336</v>
      </c>
      <c r="Q294" s="26">
        <f t="shared" si="35"/>
        <v>1.3429018789144049</v>
      </c>
      <c r="R294" s="29">
        <f t="shared" si="36"/>
        <v>9.3224637681159415</v>
      </c>
      <c r="S294" s="30">
        <f t="shared" si="37"/>
        <v>2</v>
      </c>
      <c r="T294" s="30">
        <f t="shared" si="38"/>
        <v>2023</v>
      </c>
      <c r="U294" s="29" t="str">
        <f t="shared" si="39"/>
        <v>February</v>
      </c>
    </row>
    <row r="295" spans="1:21" ht="17.399999999999999" x14ac:dyDescent="0.3">
      <c r="A295" s="21" t="s">
        <v>3050</v>
      </c>
      <c r="B295" s="22" t="s">
        <v>3622</v>
      </c>
      <c r="C295" s="23" t="s">
        <v>3518</v>
      </c>
      <c r="D295" s="22" t="s">
        <v>3545</v>
      </c>
      <c r="E295" s="24">
        <v>44981</v>
      </c>
      <c r="F295" s="24">
        <v>44982</v>
      </c>
      <c r="G295" s="22" t="s">
        <v>31</v>
      </c>
      <c r="H295" s="25">
        <v>23534</v>
      </c>
      <c r="I295" s="25">
        <v>890</v>
      </c>
      <c r="J295" s="26">
        <v>962.76</v>
      </c>
      <c r="K295" s="25">
        <v>82</v>
      </c>
      <c r="L295" s="21" t="s">
        <v>21</v>
      </c>
      <c r="M295" s="22" t="s">
        <v>31</v>
      </c>
      <c r="N295" s="27">
        <f t="shared" si="32"/>
        <v>1</v>
      </c>
      <c r="O295" s="28">
        <f t="shared" si="33"/>
        <v>3.7817625563015211E-2</v>
      </c>
      <c r="P295" s="28">
        <f t="shared" si="34"/>
        <v>9.2134831460674152E-2</v>
      </c>
      <c r="Q295" s="26">
        <f t="shared" si="35"/>
        <v>1.081752808988764</v>
      </c>
      <c r="R295" s="29">
        <f t="shared" si="36"/>
        <v>11.740975609756097</v>
      </c>
      <c r="S295" s="30">
        <f t="shared" si="37"/>
        <v>2</v>
      </c>
      <c r="T295" s="30">
        <f t="shared" si="38"/>
        <v>2023</v>
      </c>
      <c r="U295" s="29" t="str">
        <f t="shared" si="39"/>
        <v>February</v>
      </c>
    </row>
    <row r="296" spans="1:21" ht="17.399999999999999" x14ac:dyDescent="0.3">
      <c r="A296" s="21" t="s">
        <v>300</v>
      </c>
      <c r="B296" s="21" t="s">
        <v>301</v>
      </c>
      <c r="C296" s="23" t="s">
        <v>3516</v>
      </c>
      <c r="D296" s="21" t="s">
        <v>3521</v>
      </c>
      <c r="E296" s="24">
        <v>44981</v>
      </c>
      <c r="F296" s="24">
        <v>44999</v>
      </c>
      <c r="G296" s="22" t="s">
        <v>24</v>
      </c>
      <c r="H296" s="25">
        <v>3693</v>
      </c>
      <c r="I296" s="25">
        <v>39</v>
      </c>
      <c r="J296" s="26">
        <v>33.909999999999997</v>
      </c>
      <c r="K296" s="25">
        <v>0</v>
      </c>
      <c r="L296" s="21" t="s">
        <v>17</v>
      </c>
      <c r="M296" s="22" t="s">
        <v>3536</v>
      </c>
      <c r="N296" s="27">
        <f t="shared" si="32"/>
        <v>18</v>
      </c>
      <c r="O296" s="28">
        <f t="shared" si="33"/>
        <v>1.0560519902518278E-2</v>
      </c>
      <c r="P296" s="28">
        <f t="shared" si="34"/>
        <v>0</v>
      </c>
      <c r="Q296" s="26">
        <f t="shared" si="35"/>
        <v>0.86948717948717935</v>
      </c>
      <c r="R296" s="29" t="str">
        <f t="shared" si="36"/>
        <v>0</v>
      </c>
      <c r="S296" s="30">
        <f t="shared" si="37"/>
        <v>2</v>
      </c>
      <c r="T296" s="30">
        <f t="shared" si="38"/>
        <v>2023</v>
      </c>
      <c r="U296" s="29" t="str">
        <f t="shared" si="39"/>
        <v>February</v>
      </c>
    </row>
    <row r="297" spans="1:21" ht="17.399999999999999" x14ac:dyDescent="0.3">
      <c r="A297" s="21" t="s">
        <v>3017</v>
      </c>
      <c r="B297" s="21" t="s">
        <v>3018</v>
      </c>
      <c r="C297" s="23" t="s">
        <v>3516</v>
      </c>
      <c r="D297" s="21" t="s">
        <v>3521</v>
      </c>
      <c r="E297" s="24">
        <v>44981</v>
      </c>
      <c r="F297" s="24">
        <v>44998</v>
      </c>
      <c r="G297" s="22" t="s">
        <v>16</v>
      </c>
      <c r="H297" s="25">
        <v>2591</v>
      </c>
      <c r="I297" s="25">
        <v>82</v>
      </c>
      <c r="J297" s="26">
        <v>63.61</v>
      </c>
      <c r="K297" s="25">
        <v>10</v>
      </c>
      <c r="L297" s="21" t="s">
        <v>21</v>
      </c>
      <c r="M297" s="22" t="s">
        <v>16</v>
      </c>
      <c r="N297" s="27">
        <f t="shared" si="32"/>
        <v>17</v>
      </c>
      <c r="O297" s="28">
        <f t="shared" si="33"/>
        <v>3.1648012350443844E-2</v>
      </c>
      <c r="P297" s="28">
        <f t="shared" si="34"/>
        <v>0.12195121951219512</v>
      </c>
      <c r="Q297" s="26">
        <f t="shared" si="35"/>
        <v>0.77573170731707319</v>
      </c>
      <c r="R297" s="29">
        <f t="shared" si="36"/>
        <v>6.3609999999999998</v>
      </c>
      <c r="S297" s="30">
        <f t="shared" si="37"/>
        <v>2</v>
      </c>
      <c r="T297" s="30">
        <f t="shared" si="38"/>
        <v>2023</v>
      </c>
      <c r="U297" s="29" t="str">
        <f t="shared" si="39"/>
        <v>February</v>
      </c>
    </row>
    <row r="298" spans="1:21" ht="17.399999999999999" x14ac:dyDescent="0.3">
      <c r="A298" s="21" t="s">
        <v>3079</v>
      </c>
      <c r="B298" s="21" t="s">
        <v>3080</v>
      </c>
      <c r="C298" s="23" t="s">
        <v>3516</v>
      </c>
      <c r="D298" s="21" t="s">
        <v>3520</v>
      </c>
      <c r="E298" s="24">
        <v>44981</v>
      </c>
      <c r="F298" s="24">
        <v>45006</v>
      </c>
      <c r="G298" s="22" t="s">
        <v>31</v>
      </c>
      <c r="H298" s="25">
        <v>19787</v>
      </c>
      <c r="I298" s="25">
        <v>553</v>
      </c>
      <c r="J298" s="26">
        <v>656.06</v>
      </c>
      <c r="K298" s="25">
        <v>100</v>
      </c>
      <c r="L298" s="21" t="s">
        <v>21</v>
      </c>
      <c r="M298" s="22" t="s">
        <v>31</v>
      </c>
      <c r="N298" s="27">
        <f t="shared" si="32"/>
        <v>25</v>
      </c>
      <c r="O298" s="28">
        <f t="shared" si="33"/>
        <v>2.7947642391469147E-2</v>
      </c>
      <c r="P298" s="28">
        <f t="shared" si="34"/>
        <v>0.18083182640144665</v>
      </c>
      <c r="Q298" s="26">
        <f t="shared" si="35"/>
        <v>1.1863652802893307</v>
      </c>
      <c r="R298" s="29">
        <f t="shared" si="36"/>
        <v>6.5605999999999991</v>
      </c>
      <c r="S298" s="30">
        <f t="shared" si="37"/>
        <v>2</v>
      </c>
      <c r="T298" s="30">
        <f t="shared" si="38"/>
        <v>2023</v>
      </c>
      <c r="U298" s="29" t="str">
        <f t="shared" si="39"/>
        <v>February</v>
      </c>
    </row>
    <row r="299" spans="1:21" ht="17.399999999999999" x14ac:dyDescent="0.3">
      <c r="A299" s="21" t="s">
        <v>139</v>
      </c>
      <c r="B299" s="21" t="s">
        <v>140</v>
      </c>
      <c r="C299" s="23" t="s">
        <v>3516</v>
      </c>
      <c r="D299" s="21" t="s">
        <v>3521</v>
      </c>
      <c r="E299" s="24">
        <v>44982</v>
      </c>
      <c r="F299" s="24">
        <v>44994</v>
      </c>
      <c r="G299" s="22" t="s">
        <v>31</v>
      </c>
      <c r="H299" s="25">
        <v>38065</v>
      </c>
      <c r="I299" s="25">
        <v>927</v>
      </c>
      <c r="J299" s="26">
        <v>1808.48</v>
      </c>
      <c r="K299" s="25">
        <v>0</v>
      </c>
      <c r="L299" s="21" t="s">
        <v>17</v>
      </c>
      <c r="M299" s="22" t="s">
        <v>31</v>
      </c>
      <c r="N299" s="27">
        <f t="shared" si="32"/>
        <v>12</v>
      </c>
      <c r="O299" s="28">
        <f t="shared" si="33"/>
        <v>2.4353080257454356E-2</v>
      </c>
      <c r="P299" s="28">
        <f t="shared" si="34"/>
        <v>0</v>
      </c>
      <c r="Q299" s="26">
        <f t="shared" si="35"/>
        <v>1.9508953613807982</v>
      </c>
      <c r="R299" s="29" t="str">
        <f t="shared" si="36"/>
        <v>0</v>
      </c>
      <c r="S299" s="30">
        <f t="shared" si="37"/>
        <v>2</v>
      </c>
      <c r="T299" s="30">
        <f t="shared" si="38"/>
        <v>2023</v>
      </c>
      <c r="U299" s="29" t="str">
        <f t="shared" si="39"/>
        <v>February</v>
      </c>
    </row>
    <row r="300" spans="1:21" ht="17.399999999999999" x14ac:dyDescent="0.3">
      <c r="A300" s="21" t="s">
        <v>730</v>
      </c>
      <c r="B300" s="21" t="s">
        <v>731</v>
      </c>
      <c r="C300" s="23" t="s">
        <v>3516</v>
      </c>
      <c r="D300" s="21" t="s">
        <v>3521</v>
      </c>
      <c r="E300" s="24">
        <v>44982</v>
      </c>
      <c r="F300" s="24">
        <v>45002</v>
      </c>
      <c r="G300" s="22" t="s">
        <v>16</v>
      </c>
      <c r="H300" s="25">
        <v>90912</v>
      </c>
      <c r="I300" s="25">
        <v>3992</v>
      </c>
      <c r="J300" s="26">
        <v>7464.44</v>
      </c>
      <c r="K300" s="25">
        <v>418</v>
      </c>
      <c r="L300" s="21" t="s">
        <v>21</v>
      </c>
      <c r="M300" s="22" t="s">
        <v>16</v>
      </c>
      <c r="N300" s="27">
        <f t="shared" si="32"/>
        <v>20</v>
      </c>
      <c r="O300" s="28">
        <f t="shared" si="33"/>
        <v>4.391059486096445E-2</v>
      </c>
      <c r="P300" s="28">
        <f t="shared" si="34"/>
        <v>0.10470941883767534</v>
      </c>
      <c r="Q300" s="26">
        <f t="shared" si="35"/>
        <v>1.8698496993987974</v>
      </c>
      <c r="R300" s="29">
        <f t="shared" si="36"/>
        <v>17.857511961722487</v>
      </c>
      <c r="S300" s="30">
        <f t="shared" si="37"/>
        <v>2</v>
      </c>
      <c r="T300" s="30">
        <f t="shared" si="38"/>
        <v>2023</v>
      </c>
      <c r="U300" s="29" t="str">
        <f t="shared" si="39"/>
        <v>February</v>
      </c>
    </row>
    <row r="301" spans="1:21" ht="17.399999999999999" x14ac:dyDescent="0.3">
      <c r="A301" s="21" t="s">
        <v>1911</v>
      </c>
      <c r="B301" s="22" t="s">
        <v>3623</v>
      </c>
      <c r="C301" s="23" t="s">
        <v>3516</v>
      </c>
      <c r="D301" s="22" t="s">
        <v>3545</v>
      </c>
      <c r="E301" s="24">
        <v>44982</v>
      </c>
      <c r="F301" s="24">
        <v>44998</v>
      </c>
      <c r="G301" s="22" t="s">
        <v>24</v>
      </c>
      <c r="H301" s="25">
        <v>1235</v>
      </c>
      <c r="I301" s="25">
        <v>17</v>
      </c>
      <c r="J301" s="26">
        <v>10.01</v>
      </c>
      <c r="K301" s="25">
        <v>3</v>
      </c>
      <c r="L301" s="21" t="s">
        <v>21</v>
      </c>
      <c r="M301" s="22" t="s">
        <v>3536</v>
      </c>
      <c r="N301" s="27">
        <f t="shared" si="32"/>
        <v>16</v>
      </c>
      <c r="O301" s="28">
        <f t="shared" si="33"/>
        <v>1.3765182186234818E-2</v>
      </c>
      <c r="P301" s="28">
        <f t="shared" si="34"/>
        <v>0.17647058823529413</v>
      </c>
      <c r="Q301" s="26">
        <f t="shared" si="35"/>
        <v>0.58882352941176475</v>
      </c>
      <c r="R301" s="29">
        <f t="shared" si="36"/>
        <v>3.3366666666666664</v>
      </c>
      <c r="S301" s="30">
        <f t="shared" si="37"/>
        <v>2</v>
      </c>
      <c r="T301" s="30">
        <f t="shared" si="38"/>
        <v>2023</v>
      </c>
      <c r="U301" s="29" t="str">
        <f t="shared" si="39"/>
        <v>February</v>
      </c>
    </row>
    <row r="302" spans="1:21" ht="17.399999999999999" x14ac:dyDescent="0.3">
      <c r="A302" s="21" t="s">
        <v>2036</v>
      </c>
      <c r="B302" s="21" t="s">
        <v>2037</v>
      </c>
      <c r="C302" s="23" t="s">
        <v>3516</v>
      </c>
      <c r="D302" s="21" t="s">
        <v>3517</v>
      </c>
      <c r="E302" s="24">
        <v>44982</v>
      </c>
      <c r="F302" s="24">
        <v>44999</v>
      </c>
      <c r="G302" s="22" t="s">
        <v>24</v>
      </c>
      <c r="H302" s="25">
        <v>65484</v>
      </c>
      <c r="I302" s="25">
        <v>2093</v>
      </c>
      <c r="J302" s="26">
        <v>3993.44</v>
      </c>
      <c r="K302" s="25">
        <v>274</v>
      </c>
      <c r="L302" s="21" t="s">
        <v>17</v>
      </c>
      <c r="M302" s="22" t="s">
        <v>3536</v>
      </c>
      <c r="N302" s="27">
        <f t="shared" si="32"/>
        <v>17</v>
      </c>
      <c r="O302" s="28">
        <f t="shared" si="33"/>
        <v>3.1962005986195099E-2</v>
      </c>
      <c r="P302" s="28">
        <f t="shared" si="34"/>
        <v>0.1309125656951744</v>
      </c>
      <c r="Q302" s="26">
        <f t="shared" si="35"/>
        <v>1.9079980888676542</v>
      </c>
      <c r="R302" s="29">
        <f t="shared" si="36"/>
        <v>14.574598540145985</v>
      </c>
      <c r="S302" s="30">
        <f t="shared" si="37"/>
        <v>2</v>
      </c>
      <c r="T302" s="30">
        <f t="shared" si="38"/>
        <v>2023</v>
      </c>
      <c r="U302" s="29" t="str">
        <f t="shared" si="39"/>
        <v>February</v>
      </c>
    </row>
    <row r="303" spans="1:21" ht="17.399999999999999" x14ac:dyDescent="0.3">
      <c r="A303" s="21" t="s">
        <v>3330</v>
      </c>
      <c r="B303" s="21" t="s">
        <v>3331</v>
      </c>
      <c r="C303" s="23" t="s">
        <v>3515</v>
      </c>
      <c r="D303" s="21" t="s">
        <v>3517</v>
      </c>
      <c r="E303" s="24">
        <v>44982</v>
      </c>
      <c r="F303" s="24">
        <v>45012</v>
      </c>
      <c r="G303" s="22" t="s">
        <v>16</v>
      </c>
      <c r="H303" s="25">
        <v>30009</v>
      </c>
      <c r="I303" s="25">
        <v>554</v>
      </c>
      <c r="J303" s="26">
        <v>938.19</v>
      </c>
      <c r="K303" s="25">
        <v>33</v>
      </c>
      <c r="L303" s="21" t="s">
        <v>21</v>
      </c>
      <c r="M303" s="22" t="s">
        <v>16</v>
      </c>
      <c r="N303" s="27">
        <f t="shared" si="32"/>
        <v>30</v>
      </c>
      <c r="O303" s="28">
        <f t="shared" si="33"/>
        <v>1.8461128328168215E-2</v>
      </c>
      <c r="P303" s="28">
        <f t="shared" si="34"/>
        <v>5.9566787003610108E-2</v>
      </c>
      <c r="Q303" s="26">
        <f t="shared" si="35"/>
        <v>1.6934837545126356</v>
      </c>
      <c r="R303" s="29">
        <f t="shared" si="36"/>
        <v>28.430000000000003</v>
      </c>
      <c r="S303" s="30">
        <f t="shared" si="37"/>
        <v>2</v>
      </c>
      <c r="T303" s="30">
        <f t="shared" si="38"/>
        <v>2023</v>
      </c>
      <c r="U303" s="29" t="str">
        <f t="shared" si="39"/>
        <v>February</v>
      </c>
    </row>
    <row r="304" spans="1:21" ht="17.399999999999999" x14ac:dyDescent="0.3">
      <c r="A304" s="21" t="s">
        <v>76</v>
      </c>
      <c r="B304" s="21" t="s">
        <v>77</v>
      </c>
      <c r="C304" s="23" t="s">
        <v>3519</v>
      </c>
      <c r="D304" s="21" t="s">
        <v>3520</v>
      </c>
      <c r="E304" s="24">
        <v>44983</v>
      </c>
      <c r="F304" s="24">
        <v>44986</v>
      </c>
      <c r="G304" s="22" t="s">
        <v>11</v>
      </c>
      <c r="H304" s="25">
        <v>57886</v>
      </c>
      <c r="I304" s="25">
        <v>2514</v>
      </c>
      <c r="J304" s="26">
        <v>3658.23</v>
      </c>
      <c r="K304" s="25">
        <v>237</v>
      </c>
      <c r="L304" s="21" t="s">
        <v>21</v>
      </c>
      <c r="M304" s="22" t="s">
        <v>11</v>
      </c>
      <c r="N304" s="27">
        <f t="shared" si="32"/>
        <v>3</v>
      </c>
      <c r="O304" s="28">
        <f t="shared" si="33"/>
        <v>4.343019037418374E-2</v>
      </c>
      <c r="P304" s="28">
        <f t="shared" si="34"/>
        <v>9.4272076372315036E-2</v>
      </c>
      <c r="Q304" s="26">
        <f t="shared" si="35"/>
        <v>1.4551431980906921</v>
      </c>
      <c r="R304" s="29">
        <f t="shared" si="36"/>
        <v>15.435569620253165</v>
      </c>
      <c r="S304" s="30">
        <f t="shared" si="37"/>
        <v>2</v>
      </c>
      <c r="T304" s="30">
        <f t="shared" si="38"/>
        <v>2023</v>
      </c>
      <c r="U304" s="29" t="str">
        <f t="shared" si="39"/>
        <v>February</v>
      </c>
    </row>
    <row r="305" spans="1:21" ht="17.399999999999999" x14ac:dyDescent="0.3">
      <c r="A305" s="21" t="s">
        <v>1999</v>
      </c>
      <c r="B305" s="21" t="s">
        <v>2000</v>
      </c>
      <c r="C305" s="23" t="s">
        <v>3519</v>
      </c>
      <c r="D305" s="21" t="s">
        <v>3520</v>
      </c>
      <c r="E305" s="24">
        <v>44983</v>
      </c>
      <c r="F305" s="24">
        <v>45003</v>
      </c>
      <c r="G305" s="22" t="s">
        <v>16</v>
      </c>
      <c r="H305" s="25">
        <v>93738</v>
      </c>
      <c r="I305" s="25">
        <v>3999</v>
      </c>
      <c r="J305" s="26">
        <v>5912.17</v>
      </c>
      <c r="K305" s="25">
        <v>338</v>
      </c>
      <c r="L305" s="21" t="s">
        <v>17</v>
      </c>
      <c r="M305" s="22" t="s">
        <v>16</v>
      </c>
      <c r="N305" s="27">
        <f t="shared" si="32"/>
        <v>20</v>
      </c>
      <c r="O305" s="28">
        <f t="shared" si="33"/>
        <v>4.266146066696537E-2</v>
      </c>
      <c r="P305" s="28">
        <f t="shared" si="34"/>
        <v>8.4521130282570647E-2</v>
      </c>
      <c r="Q305" s="26">
        <f t="shared" si="35"/>
        <v>1.4784121030257564</v>
      </c>
      <c r="R305" s="29">
        <f t="shared" si="36"/>
        <v>17.491627218934912</v>
      </c>
      <c r="S305" s="30">
        <f t="shared" si="37"/>
        <v>2</v>
      </c>
      <c r="T305" s="30">
        <f t="shared" si="38"/>
        <v>2023</v>
      </c>
      <c r="U305" s="29" t="str">
        <f t="shared" si="39"/>
        <v>February</v>
      </c>
    </row>
    <row r="306" spans="1:21" ht="17.399999999999999" x14ac:dyDescent="0.3">
      <c r="A306" s="21" t="s">
        <v>2318</v>
      </c>
      <c r="B306" s="21" t="s">
        <v>2319</v>
      </c>
      <c r="C306" s="23" t="s">
        <v>3518</v>
      </c>
      <c r="D306" s="21" t="s">
        <v>3520</v>
      </c>
      <c r="E306" s="24">
        <v>44983</v>
      </c>
      <c r="F306" s="24">
        <v>44984</v>
      </c>
      <c r="G306" s="22" t="s">
        <v>11</v>
      </c>
      <c r="H306" s="25">
        <v>27399</v>
      </c>
      <c r="I306" s="25">
        <v>1014</v>
      </c>
      <c r="J306" s="26">
        <v>1942.18</v>
      </c>
      <c r="K306" s="25">
        <v>112</v>
      </c>
      <c r="L306" s="21" t="s">
        <v>17</v>
      </c>
      <c r="M306" s="22" t="s">
        <v>11</v>
      </c>
      <c r="N306" s="27">
        <f t="shared" si="32"/>
        <v>1</v>
      </c>
      <c r="O306" s="28">
        <f t="shared" si="33"/>
        <v>3.7008649950728126E-2</v>
      </c>
      <c r="P306" s="28">
        <f t="shared" si="34"/>
        <v>0.11045364891518737</v>
      </c>
      <c r="Q306" s="26">
        <f t="shared" si="35"/>
        <v>1.9153648915187378</v>
      </c>
      <c r="R306" s="29">
        <f t="shared" si="36"/>
        <v>17.340892857142858</v>
      </c>
      <c r="S306" s="30">
        <f t="shared" si="37"/>
        <v>2</v>
      </c>
      <c r="T306" s="30">
        <f t="shared" si="38"/>
        <v>2023</v>
      </c>
      <c r="U306" s="29" t="str">
        <f t="shared" si="39"/>
        <v>February</v>
      </c>
    </row>
    <row r="307" spans="1:21" ht="17.399999999999999" x14ac:dyDescent="0.3">
      <c r="A307" s="21" t="s">
        <v>3416</v>
      </c>
      <c r="B307" s="22" t="s">
        <v>3624</v>
      </c>
      <c r="C307" s="23" t="s">
        <v>3519</v>
      </c>
      <c r="D307" s="22" t="s">
        <v>3545</v>
      </c>
      <c r="E307" s="24">
        <v>44984</v>
      </c>
      <c r="F307" s="24">
        <v>45006</v>
      </c>
      <c r="G307" s="22" t="s">
        <v>11</v>
      </c>
      <c r="H307" s="25">
        <v>69577</v>
      </c>
      <c r="I307" s="25">
        <v>1261</v>
      </c>
      <c r="J307" s="26">
        <v>772.93</v>
      </c>
      <c r="K307" s="25">
        <v>144</v>
      </c>
      <c r="L307" s="21" t="s">
        <v>21</v>
      </c>
      <c r="M307" s="22" t="s">
        <v>11</v>
      </c>
      <c r="N307" s="27">
        <f t="shared" si="32"/>
        <v>22</v>
      </c>
      <c r="O307" s="28">
        <f t="shared" si="33"/>
        <v>1.8123805280480618E-2</v>
      </c>
      <c r="P307" s="28">
        <f t="shared" si="34"/>
        <v>0.11419508326724821</v>
      </c>
      <c r="Q307" s="26">
        <f t="shared" si="35"/>
        <v>0.61295003965107053</v>
      </c>
      <c r="R307" s="29">
        <f t="shared" si="36"/>
        <v>5.3675694444444444</v>
      </c>
      <c r="S307" s="30">
        <f t="shared" si="37"/>
        <v>2</v>
      </c>
      <c r="T307" s="30">
        <f t="shared" si="38"/>
        <v>2023</v>
      </c>
      <c r="U307" s="29" t="str">
        <f t="shared" si="39"/>
        <v>February</v>
      </c>
    </row>
    <row r="308" spans="1:21" ht="17.399999999999999" x14ac:dyDescent="0.3">
      <c r="A308" s="21" t="s">
        <v>2999</v>
      </c>
      <c r="B308" s="21" t="s">
        <v>3000</v>
      </c>
      <c r="C308" s="23" t="s">
        <v>3518</v>
      </c>
      <c r="D308" s="21" t="s">
        <v>3517</v>
      </c>
      <c r="E308" s="24">
        <v>44984</v>
      </c>
      <c r="F308" s="24">
        <v>45011</v>
      </c>
      <c r="G308" s="22" t="s">
        <v>24</v>
      </c>
      <c r="H308" s="25">
        <v>4020</v>
      </c>
      <c r="I308" s="25">
        <v>136</v>
      </c>
      <c r="J308" s="26">
        <v>79.69</v>
      </c>
      <c r="K308" s="25">
        <v>19</v>
      </c>
      <c r="L308" s="21" t="s">
        <v>17</v>
      </c>
      <c r="M308" s="22" t="s">
        <v>3536</v>
      </c>
      <c r="N308" s="27">
        <f t="shared" si="32"/>
        <v>27</v>
      </c>
      <c r="O308" s="28">
        <f t="shared" si="33"/>
        <v>3.3830845771144279E-2</v>
      </c>
      <c r="P308" s="28">
        <f t="shared" si="34"/>
        <v>0.13970588235294118</v>
      </c>
      <c r="Q308" s="26">
        <f t="shared" si="35"/>
        <v>0.58595588235294116</v>
      </c>
      <c r="R308" s="29">
        <f t="shared" si="36"/>
        <v>4.1942105263157892</v>
      </c>
      <c r="S308" s="30">
        <f t="shared" si="37"/>
        <v>2</v>
      </c>
      <c r="T308" s="30">
        <f t="shared" si="38"/>
        <v>2023</v>
      </c>
      <c r="U308" s="29" t="str">
        <f t="shared" si="39"/>
        <v>February</v>
      </c>
    </row>
    <row r="309" spans="1:21" ht="17.399999999999999" x14ac:dyDescent="0.3">
      <c r="A309" s="21" t="s">
        <v>99</v>
      </c>
      <c r="B309" s="21" t="s">
        <v>100</v>
      </c>
      <c r="C309" s="23" t="s">
        <v>3516</v>
      </c>
      <c r="D309" s="21" t="s">
        <v>3521</v>
      </c>
      <c r="E309" s="24">
        <v>44984</v>
      </c>
      <c r="F309" s="24">
        <v>44985</v>
      </c>
      <c r="G309" s="22" t="s">
        <v>3535</v>
      </c>
      <c r="H309" s="25">
        <v>77552</v>
      </c>
      <c r="I309" s="25">
        <v>2572</v>
      </c>
      <c r="J309" s="26">
        <v>4321.12</v>
      </c>
      <c r="K309" s="25">
        <v>258</v>
      </c>
      <c r="L309" s="21" t="s">
        <v>21</v>
      </c>
      <c r="M309" s="22" t="s">
        <v>3535</v>
      </c>
      <c r="N309" s="27">
        <f t="shared" si="32"/>
        <v>1</v>
      </c>
      <c r="O309" s="28">
        <f t="shared" si="33"/>
        <v>3.3164844233546521E-2</v>
      </c>
      <c r="P309" s="28">
        <f t="shared" si="34"/>
        <v>0.10031104199066875</v>
      </c>
      <c r="Q309" s="26">
        <f t="shared" si="35"/>
        <v>1.6800622083981338</v>
      </c>
      <c r="R309" s="29">
        <f t="shared" si="36"/>
        <v>16.748527131782946</v>
      </c>
      <c r="S309" s="30">
        <f t="shared" si="37"/>
        <v>2</v>
      </c>
      <c r="T309" s="30">
        <f t="shared" si="38"/>
        <v>2023</v>
      </c>
      <c r="U309" s="29" t="str">
        <f t="shared" si="39"/>
        <v>February</v>
      </c>
    </row>
    <row r="310" spans="1:21" ht="17.399999999999999" x14ac:dyDescent="0.3">
      <c r="A310" s="21" t="s">
        <v>1365</v>
      </c>
      <c r="B310" s="21" t="s">
        <v>1366</v>
      </c>
      <c r="C310" s="23" t="s">
        <v>3515</v>
      </c>
      <c r="D310" s="21" t="s">
        <v>3520</v>
      </c>
      <c r="E310" s="24">
        <v>44984</v>
      </c>
      <c r="F310" s="24">
        <v>44989</v>
      </c>
      <c r="G310" s="22" t="s">
        <v>11</v>
      </c>
      <c r="H310" s="25">
        <v>83844</v>
      </c>
      <c r="I310" s="25">
        <v>1151</v>
      </c>
      <c r="J310" s="26">
        <v>771.36</v>
      </c>
      <c r="K310" s="25">
        <v>98</v>
      </c>
      <c r="L310" s="21" t="s">
        <v>21</v>
      </c>
      <c r="M310" s="22" t="s">
        <v>11</v>
      </c>
      <c r="N310" s="27">
        <f t="shared" si="32"/>
        <v>5</v>
      </c>
      <c r="O310" s="28">
        <f t="shared" si="33"/>
        <v>1.3727875578455227E-2</v>
      </c>
      <c r="P310" s="28">
        <f t="shared" si="34"/>
        <v>8.5143353605560385E-2</v>
      </c>
      <c r="Q310" s="26">
        <f t="shared" si="35"/>
        <v>0.67016507384882706</v>
      </c>
      <c r="R310" s="29">
        <f t="shared" si="36"/>
        <v>7.8710204081632655</v>
      </c>
      <c r="S310" s="30">
        <f t="shared" si="37"/>
        <v>2</v>
      </c>
      <c r="T310" s="30">
        <f t="shared" si="38"/>
        <v>2023</v>
      </c>
      <c r="U310" s="29" t="str">
        <f t="shared" si="39"/>
        <v>February</v>
      </c>
    </row>
    <row r="311" spans="1:21" ht="17.399999999999999" x14ac:dyDescent="0.3">
      <c r="A311" s="21" t="s">
        <v>374</v>
      </c>
      <c r="B311" s="21" t="s">
        <v>375</v>
      </c>
      <c r="C311" s="23" t="s">
        <v>3519</v>
      </c>
      <c r="D311" s="21" t="s">
        <v>3521</v>
      </c>
      <c r="E311" s="24">
        <v>44985</v>
      </c>
      <c r="F311" s="24">
        <v>44990</v>
      </c>
      <c r="G311" s="22" t="s">
        <v>24</v>
      </c>
      <c r="H311" s="25">
        <v>40353</v>
      </c>
      <c r="I311" s="25">
        <v>1049</v>
      </c>
      <c r="J311" s="26">
        <v>1516.72</v>
      </c>
      <c r="K311" s="25">
        <v>209</v>
      </c>
      <c r="L311" s="21" t="s">
        <v>21</v>
      </c>
      <c r="M311" s="22" t="s">
        <v>3536</v>
      </c>
      <c r="N311" s="27">
        <f t="shared" si="32"/>
        <v>5</v>
      </c>
      <c r="O311" s="28">
        <f t="shared" si="33"/>
        <v>2.5995588927712934E-2</v>
      </c>
      <c r="P311" s="28">
        <f t="shared" si="34"/>
        <v>0.1992373689227836</v>
      </c>
      <c r="Q311" s="26">
        <f t="shared" si="35"/>
        <v>1.4458722592945663</v>
      </c>
      <c r="R311" s="29">
        <f t="shared" si="36"/>
        <v>7.2570334928229663</v>
      </c>
      <c r="S311" s="30">
        <f t="shared" si="37"/>
        <v>2</v>
      </c>
      <c r="T311" s="30">
        <f t="shared" si="38"/>
        <v>2023</v>
      </c>
      <c r="U311" s="29" t="str">
        <f t="shared" si="39"/>
        <v>February</v>
      </c>
    </row>
    <row r="312" spans="1:21" ht="17.399999999999999" x14ac:dyDescent="0.3">
      <c r="A312" s="21" t="s">
        <v>448</v>
      </c>
      <c r="B312" s="22" t="s">
        <v>3625</v>
      </c>
      <c r="C312" s="23" t="s">
        <v>3519</v>
      </c>
      <c r="D312" s="22" t="s">
        <v>3545</v>
      </c>
      <c r="E312" s="24">
        <v>44985</v>
      </c>
      <c r="F312" s="24">
        <v>45001</v>
      </c>
      <c r="G312" s="22" t="s">
        <v>31</v>
      </c>
      <c r="H312" s="25">
        <v>50811</v>
      </c>
      <c r="I312" s="25">
        <v>870</v>
      </c>
      <c r="J312" s="26">
        <v>455.65</v>
      </c>
      <c r="K312" s="25">
        <v>0</v>
      </c>
      <c r="L312" s="21" t="s">
        <v>21</v>
      </c>
      <c r="M312" s="22" t="s">
        <v>31</v>
      </c>
      <c r="N312" s="27">
        <f t="shared" si="32"/>
        <v>16</v>
      </c>
      <c r="O312" s="28">
        <f t="shared" si="33"/>
        <v>1.7122276672374093E-2</v>
      </c>
      <c r="P312" s="28">
        <f t="shared" si="34"/>
        <v>0</v>
      </c>
      <c r="Q312" s="26">
        <f t="shared" si="35"/>
        <v>0.52373563218390806</v>
      </c>
      <c r="R312" s="29" t="str">
        <f t="shared" si="36"/>
        <v>0</v>
      </c>
      <c r="S312" s="30">
        <f t="shared" si="37"/>
        <v>2</v>
      </c>
      <c r="T312" s="30">
        <f t="shared" si="38"/>
        <v>2023</v>
      </c>
      <c r="U312" s="29" t="str">
        <f t="shared" si="39"/>
        <v>February</v>
      </c>
    </row>
    <row r="313" spans="1:21" ht="17.399999999999999" x14ac:dyDescent="0.3">
      <c r="A313" s="21" t="s">
        <v>2306</v>
      </c>
      <c r="B313" s="21" t="s">
        <v>2307</v>
      </c>
      <c r="C313" s="23" t="s">
        <v>3519</v>
      </c>
      <c r="D313" s="21" t="s">
        <v>3520</v>
      </c>
      <c r="E313" s="24">
        <v>44985</v>
      </c>
      <c r="F313" s="24">
        <v>44988</v>
      </c>
      <c r="G313" s="22" t="s">
        <v>24</v>
      </c>
      <c r="H313" s="25">
        <v>13342</v>
      </c>
      <c r="I313" s="25">
        <v>494</v>
      </c>
      <c r="J313" s="26">
        <v>294.19</v>
      </c>
      <c r="K313" s="25">
        <v>65</v>
      </c>
      <c r="L313" s="21" t="s">
        <v>17</v>
      </c>
      <c r="M313" s="22" t="s">
        <v>3536</v>
      </c>
      <c r="N313" s="27">
        <f t="shared" si="32"/>
        <v>3</v>
      </c>
      <c r="O313" s="28">
        <f t="shared" si="33"/>
        <v>3.702593314345675E-2</v>
      </c>
      <c r="P313" s="28">
        <f t="shared" si="34"/>
        <v>0.13157894736842105</v>
      </c>
      <c r="Q313" s="26">
        <f t="shared" si="35"/>
        <v>0.59552631578947368</v>
      </c>
      <c r="R313" s="29">
        <f t="shared" si="36"/>
        <v>4.5259999999999998</v>
      </c>
      <c r="S313" s="30">
        <f t="shared" si="37"/>
        <v>2</v>
      </c>
      <c r="T313" s="30">
        <f t="shared" si="38"/>
        <v>2023</v>
      </c>
      <c r="U313" s="29" t="str">
        <f t="shared" si="39"/>
        <v>February</v>
      </c>
    </row>
    <row r="314" spans="1:21" ht="17.399999999999999" x14ac:dyDescent="0.3">
      <c r="A314" s="21" t="s">
        <v>2522</v>
      </c>
      <c r="B314" s="21" t="s">
        <v>2523</v>
      </c>
      <c r="C314" s="23" t="s">
        <v>3518</v>
      </c>
      <c r="D314" s="21" t="s">
        <v>3517</v>
      </c>
      <c r="E314" s="24">
        <v>44985</v>
      </c>
      <c r="F314" s="24">
        <v>44994</v>
      </c>
      <c r="G314" s="22" t="s">
        <v>14</v>
      </c>
      <c r="H314" s="25">
        <v>37397</v>
      </c>
      <c r="I314" s="25">
        <v>878</v>
      </c>
      <c r="J314" s="26">
        <v>1457.28</v>
      </c>
      <c r="K314" s="25">
        <v>170</v>
      </c>
      <c r="L314" s="21" t="s">
        <v>17</v>
      </c>
      <c r="M314" s="22" t="s">
        <v>3537</v>
      </c>
      <c r="N314" s="27">
        <f t="shared" si="32"/>
        <v>9</v>
      </c>
      <c r="O314" s="28">
        <f t="shared" si="33"/>
        <v>2.3477819076396501E-2</v>
      </c>
      <c r="P314" s="28">
        <f t="shared" si="34"/>
        <v>0.19362186788154898</v>
      </c>
      <c r="Q314" s="26">
        <f t="shared" si="35"/>
        <v>1.6597722095671981</v>
      </c>
      <c r="R314" s="29">
        <f t="shared" si="36"/>
        <v>8.5722352941176467</v>
      </c>
      <c r="S314" s="30">
        <f t="shared" si="37"/>
        <v>2</v>
      </c>
      <c r="T314" s="30">
        <f t="shared" si="38"/>
        <v>2023</v>
      </c>
      <c r="U314" s="29" t="str">
        <f t="shared" si="39"/>
        <v>February</v>
      </c>
    </row>
    <row r="315" spans="1:21" ht="17.399999999999999" x14ac:dyDescent="0.3">
      <c r="A315" s="21" t="s">
        <v>533</v>
      </c>
      <c r="B315" s="21" t="s">
        <v>534</v>
      </c>
      <c r="C315" s="23" t="s">
        <v>3516</v>
      </c>
      <c r="D315" s="21" t="s">
        <v>3521</v>
      </c>
      <c r="E315" s="24">
        <v>44985</v>
      </c>
      <c r="F315" s="24">
        <v>44997</v>
      </c>
      <c r="G315" s="22" t="s">
        <v>14</v>
      </c>
      <c r="H315" s="25">
        <v>30299</v>
      </c>
      <c r="I315" s="25">
        <v>1468</v>
      </c>
      <c r="J315" s="26">
        <v>1883.34</v>
      </c>
      <c r="K315" s="25">
        <v>232</v>
      </c>
      <c r="L315" s="21" t="s">
        <v>21</v>
      </c>
      <c r="M315" s="22" t="s">
        <v>3537</v>
      </c>
      <c r="N315" s="27">
        <f t="shared" si="32"/>
        <v>12</v>
      </c>
      <c r="O315" s="28">
        <f t="shared" si="33"/>
        <v>4.8450443909039902E-2</v>
      </c>
      <c r="P315" s="28">
        <f t="shared" si="34"/>
        <v>0.15803814713896458</v>
      </c>
      <c r="Q315" s="26">
        <f t="shared" si="35"/>
        <v>1.2829291553133515</v>
      </c>
      <c r="R315" s="29">
        <f t="shared" si="36"/>
        <v>8.1178448275862074</v>
      </c>
      <c r="S315" s="30">
        <f t="shared" si="37"/>
        <v>2</v>
      </c>
      <c r="T315" s="30">
        <f t="shared" si="38"/>
        <v>2023</v>
      </c>
      <c r="U315" s="29" t="str">
        <f t="shared" si="39"/>
        <v>February</v>
      </c>
    </row>
    <row r="316" spans="1:21" ht="17.399999999999999" x14ac:dyDescent="0.3">
      <c r="A316" s="21" t="s">
        <v>3381</v>
      </c>
      <c r="B316" s="21" t="s">
        <v>3382</v>
      </c>
      <c r="C316" s="23" t="s">
        <v>3516</v>
      </c>
      <c r="D316" s="21" t="s">
        <v>3517</v>
      </c>
      <c r="E316" s="24">
        <v>44985</v>
      </c>
      <c r="F316" s="24">
        <v>45009</v>
      </c>
      <c r="G316" s="22" t="s">
        <v>24</v>
      </c>
      <c r="H316" s="25">
        <v>75663</v>
      </c>
      <c r="I316" s="25">
        <v>1102</v>
      </c>
      <c r="J316" s="26">
        <v>601.28</v>
      </c>
      <c r="K316" s="25">
        <v>217</v>
      </c>
      <c r="L316" s="21" t="s">
        <v>21</v>
      </c>
      <c r="M316" s="22" t="s">
        <v>3536</v>
      </c>
      <c r="N316" s="27">
        <f t="shared" si="32"/>
        <v>24</v>
      </c>
      <c r="O316" s="28">
        <f t="shared" si="33"/>
        <v>1.4564582424698994E-2</v>
      </c>
      <c r="P316" s="28">
        <f t="shared" si="34"/>
        <v>0.19691470054446461</v>
      </c>
      <c r="Q316" s="26">
        <f t="shared" si="35"/>
        <v>0.54562613430127038</v>
      </c>
      <c r="R316" s="29">
        <f t="shared" si="36"/>
        <v>2.7708755760368664</v>
      </c>
      <c r="S316" s="30">
        <f t="shared" si="37"/>
        <v>2</v>
      </c>
      <c r="T316" s="30">
        <f t="shared" si="38"/>
        <v>2023</v>
      </c>
      <c r="U316" s="29" t="str">
        <f t="shared" si="39"/>
        <v>February</v>
      </c>
    </row>
    <row r="317" spans="1:21" ht="17.399999999999999" x14ac:dyDescent="0.3">
      <c r="A317" s="21" t="s">
        <v>1058</v>
      </c>
      <c r="B317" s="21" t="s">
        <v>1059</v>
      </c>
      <c r="C317" s="23" t="s">
        <v>3515</v>
      </c>
      <c r="D317" s="21" t="s">
        <v>3521</v>
      </c>
      <c r="E317" s="24">
        <v>44985</v>
      </c>
      <c r="F317" s="24">
        <v>45004</v>
      </c>
      <c r="G317" s="22" t="s">
        <v>11</v>
      </c>
      <c r="H317" s="25">
        <v>66510</v>
      </c>
      <c r="I317" s="25">
        <v>1242</v>
      </c>
      <c r="J317" s="26">
        <v>1013.88</v>
      </c>
      <c r="K317" s="25">
        <v>221</v>
      </c>
      <c r="L317" s="21" t="s">
        <v>21</v>
      </c>
      <c r="M317" s="22" t="s">
        <v>11</v>
      </c>
      <c r="N317" s="27">
        <f t="shared" si="32"/>
        <v>19</v>
      </c>
      <c r="O317" s="28">
        <f t="shared" si="33"/>
        <v>1.8673883626522326E-2</v>
      </c>
      <c r="P317" s="28">
        <f t="shared" si="34"/>
        <v>0.177938808373591</v>
      </c>
      <c r="Q317" s="26">
        <f t="shared" si="35"/>
        <v>0.81632850241545896</v>
      </c>
      <c r="R317" s="29">
        <f t="shared" si="36"/>
        <v>4.5876923076923077</v>
      </c>
      <c r="S317" s="30">
        <f t="shared" si="37"/>
        <v>2</v>
      </c>
      <c r="T317" s="30">
        <f t="shared" si="38"/>
        <v>2023</v>
      </c>
      <c r="U317" s="29" t="str">
        <f t="shared" si="39"/>
        <v>February</v>
      </c>
    </row>
    <row r="318" spans="1:21" ht="17.399999999999999" x14ac:dyDescent="0.3">
      <c r="A318" s="21" t="s">
        <v>1645</v>
      </c>
      <c r="B318" s="21" t="s">
        <v>1646</v>
      </c>
      <c r="C318" s="23" t="s">
        <v>3515</v>
      </c>
      <c r="D318" s="21" t="s">
        <v>3520</v>
      </c>
      <c r="E318" s="24">
        <v>44985</v>
      </c>
      <c r="F318" s="24">
        <v>45000</v>
      </c>
      <c r="G318" s="22" t="s">
        <v>14</v>
      </c>
      <c r="H318" s="25">
        <v>23574</v>
      </c>
      <c r="I318" s="25">
        <v>1054</v>
      </c>
      <c r="J318" s="26">
        <v>648.29999999999995</v>
      </c>
      <c r="K318" s="25">
        <v>104</v>
      </c>
      <c r="L318" s="21" t="s">
        <v>21</v>
      </c>
      <c r="M318" s="22" t="s">
        <v>3537</v>
      </c>
      <c r="N318" s="27">
        <f t="shared" si="32"/>
        <v>15</v>
      </c>
      <c r="O318" s="28">
        <f t="shared" si="33"/>
        <v>4.4710274030711802E-2</v>
      </c>
      <c r="P318" s="28">
        <f t="shared" si="34"/>
        <v>9.8671726755218223E-2</v>
      </c>
      <c r="Q318" s="26">
        <f t="shared" si="35"/>
        <v>0.61508538899430731</v>
      </c>
      <c r="R318" s="29">
        <f t="shared" si="36"/>
        <v>6.233653846153846</v>
      </c>
      <c r="S318" s="30">
        <f t="shared" si="37"/>
        <v>2</v>
      </c>
      <c r="T318" s="30">
        <f t="shared" si="38"/>
        <v>2023</v>
      </c>
      <c r="U318" s="29" t="str">
        <f t="shared" si="39"/>
        <v>February</v>
      </c>
    </row>
    <row r="319" spans="1:21" ht="17.399999999999999" x14ac:dyDescent="0.3">
      <c r="A319" s="21" t="s">
        <v>1828</v>
      </c>
      <c r="B319" s="21" t="s">
        <v>1829</v>
      </c>
      <c r="C319" s="23" t="s">
        <v>3518</v>
      </c>
      <c r="D319" s="21" t="s">
        <v>3517</v>
      </c>
      <c r="E319" s="24">
        <v>44985</v>
      </c>
      <c r="F319" s="24">
        <v>45049</v>
      </c>
      <c r="G319" s="22" t="s">
        <v>11</v>
      </c>
      <c r="H319" s="25">
        <v>1846</v>
      </c>
      <c r="I319" s="25">
        <v>57</v>
      </c>
      <c r="J319" s="26">
        <v>29.73</v>
      </c>
      <c r="K319" s="25">
        <v>0</v>
      </c>
      <c r="L319" s="21" t="s">
        <v>21</v>
      </c>
      <c r="M319" s="22" t="s">
        <v>11</v>
      </c>
      <c r="N319" s="27">
        <f t="shared" si="32"/>
        <v>64</v>
      </c>
      <c r="O319" s="28">
        <f t="shared" si="33"/>
        <v>3.0877573131094259E-2</v>
      </c>
      <c r="P319" s="28">
        <f t="shared" si="34"/>
        <v>0</v>
      </c>
      <c r="Q319" s="26">
        <f t="shared" si="35"/>
        <v>0.52157894736842103</v>
      </c>
      <c r="R319" s="29" t="str">
        <f t="shared" si="36"/>
        <v>0</v>
      </c>
      <c r="S319" s="30">
        <f t="shared" si="37"/>
        <v>2</v>
      </c>
      <c r="T319" s="30">
        <f t="shared" si="38"/>
        <v>2023</v>
      </c>
      <c r="U319" s="29" t="str">
        <f t="shared" si="39"/>
        <v>February</v>
      </c>
    </row>
    <row r="320" spans="1:21" ht="17.399999999999999" x14ac:dyDescent="0.3">
      <c r="A320" s="21" t="s">
        <v>1923</v>
      </c>
      <c r="B320" s="22" t="s">
        <v>3626</v>
      </c>
      <c r="C320" s="23" t="s">
        <v>3519</v>
      </c>
      <c r="D320" s="22" t="s">
        <v>3545</v>
      </c>
      <c r="E320" s="24">
        <v>44985</v>
      </c>
      <c r="F320" s="24">
        <v>45109</v>
      </c>
      <c r="G320" s="22" t="s">
        <v>14</v>
      </c>
      <c r="H320" s="25">
        <v>74698</v>
      </c>
      <c r="I320" s="25">
        <v>1247</v>
      </c>
      <c r="J320" s="26">
        <v>1881.21</v>
      </c>
      <c r="K320" s="25">
        <v>101</v>
      </c>
      <c r="L320" s="21" t="s">
        <v>21</v>
      </c>
      <c r="M320" s="22" t="s">
        <v>3537</v>
      </c>
      <c r="N320" s="27">
        <f t="shared" si="32"/>
        <v>124</v>
      </c>
      <c r="O320" s="28">
        <f t="shared" si="33"/>
        <v>1.6693887386543146E-2</v>
      </c>
      <c r="P320" s="28">
        <f t="shared" si="34"/>
        <v>8.0994386527666398E-2</v>
      </c>
      <c r="Q320" s="26">
        <f t="shared" si="35"/>
        <v>1.5085886126704091</v>
      </c>
      <c r="R320" s="29">
        <f t="shared" si="36"/>
        <v>18.625841584158415</v>
      </c>
      <c r="S320" s="30">
        <f t="shared" si="37"/>
        <v>2</v>
      </c>
      <c r="T320" s="30">
        <f t="shared" si="38"/>
        <v>2023</v>
      </c>
      <c r="U320" s="29" t="str">
        <f t="shared" si="39"/>
        <v>February</v>
      </c>
    </row>
    <row r="321" spans="1:21" ht="17.399999999999999" x14ac:dyDescent="0.3">
      <c r="A321" s="21" t="s">
        <v>3407</v>
      </c>
      <c r="B321" s="21" t="s">
        <v>3408</v>
      </c>
      <c r="C321" s="23" t="s">
        <v>3519</v>
      </c>
      <c r="D321" s="21" t="s">
        <v>3521</v>
      </c>
      <c r="E321" s="24">
        <v>44986</v>
      </c>
      <c r="F321" s="24">
        <v>45008</v>
      </c>
      <c r="G321" s="22" t="s">
        <v>24</v>
      </c>
      <c r="H321" s="25">
        <v>24398</v>
      </c>
      <c r="I321" s="25">
        <v>957</v>
      </c>
      <c r="J321" s="26">
        <v>1215.18</v>
      </c>
      <c r="K321" s="25">
        <v>65</v>
      </c>
      <c r="L321" s="21" t="s">
        <v>21</v>
      </c>
      <c r="M321" s="22" t="s">
        <v>3536</v>
      </c>
      <c r="N321" s="27">
        <f t="shared" si="32"/>
        <v>22</v>
      </c>
      <c r="O321" s="28">
        <f t="shared" si="33"/>
        <v>3.9224526600541029E-2</v>
      </c>
      <c r="P321" s="28">
        <f t="shared" si="34"/>
        <v>6.7920585161964475E-2</v>
      </c>
      <c r="Q321" s="26">
        <f t="shared" si="35"/>
        <v>1.2697805642633229</v>
      </c>
      <c r="R321" s="29">
        <f t="shared" si="36"/>
        <v>18.695076923076925</v>
      </c>
      <c r="S321" s="30">
        <f t="shared" si="37"/>
        <v>3</v>
      </c>
      <c r="T321" s="30">
        <f t="shared" si="38"/>
        <v>2023</v>
      </c>
      <c r="U321" s="29" t="str">
        <f t="shared" si="39"/>
        <v>March</v>
      </c>
    </row>
    <row r="322" spans="1:21" ht="17.399999999999999" x14ac:dyDescent="0.3">
      <c r="A322" s="21" t="s">
        <v>1327</v>
      </c>
      <c r="B322" s="21" t="s">
        <v>1328</v>
      </c>
      <c r="C322" s="23" t="s">
        <v>3518</v>
      </c>
      <c r="D322" s="21" t="s">
        <v>3520</v>
      </c>
      <c r="E322" s="24">
        <v>44986</v>
      </c>
      <c r="F322" s="24">
        <v>45010</v>
      </c>
      <c r="G322" s="22" t="s">
        <v>31</v>
      </c>
      <c r="H322" s="25">
        <v>11975</v>
      </c>
      <c r="I322" s="25">
        <v>282</v>
      </c>
      <c r="J322" s="26">
        <v>262.75</v>
      </c>
      <c r="K322" s="25">
        <v>36</v>
      </c>
      <c r="L322" s="21" t="s">
        <v>21</v>
      </c>
      <c r="M322" s="22" t="s">
        <v>31</v>
      </c>
      <c r="N322" s="27">
        <f t="shared" ref="N322:N385" si="40">F322-E322</f>
        <v>24</v>
      </c>
      <c r="O322" s="28">
        <f t="shared" ref="O322:O385" si="41">I322/H322</f>
        <v>2.3549060542797495E-2</v>
      </c>
      <c r="P322" s="28">
        <f t="shared" ref="P322:P385" si="42">K322/I322</f>
        <v>0.1276595744680851</v>
      </c>
      <c r="Q322" s="26">
        <f t="shared" ref="Q322:Q385" si="43">J322/I322</f>
        <v>0.93173758865248224</v>
      </c>
      <c r="R322" s="29">
        <f t="shared" ref="R322:R385" si="44">IFERROR(J322/K322,"0")</f>
        <v>7.2986111111111107</v>
      </c>
      <c r="S322" s="30">
        <f t="shared" ref="S322:S385" si="45">MONTH(E322)</f>
        <v>3</v>
      </c>
      <c r="T322" s="30">
        <f t="shared" ref="T322:T385" si="46">YEAR(E322)</f>
        <v>2023</v>
      </c>
      <c r="U322" s="29" t="str">
        <f t="shared" ref="U322:U385" si="47">TEXT(E322,"mmmm")</f>
        <v>March</v>
      </c>
    </row>
    <row r="323" spans="1:21" ht="17.399999999999999" x14ac:dyDescent="0.3">
      <c r="A323" s="21" t="s">
        <v>2329</v>
      </c>
      <c r="B323" s="21" t="s">
        <v>2330</v>
      </c>
      <c r="C323" s="23" t="s">
        <v>3518</v>
      </c>
      <c r="D323" s="21" t="s">
        <v>3520</v>
      </c>
      <c r="E323" s="24">
        <v>44986</v>
      </c>
      <c r="F323" s="24">
        <v>45002</v>
      </c>
      <c r="G323" s="22" t="s">
        <v>11</v>
      </c>
      <c r="H323" s="25">
        <v>64230</v>
      </c>
      <c r="I323" s="25">
        <v>1923</v>
      </c>
      <c r="J323" s="26">
        <v>1197.93</v>
      </c>
      <c r="K323" s="25">
        <v>172</v>
      </c>
      <c r="L323" s="21" t="s">
        <v>21</v>
      </c>
      <c r="M323" s="22" t="s">
        <v>11</v>
      </c>
      <c r="N323" s="27">
        <f t="shared" si="40"/>
        <v>16</v>
      </c>
      <c r="O323" s="28">
        <f t="shared" si="41"/>
        <v>2.9939280709948623E-2</v>
      </c>
      <c r="P323" s="28">
        <f t="shared" si="42"/>
        <v>8.9443577743109723E-2</v>
      </c>
      <c r="Q323" s="26">
        <f t="shared" si="43"/>
        <v>0.62294851794071771</v>
      </c>
      <c r="R323" s="29">
        <f t="shared" si="44"/>
        <v>6.9647093023255815</v>
      </c>
      <c r="S323" s="30">
        <f t="shared" si="45"/>
        <v>3</v>
      </c>
      <c r="T323" s="30">
        <f t="shared" si="46"/>
        <v>2023</v>
      </c>
      <c r="U323" s="29" t="str">
        <f t="shared" si="47"/>
        <v>March</v>
      </c>
    </row>
    <row r="324" spans="1:21" ht="17.399999999999999" x14ac:dyDescent="0.3">
      <c r="A324" s="21" t="s">
        <v>2295</v>
      </c>
      <c r="B324" s="22" t="s">
        <v>3627</v>
      </c>
      <c r="C324" s="23" t="s">
        <v>3516</v>
      </c>
      <c r="D324" s="22" t="s">
        <v>3545</v>
      </c>
      <c r="E324" s="24">
        <v>44986</v>
      </c>
      <c r="F324" s="24">
        <v>45005</v>
      </c>
      <c r="G324" s="22" t="s">
        <v>3535</v>
      </c>
      <c r="H324" s="25">
        <v>27737</v>
      </c>
      <c r="I324" s="25">
        <v>1316</v>
      </c>
      <c r="J324" s="26">
        <v>2342.4699999999998</v>
      </c>
      <c r="K324" s="25">
        <v>257</v>
      </c>
      <c r="L324" s="21" t="s">
        <v>21</v>
      </c>
      <c r="M324" s="22" t="s">
        <v>3535</v>
      </c>
      <c r="N324" s="27">
        <f t="shared" si="40"/>
        <v>19</v>
      </c>
      <c r="O324" s="28">
        <f t="shared" si="41"/>
        <v>4.7445650214514905E-2</v>
      </c>
      <c r="P324" s="28">
        <f t="shared" si="42"/>
        <v>0.19528875379939209</v>
      </c>
      <c r="Q324" s="26">
        <f t="shared" si="43"/>
        <v>1.7799924012158053</v>
      </c>
      <c r="R324" s="29">
        <f t="shared" si="44"/>
        <v>9.1146692607003885</v>
      </c>
      <c r="S324" s="30">
        <f t="shared" si="45"/>
        <v>3</v>
      </c>
      <c r="T324" s="30">
        <f t="shared" si="46"/>
        <v>2023</v>
      </c>
      <c r="U324" s="29" t="str">
        <f t="shared" si="47"/>
        <v>March</v>
      </c>
    </row>
    <row r="325" spans="1:21" ht="17.399999999999999" x14ac:dyDescent="0.3">
      <c r="A325" s="21" t="s">
        <v>257</v>
      </c>
      <c r="B325" s="22" t="s">
        <v>3628</v>
      </c>
      <c r="C325" s="23" t="s">
        <v>3515</v>
      </c>
      <c r="D325" s="22" t="s">
        <v>3545</v>
      </c>
      <c r="E325" s="24">
        <v>44986</v>
      </c>
      <c r="F325" s="24">
        <v>44995</v>
      </c>
      <c r="G325" s="22" t="s">
        <v>24</v>
      </c>
      <c r="H325" s="25">
        <v>91982</v>
      </c>
      <c r="I325" s="25">
        <v>4574</v>
      </c>
      <c r="J325" s="26">
        <v>5394.42</v>
      </c>
      <c r="K325" s="25">
        <v>0</v>
      </c>
      <c r="L325" s="21" t="s">
        <v>17</v>
      </c>
      <c r="M325" s="22" t="s">
        <v>3536</v>
      </c>
      <c r="N325" s="27">
        <f t="shared" si="40"/>
        <v>9</v>
      </c>
      <c r="O325" s="28">
        <f t="shared" si="41"/>
        <v>4.9727120523580699E-2</v>
      </c>
      <c r="P325" s="28">
        <f t="shared" si="42"/>
        <v>0</v>
      </c>
      <c r="Q325" s="26">
        <f t="shared" si="43"/>
        <v>1.1793659816353301</v>
      </c>
      <c r="R325" s="29" t="str">
        <f t="shared" si="44"/>
        <v>0</v>
      </c>
      <c r="S325" s="30">
        <f t="shared" si="45"/>
        <v>3</v>
      </c>
      <c r="T325" s="30">
        <f t="shared" si="46"/>
        <v>2023</v>
      </c>
      <c r="U325" s="29" t="str">
        <f t="shared" si="47"/>
        <v>March</v>
      </c>
    </row>
    <row r="326" spans="1:21" ht="17.399999999999999" x14ac:dyDescent="0.3">
      <c r="A326" s="21" t="s">
        <v>3234</v>
      </c>
      <c r="B326" s="21" t="s">
        <v>3235</v>
      </c>
      <c r="C326" s="23" t="s">
        <v>3519</v>
      </c>
      <c r="D326" s="21" t="s">
        <v>3520</v>
      </c>
      <c r="E326" s="24">
        <v>44987</v>
      </c>
      <c r="F326" s="24">
        <v>45004</v>
      </c>
      <c r="G326" s="22" t="s">
        <v>31</v>
      </c>
      <c r="H326" s="25">
        <v>82871</v>
      </c>
      <c r="I326" s="25">
        <v>2183</v>
      </c>
      <c r="J326" s="26">
        <v>3837.52</v>
      </c>
      <c r="K326" s="25">
        <v>376</v>
      </c>
      <c r="L326" s="21" t="s">
        <v>21</v>
      </c>
      <c r="M326" s="22" t="s">
        <v>31</v>
      </c>
      <c r="N326" s="27">
        <f t="shared" si="40"/>
        <v>17</v>
      </c>
      <c r="O326" s="28">
        <f t="shared" si="41"/>
        <v>2.6342146227268888E-2</v>
      </c>
      <c r="P326" s="28">
        <f t="shared" si="42"/>
        <v>0.17224003664681631</v>
      </c>
      <c r="Q326" s="26">
        <f t="shared" si="43"/>
        <v>1.7579111314704534</v>
      </c>
      <c r="R326" s="29">
        <f t="shared" si="44"/>
        <v>10.206170212765958</v>
      </c>
      <c r="S326" s="30">
        <f t="shared" si="45"/>
        <v>3</v>
      </c>
      <c r="T326" s="30">
        <f t="shared" si="46"/>
        <v>2023</v>
      </c>
      <c r="U326" s="29" t="str">
        <f t="shared" si="47"/>
        <v>March</v>
      </c>
    </row>
    <row r="327" spans="1:21" ht="17.399999999999999" x14ac:dyDescent="0.3">
      <c r="A327" s="21" t="s">
        <v>2237</v>
      </c>
      <c r="B327" s="22" t="s">
        <v>3629</v>
      </c>
      <c r="C327" s="23" t="s">
        <v>3518</v>
      </c>
      <c r="D327" s="22" t="s">
        <v>3545</v>
      </c>
      <c r="E327" s="24">
        <v>44987</v>
      </c>
      <c r="F327" s="24">
        <v>45005</v>
      </c>
      <c r="G327" s="22" t="s">
        <v>16</v>
      </c>
      <c r="H327" s="25">
        <v>25917</v>
      </c>
      <c r="I327" s="25">
        <v>559</v>
      </c>
      <c r="J327" s="26">
        <v>888.34</v>
      </c>
      <c r="K327" s="25">
        <v>86</v>
      </c>
      <c r="L327" s="21" t="s">
        <v>21</v>
      </c>
      <c r="M327" s="22" t="s">
        <v>16</v>
      </c>
      <c r="N327" s="27">
        <f t="shared" si="40"/>
        <v>18</v>
      </c>
      <c r="O327" s="28">
        <f t="shared" si="41"/>
        <v>2.1568854419878845E-2</v>
      </c>
      <c r="P327" s="28">
        <f t="shared" si="42"/>
        <v>0.15384615384615385</v>
      </c>
      <c r="Q327" s="26">
        <f t="shared" si="43"/>
        <v>1.5891592128801433</v>
      </c>
      <c r="R327" s="29">
        <f t="shared" si="44"/>
        <v>10.32953488372093</v>
      </c>
      <c r="S327" s="30">
        <f t="shared" si="45"/>
        <v>3</v>
      </c>
      <c r="T327" s="30">
        <f t="shared" si="46"/>
        <v>2023</v>
      </c>
      <c r="U327" s="29" t="str">
        <f t="shared" si="47"/>
        <v>March</v>
      </c>
    </row>
    <row r="328" spans="1:21" ht="17.399999999999999" x14ac:dyDescent="0.3">
      <c r="A328" s="21" t="s">
        <v>2669</v>
      </c>
      <c r="B328" s="21" t="s">
        <v>2670</v>
      </c>
      <c r="C328" s="23" t="s">
        <v>3518</v>
      </c>
      <c r="D328" s="21" t="s">
        <v>3517</v>
      </c>
      <c r="E328" s="24">
        <v>44987</v>
      </c>
      <c r="F328" s="24">
        <v>45010</v>
      </c>
      <c r="G328" s="22" t="s">
        <v>16</v>
      </c>
      <c r="H328" s="25">
        <v>78454</v>
      </c>
      <c r="I328" s="25">
        <v>1069</v>
      </c>
      <c r="J328" s="26">
        <v>952.88</v>
      </c>
      <c r="K328" s="25">
        <v>148</v>
      </c>
      <c r="L328" s="21" t="s">
        <v>21</v>
      </c>
      <c r="M328" s="22" t="s">
        <v>16</v>
      </c>
      <c r="N328" s="27">
        <f t="shared" si="40"/>
        <v>23</v>
      </c>
      <c r="O328" s="28">
        <f t="shared" si="41"/>
        <v>1.362581895123257E-2</v>
      </c>
      <c r="P328" s="28">
        <f t="shared" si="42"/>
        <v>0.13844714686623011</v>
      </c>
      <c r="Q328" s="26">
        <f t="shared" si="43"/>
        <v>0.8913751169317119</v>
      </c>
      <c r="R328" s="29">
        <f t="shared" si="44"/>
        <v>6.4383783783783786</v>
      </c>
      <c r="S328" s="30">
        <f t="shared" si="45"/>
        <v>3</v>
      </c>
      <c r="T328" s="30">
        <f t="shared" si="46"/>
        <v>2023</v>
      </c>
      <c r="U328" s="29" t="str">
        <f t="shared" si="47"/>
        <v>March</v>
      </c>
    </row>
    <row r="329" spans="1:21" ht="17.399999999999999" x14ac:dyDescent="0.3">
      <c r="A329" s="21" t="s">
        <v>1419</v>
      </c>
      <c r="B329" s="21" t="s">
        <v>1420</v>
      </c>
      <c r="C329" s="23" t="s">
        <v>3516</v>
      </c>
      <c r="D329" s="21" t="s">
        <v>3520</v>
      </c>
      <c r="E329" s="24">
        <v>44987</v>
      </c>
      <c r="F329" s="24">
        <v>44988</v>
      </c>
      <c r="G329" s="22" t="s">
        <v>31</v>
      </c>
      <c r="H329" s="25">
        <v>19017</v>
      </c>
      <c r="I329" s="25">
        <v>752</v>
      </c>
      <c r="J329" s="26">
        <v>1195.8699999999999</v>
      </c>
      <c r="K329" s="25">
        <v>60</v>
      </c>
      <c r="L329" s="21" t="s">
        <v>17</v>
      </c>
      <c r="M329" s="22" t="s">
        <v>31</v>
      </c>
      <c r="N329" s="27">
        <f t="shared" si="40"/>
        <v>1</v>
      </c>
      <c r="O329" s="28">
        <f t="shared" si="41"/>
        <v>3.9543566282799598E-2</v>
      </c>
      <c r="P329" s="28">
        <f t="shared" si="42"/>
        <v>7.9787234042553196E-2</v>
      </c>
      <c r="Q329" s="26">
        <f t="shared" si="43"/>
        <v>1.5902526595744679</v>
      </c>
      <c r="R329" s="29">
        <f t="shared" si="44"/>
        <v>19.931166666666666</v>
      </c>
      <c r="S329" s="30">
        <f t="shared" si="45"/>
        <v>3</v>
      </c>
      <c r="T329" s="30">
        <f t="shared" si="46"/>
        <v>2023</v>
      </c>
      <c r="U329" s="29" t="str">
        <f t="shared" si="47"/>
        <v>March</v>
      </c>
    </row>
    <row r="330" spans="1:21" ht="17.399999999999999" x14ac:dyDescent="0.3">
      <c r="A330" s="21" t="s">
        <v>171</v>
      </c>
      <c r="B330" s="21" t="s">
        <v>172</v>
      </c>
      <c r="C330" s="23" t="s">
        <v>3519</v>
      </c>
      <c r="D330" s="21" t="s">
        <v>3520</v>
      </c>
      <c r="E330" s="24">
        <v>44988</v>
      </c>
      <c r="F330" s="24">
        <v>45017</v>
      </c>
      <c r="G330" s="22" t="s">
        <v>31</v>
      </c>
      <c r="H330" s="25">
        <v>87779</v>
      </c>
      <c r="I330" s="25">
        <v>1188</v>
      </c>
      <c r="J330" s="26">
        <v>624.55999999999995</v>
      </c>
      <c r="K330" s="25">
        <v>186</v>
      </c>
      <c r="L330" s="21" t="s">
        <v>17</v>
      </c>
      <c r="M330" s="22" t="s">
        <v>31</v>
      </c>
      <c r="N330" s="27">
        <f t="shared" si="40"/>
        <v>29</v>
      </c>
      <c r="O330" s="28">
        <f t="shared" si="41"/>
        <v>1.3533988767245013E-2</v>
      </c>
      <c r="P330" s="28">
        <f t="shared" si="42"/>
        <v>0.15656565656565657</v>
      </c>
      <c r="Q330" s="26">
        <f t="shared" si="43"/>
        <v>0.5257239057239057</v>
      </c>
      <c r="R330" s="29">
        <f t="shared" si="44"/>
        <v>3.357849462365591</v>
      </c>
      <c r="S330" s="30">
        <f t="shared" si="45"/>
        <v>3</v>
      </c>
      <c r="T330" s="30">
        <f t="shared" si="46"/>
        <v>2023</v>
      </c>
      <c r="U330" s="29" t="str">
        <f t="shared" si="47"/>
        <v>March</v>
      </c>
    </row>
    <row r="331" spans="1:21" ht="17.399999999999999" x14ac:dyDescent="0.3">
      <c r="A331" s="21" t="s">
        <v>815</v>
      </c>
      <c r="B331" s="21" t="s">
        <v>816</v>
      </c>
      <c r="C331" s="23" t="s">
        <v>3516</v>
      </c>
      <c r="D331" s="21" t="s">
        <v>3521</v>
      </c>
      <c r="E331" s="24">
        <v>44988</v>
      </c>
      <c r="F331" s="24">
        <v>44990</v>
      </c>
      <c r="G331" s="22" t="s">
        <v>24</v>
      </c>
      <c r="H331" s="25">
        <v>84613</v>
      </c>
      <c r="I331" s="25">
        <v>3994</v>
      </c>
      <c r="J331" s="26">
        <v>4458.4399999999996</v>
      </c>
      <c r="K331" s="25">
        <v>760</v>
      </c>
      <c r="L331" s="21" t="s">
        <v>21</v>
      </c>
      <c r="M331" s="22" t="s">
        <v>3536</v>
      </c>
      <c r="N331" s="27">
        <f t="shared" si="40"/>
        <v>2</v>
      </c>
      <c r="O331" s="28">
        <f t="shared" si="41"/>
        <v>4.7203148452365479E-2</v>
      </c>
      <c r="P331" s="28">
        <f t="shared" si="42"/>
        <v>0.19028542814221333</v>
      </c>
      <c r="Q331" s="26">
        <f t="shared" si="43"/>
        <v>1.1162844266399599</v>
      </c>
      <c r="R331" s="29">
        <f t="shared" si="44"/>
        <v>5.8663684210526315</v>
      </c>
      <c r="S331" s="30">
        <f t="shared" si="45"/>
        <v>3</v>
      </c>
      <c r="T331" s="30">
        <f t="shared" si="46"/>
        <v>2023</v>
      </c>
      <c r="U331" s="29" t="str">
        <f t="shared" si="47"/>
        <v>March</v>
      </c>
    </row>
    <row r="332" spans="1:21" ht="17.399999999999999" x14ac:dyDescent="0.3">
      <c r="A332" s="21" t="s">
        <v>2107</v>
      </c>
      <c r="B332" s="21" t="s">
        <v>2108</v>
      </c>
      <c r="C332" s="23" t="s">
        <v>3516</v>
      </c>
      <c r="D332" s="21" t="s">
        <v>3517</v>
      </c>
      <c r="E332" s="24">
        <v>44988</v>
      </c>
      <c r="F332" s="24">
        <v>45013</v>
      </c>
      <c r="G332" s="22" t="s">
        <v>3535</v>
      </c>
      <c r="H332" s="25">
        <v>16328</v>
      </c>
      <c r="I332" s="25">
        <v>770</v>
      </c>
      <c r="J332" s="26">
        <v>1126.6099999999999</v>
      </c>
      <c r="K332" s="25">
        <v>62</v>
      </c>
      <c r="L332" s="21" t="s">
        <v>21</v>
      </c>
      <c r="M332" s="22" t="s">
        <v>3535</v>
      </c>
      <c r="N332" s="27">
        <f t="shared" si="40"/>
        <v>25</v>
      </c>
      <c r="O332" s="28">
        <f t="shared" si="41"/>
        <v>4.7158255756981869E-2</v>
      </c>
      <c r="P332" s="28">
        <f t="shared" si="42"/>
        <v>8.0519480519480519E-2</v>
      </c>
      <c r="Q332" s="26">
        <f t="shared" si="43"/>
        <v>1.4631298701298701</v>
      </c>
      <c r="R332" s="29">
        <f t="shared" si="44"/>
        <v>18.171129032258062</v>
      </c>
      <c r="S332" s="30">
        <f t="shared" si="45"/>
        <v>3</v>
      </c>
      <c r="T332" s="30">
        <f t="shared" si="46"/>
        <v>2023</v>
      </c>
      <c r="U332" s="29" t="str">
        <f t="shared" si="47"/>
        <v>March</v>
      </c>
    </row>
    <row r="333" spans="1:21" ht="17.399999999999999" x14ac:dyDescent="0.3">
      <c r="A333" s="21" t="s">
        <v>3003</v>
      </c>
      <c r="B333" s="21" t="s">
        <v>3004</v>
      </c>
      <c r="C333" s="23" t="s">
        <v>3515</v>
      </c>
      <c r="D333" s="21" t="s">
        <v>3521</v>
      </c>
      <c r="E333" s="24">
        <v>44988</v>
      </c>
      <c r="F333" s="24">
        <v>45001</v>
      </c>
      <c r="G333" s="22" t="s">
        <v>14</v>
      </c>
      <c r="H333" s="25">
        <v>86956</v>
      </c>
      <c r="I333" s="25">
        <v>2000</v>
      </c>
      <c r="J333" s="26">
        <v>3122.28</v>
      </c>
      <c r="K333" s="25">
        <v>359</v>
      </c>
      <c r="L333" s="21" t="s">
        <v>17</v>
      </c>
      <c r="M333" s="22" t="s">
        <v>3537</v>
      </c>
      <c r="N333" s="27">
        <f t="shared" si="40"/>
        <v>13</v>
      </c>
      <c r="O333" s="28">
        <f t="shared" si="41"/>
        <v>2.3000138000828004E-2</v>
      </c>
      <c r="P333" s="28">
        <f t="shared" si="42"/>
        <v>0.17949999999999999</v>
      </c>
      <c r="Q333" s="26">
        <f t="shared" si="43"/>
        <v>1.5611400000000002</v>
      </c>
      <c r="R333" s="29">
        <f t="shared" si="44"/>
        <v>8.6971587743732588</v>
      </c>
      <c r="S333" s="30">
        <f t="shared" si="45"/>
        <v>3</v>
      </c>
      <c r="T333" s="30">
        <f t="shared" si="46"/>
        <v>2023</v>
      </c>
      <c r="U333" s="29" t="str">
        <f t="shared" si="47"/>
        <v>March</v>
      </c>
    </row>
    <row r="334" spans="1:21" ht="17.399999999999999" x14ac:dyDescent="0.3">
      <c r="A334" s="21" t="s">
        <v>1138</v>
      </c>
      <c r="B334" s="21" t="s">
        <v>1139</v>
      </c>
      <c r="C334" s="23" t="s">
        <v>3518</v>
      </c>
      <c r="D334" s="21" t="s">
        <v>3520</v>
      </c>
      <c r="E334" s="24">
        <v>44989</v>
      </c>
      <c r="F334" s="24">
        <v>45004</v>
      </c>
      <c r="G334" s="22" t="s">
        <v>14</v>
      </c>
      <c r="H334" s="25">
        <v>67703</v>
      </c>
      <c r="I334" s="25">
        <v>2700</v>
      </c>
      <c r="J334" s="26">
        <v>4311.1899999999996</v>
      </c>
      <c r="K334" s="25">
        <v>345</v>
      </c>
      <c r="L334" s="21" t="s">
        <v>21</v>
      </c>
      <c r="M334" s="22" t="s">
        <v>3537</v>
      </c>
      <c r="N334" s="27">
        <f t="shared" si="40"/>
        <v>15</v>
      </c>
      <c r="O334" s="28">
        <f t="shared" si="41"/>
        <v>3.9880064398918808E-2</v>
      </c>
      <c r="P334" s="28">
        <f t="shared" si="42"/>
        <v>0.12777777777777777</v>
      </c>
      <c r="Q334" s="26">
        <f t="shared" si="43"/>
        <v>1.5967370370370368</v>
      </c>
      <c r="R334" s="29">
        <f t="shared" si="44"/>
        <v>12.496202898550724</v>
      </c>
      <c r="S334" s="30">
        <f t="shared" si="45"/>
        <v>3</v>
      </c>
      <c r="T334" s="30">
        <f t="shared" si="46"/>
        <v>2023</v>
      </c>
      <c r="U334" s="29" t="str">
        <f t="shared" si="47"/>
        <v>March</v>
      </c>
    </row>
    <row r="335" spans="1:21" ht="17.399999999999999" x14ac:dyDescent="0.3">
      <c r="A335" s="21" t="s">
        <v>1929</v>
      </c>
      <c r="B335" s="21" t="s">
        <v>1930</v>
      </c>
      <c r="C335" s="23" t="s">
        <v>3515</v>
      </c>
      <c r="D335" s="21" t="s">
        <v>3521</v>
      </c>
      <c r="E335" s="24">
        <v>44989</v>
      </c>
      <c r="F335" s="24">
        <v>44992</v>
      </c>
      <c r="G335" s="22" t="s">
        <v>11</v>
      </c>
      <c r="H335" s="25">
        <v>88388</v>
      </c>
      <c r="I335" s="25">
        <v>1363</v>
      </c>
      <c r="J335" s="26">
        <v>1527.27</v>
      </c>
      <c r="K335" s="25">
        <v>249</v>
      </c>
      <c r="L335" s="21" t="s">
        <v>17</v>
      </c>
      <c r="M335" s="22" t="s">
        <v>11</v>
      </c>
      <c r="N335" s="27">
        <f t="shared" si="40"/>
        <v>3</v>
      </c>
      <c r="O335" s="28">
        <f t="shared" si="41"/>
        <v>1.5420645336471014E-2</v>
      </c>
      <c r="P335" s="28">
        <f t="shared" si="42"/>
        <v>0.18268525311812178</v>
      </c>
      <c r="Q335" s="26">
        <f t="shared" si="43"/>
        <v>1.120520909757887</v>
      </c>
      <c r="R335" s="29">
        <f t="shared" si="44"/>
        <v>6.1336144578313254</v>
      </c>
      <c r="S335" s="30">
        <f t="shared" si="45"/>
        <v>3</v>
      </c>
      <c r="T335" s="30">
        <f t="shared" si="46"/>
        <v>2023</v>
      </c>
      <c r="U335" s="29" t="str">
        <f t="shared" si="47"/>
        <v>March</v>
      </c>
    </row>
    <row r="336" spans="1:21" ht="17.399999999999999" x14ac:dyDescent="0.3">
      <c r="A336" s="21" t="s">
        <v>2985</v>
      </c>
      <c r="B336" s="21" t="s">
        <v>2986</v>
      </c>
      <c r="C336" s="23" t="s">
        <v>3515</v>
      </c>
      <c r="D336" s="21" t="s">
        <v>3520</v>
      </c>
      <c r="E336" s="24">
        <v>44989</v>
      </c>
      <c r="F336" s="24">
        <v>45006</v>
      </c>
      <c r="G336" s="22" t="s">
        <v>3535</v>
      </c>
      <c r="H336" s="25">
        <v>34742</v>
      </c>
      <c r="I336" s="25">
        <v>447</v>
      </c>
      <c r="J336" s="26">
        <v>690.3</v>
      </c>
      <c r="K336" s="25">
        <v>69</v>
      </c>
      <c r="L336" s="21" t="s">
        <v>21</v>
      </c>
      <c r="M336" s="22" t="s">
        <v>3535</v>
      </c>
      <c r="N336" s="27">
        <f t="shared" si="40"/>
        <v>17</v>
      </c>
      <c r="O336" s="28">
        <f t="shared" si="41"/>
        <v>1.2866271371826608E-2</v>
      </c>
      <c r="P336" s="28">
        <f t="shared" si="42"/>
        <v>0.15436241610738255</v>
      </c>
      <c r="Q336" s="26">
        <f t="shared" si="43"/>
        <v>1.5442953020134227</v>
      </c>
      <c r="R336" s="29">
        <f t="shared" si="44"/>
        <v>10.004347826086956</v>
      </c>
      <c r="S336" s="30">
        <f t="shared" si="45"/>
        <v>3</v>
      </c>
      <c r="T336" s="30">
        <f t="shared" si="46"/>
        <v>2023</v>
      </c>
      <c r="U336" s="29" t="str">
        <f t="shared" si="47"/>
        <v>March</v>
      </c>
    </row>
    <row r="337" spans="1:21" ht="17.399999999999999" x14ac:dyDescent="0.3">
      <c r="A337" s="21" t="s">
        <v>945</v>
      </c>
      <c r="B337" s="21" t="s">
        <v>946</v>
      </c>
      <c r="C337" s="23" t="s">
        <v>3519</v>
      </c>
      <c r="D337" s="21" t="s">
        <v>3517</v>
      </c>
      <c r="E337" s="24">
        <v>44990</v>
      </c>
      <c r="F337" s="24">
        <v>45011</v>
      </c>
      <c r="G337" s="22" t="s">
        <v>11</v>
      </c>
      <c r="H337" s="25">
        <v>28663</v>
      </c>
      <c r="I337" s="25">
        <v>1294</v>
      </c>
      <c r="J337" s="26">
        <v>2148.5</v>
      </c>
      <c r="K337" s="25">
        <v>203</v>
      </c>
      <c r="L337" s="21" t="s">
        <v>17</v>
      </c>
      <c r="M337" s="22" t="s">
        <v>11</v>
      </c>
      <c r="N337" s="27">
        <f t="shared" si="40"/>
        <v>21</v>
      </c>
      <c r="O337" s="28">
        <f t="shared" si="41"/>
        <v>4.5145309283745598E-2</v>
      </c>
      <c r="P337" s="28">
        <f t="shared" si="42"/>
        <v>0.15687789799072643</v>
      </c>
      <c r="Q337" s="26">
        <f t="shared" si="43"/>
        <v>1.6603554868624419</v>
      </c>
      <c r="R337" s="29">
        <f t="shared" si="44"/>
        <v>10.583743842364532</v>
      </c>
      <c r="S337" s="30">
        <f t="shared" si="45"/>
        <v>3</v>
      </c>
      <c r="T337" s="30">
        <f t="shared" si="46"/>
        <v>2023</v>
      </c>
      <c r="U337" s="29" t="str">
        <f t="shared" si="47"/>
        <v>March</v>
      </c>
    </row>
    <row r="338" spans="1:21" ht="17.399999999999999" x14ac:dyDescent="0.3">
      <c r="A338" s="21" t="s">
        <v>3292</v>
      </c>
      <c r="B338" s="21" t="s">
        <v>3293</v>
      </c>
      <c r="C338" s="23" t="s">
        <v>3519</v>
      </c>
      <c r="D338" s="21" t="s">
        <v>3517</v>
      </c>
      <c r="E338" s="24">
        <v>44990</v>
      </c>
      <c r="F338" s="24">
        <v>45010</v>
      </c>
      <c r="G338" s="22" t="s">
        <v>31</v>
      </c>
      <c r="H338" s="25">
        <v>54625</v>
      </c>
      <c r="I338" s="25">
        <v>1451</v>
      </c>
      <c r="J338" s="26">
        <v>2119.29</v>
      </c>
      <c r="K338" s="25">
        <v>238</v>
      </c>
      <c r="L338" s="21" t="s">
        <v>17</v>
      </c>
      <c r="M338" s="22" t="s">
        <v>31</v>
      </c>
      <c r="N338" s="27">
        <f t="shared" si="40"/>
        <v>20</v>
      </c>
      <c r="O338" s="28">
        <f t="shared" si="41"/>
        <v>2.6562929061784896E-2</v>
      </c>
      <c r="P338" s="28">
        <f t="shared" si="42"/>
        <v>0.16402481047553411</v>
      </c>
      <c r="Q338" s="26">
        <f t="shared" si="43"/>
        <v>1.4605720192970364</v>
      </c>
      <c r="R338" s="29">
        <f t="shared" si="44"/>
        <v>8.9045798319327734</v>
      </c>
      <c r="S338" s="30">
        <f t="shared" si="45"/>
        <v>3</v>
      </c>
      <c r="T338" s="30">
        <f t="shared" si="46"/>
        <v>2023</v>
      </c>
      <c r="U338" s="29" t="str">
        <f t="shared" si="47"/>
        <v>March</v>
      </c>
    </row>
    <row r="339" spans="1:21" ht="17.399999999999999" x14ac:dyDescent="0.3">
      <c r="A339" s="21" t="s">
        <v>1017</v>
      </c>
      <c r="B339" s="21" t="s">
        <v>1018</v>
      </c>
      <c r="C339" s="23" t="s">
        <v>3518</v>
      </c>
      <c r="D339" s="21" t="s">
        <v>3521</v>
      </c>
      <c r="E339" s="24">
        <v>44990</v>
      </c>
      <c r="F339" s="24">
        <v>44999</v>
      </c>
      <c r="G339" s="22" t="s">
        <v>31</v>
      </c>
      <c r="H339" s="25">
        <v>21358</v>
      </c>
      <c r="I339" s="25">
        <v>479</v>
      </c>
      <c r="J339" s="26">
        <v>525.63</v>
      </c>
      <c r="K339" s="25">
        <v>29</v>
      </c>
      <c r="L339" s="21" t="s">
        <v>21</v>
      </c>
      <c r="M339" s="22" t="s">
        <v>31</v>
      </c>
      <c r="N339" s="27">
        <f t="shared" si="40"/>
        <v>9</v>
      </c>
      <c r="O339" s="28">
        <f t="shared" si="41"/>
        <v>2.2427193557449199E-2</v>
      </c>
      <c r="P339" s="28">
        <f t="shared" si="42"/>
        <v>6.0542797494780795E-2</v>
      </c>
      <c r="Q339" s="26">
        <f t="shared" si="43"/>
        <v>1.0973486430062631</v>
      </c>
      <c r="R339" s="29">
        <f t="shared" si="44"/>
        <v>18.125172413793102</v>
      </c>
      <c r="S339" s="30">
        <f t="shared" si="45"/>
        <v>3</v>
      </c>
      <c r="T339" s="30">
        <f t="shared" si="46"/>
        <v>2023</v>
      </c>
      <c r="U339" s="29" t="str">
        <f t="shared" si="47"/>
        <v>March</v>
      </c>
    </row>
    <row r="340" spans="1:21" ht="17.399999999999999" x14ac:dyDescent="0.3">
      <c r="A340" s="21" t="s">
        <v>1740</v>
      </c>
      <c r="B340" s="22" t="s">
        <v>3630</v>
      </c>
      <c r="C340" s="23" t="s">
        <v>3516</v>
      </c>
      <c r="D340" s="22" t="s">
        <v>3545</v>
      </c>
      <c r="E340" s="24">
        <v>44990</v>
      </c>
      <c r="F340" s="24">
        <v>45006</v>
      </c>
      <c r="G340" s="22" t="s">
        <v>31</v>
      </c>
      <c r="H340" s="25">
        <v>27734</v>
      </c>
      <c r="I340" s="25">
        <v>593</v>
      </c>
      <c r="J340" s="26">
        <v>1000.46</v>
      </c>
      <c r="K340" s="25">
        <v>30</v>
      </c>
      <c r="L340" s="21" t="s">
        <v>21</v>
      </c>
      <c r="M340" s="22" t="s">
        <v>31</v>
      </c>
      <c r="N340" s="27">
        <f t="shared" si="40"/>
        <v>16</v>
      </c>
      <c r="O340" s="28">
        <f t="shared" si="41"/>
        <v>2.1381697555347228E-2</v>
      </c>
      <c r="P340" s="28">
        <f t="shared" si="42"/>
        <v>5.0590219224283306E-2</v>
      </c>
      <c r="Q340" s="26">
        <f t="shared" si="43"/>
        <v>1.6871163575042158</v>
      </c>
      <c r="R340" s="29">
        <f t="shared" si="44"/>
        <v>33.348666666666666</v>
      </c>
      <c r="S340" s="30">
        <f t="shared" si="45"/>
        <v>3</v>
      </c>
      <c r="T340" s="30">
        <f t="shared" si="46"/>
        <v>2023</v>
      </c>
      <c r="U340" s="29" t="str">
        <f t="shared" si="47"/>
        <v>March</v>
      </c>
    </row>
    <row r="341" spans="1:21" ht="17.399999999999999" x14ac:dyDescent="0.3">
      <c r="A341" s="21" t="s">
        <v>2171</v>
      </c>
      <c r="B341" s="22" t="s">
        <v>3631</v>
      </c>
      <c r="C341" s="23" t="s">
        <v>3515</v>
      </c>
      <c r="D341" s="22" t="s">
        <v>3545</v>
      </c>
      <c r="E341" s="24">
        <v>44990</v>
      </c>
      <c r="F341" s="24">
        <v>44998</v>
      </c>
      <c r="G341" s="22" t="s">
        <v>14</v>
      </c>
      <c r="H341" s="25">
        <v>57264</v>
      </c>
      <c r="I341" s="25">
        <v>1894</v>
      </c>
      <c r="J341" s="26">
        <v>2530.59</v>
      </c>
      <c r="K341" s="25">
        <v>178</v>
      </c>
      <c r="L341" s="21" t="s">
        <v>17</v>
      </c>
      <c r="M341" s="22" t="s">
        <v>3537</v>
      </c>
      <c r="N341" s="27">
        <f t="shared" si="40"/>
        <v>8</v>
      </c>
      <c r="O341" s="28">
        <f t="shared" si="41"/>
        <v>3.3074881251746298E-2</v>
      </c>
      <c r="P341" s="28">
        <f t="shared" si="42"/>
        <v>9.398099260823653E-2</v>
      </c>
      <c r="Q341" s="26">
        <f t="shared" si="43"/>
        <v>1.3361087645195355</v>
      </c>
      <c r="R341" s="29">
        <f t="shared" si="44"/>
        <v>14.21679775280899</v>
      </c>
      <c r="S341" s="30">
        <f t="shared" si="45"/>
        <v>3</v>
      </c>
      <c r="T341" s="30">
        <f t="shared" si="46"/>
        <v>2023</v>
      </c>
      <c r="U341" s="29" t="str">
        <f t="shared" si="47"/>
        <v>March</v>
      </c>
    </row>
    <row r="342" spans="1:21" ht="17.399999999999999" x14ac:dyDescent="0.3">
      <c r="A342" s="21" t="s">
        <v>441</v>
      </c>
      <c r="B342" s="21" t="s">
        <v>442</v>
      </c>
      <c r="C342" s="23" t="s">
        <v>3518</v>
      </c>
      <c r="D342" s="21" t="s">
        <v>3520</v>
      </c>
      <c r="E342" s="24">
        <v>44991</v>
      </c>
      <c r="F342" s="24">
        <v>44993</v>
      </c>
      <c r="G342" s="22" t="s">
        <v>14</v>
      </c>
      <c r="H342" s="25">
        <v>87202</v>
      </c>
      <c r="I342" s="25">
        <v>1692</v>
      </c>
      <c r="J342" s="26">
        <v>1166.69</v>
      </c>
      <c r="K342" s="25">
        <v>107</v>
      </c>
      <c r="L342" s="21" t="s">
        <v>21</v>
      </c>
      <c r="M342" s="22" t="s">
        <v>3537</v>
      </c>
      <c r="N342" s="27">
        <f t="shared" si="40"/>
        <v>2</v>
      </c>
      <c r="O342" s="28">
        <f t="shared" si="41"/>
        <v>1.9403224696681268E-2</v>
      </c>
      <c r="P342" s="28">
        <f t="shared" si="42"/>
        <v>6.323877068557919E-2</v>
      </c>
      <c r="Q342" s="26">
        <f t="shared" si="43"/>
        <v>0.68953309692671394</v>
      </c>
      <c r="R342" s="29">
        <f t="shared" si="44"/>
        <v>10.903644859813085</v>
      </c>
      <c r="S342" s="30">
        <f t="shared" si="45"/>
        <v>3</v>
      </c>
      <c r="T342" s="30">
        <f t="shared" si="46"/>
        <v>2023</v>
      </c>
      <c r="U342" s="29" t="str">
        <f t="shared" si="47"/>
        <v>March</v>
      </c>
    </row>
    <row r="343" spans="1:21" ht="17.399999999999999" x14ac:dyDescent="0.3">
      <c r="A343" s="21" t="s">
        <v>2111</v>
      </c>
      <c r="B343" s="22" t="s">
        <v>3632</v>
      </c>
      <c r="C343" s="23" t="s">
        <v>3515</v>
      </c>
      <c r="D343" s="22" t="s">
        <v>3545</v>
      </c>
      <c r="E343" s="24">
        <v>44991</v>
      </c>
      <c r="F343" s="24">
        <v>45018</v>
      </c>
      <c r="G343" s="22" t="s">
        <v>11</v>
      </c>
      <c r="H343" s="25">
        <v>92751</v>
      </c>
      <c r="I343" s="25">
        <v>4162</v>
      </c>
      <c r="J343" s="26">
        <v>5168.3</v>
      </c>
      <c r="K343" s="25">
        <v>668</v>
      </c>
      <c r="L343" s="21" t="s">
        <v>21</v>
      </c>
      <c r="M343" s="22" t="s">
        <v>11</v>
      </c>
      <c r="N343" s="27">
        <f t="shared" si="40"/>
        <v>27</v>
      </c>
      <c r="O343" s="28">
        <f t="shared" si="41"/>
        <v>4.4872831559767547E-2</v>
      </c>
      <c r="P343" s="28">
        <f t="shared" si="42"/>
        <v>0.16049975973089861</v>
      </c>
      <c r="Q343" s="26">
        <f t="shared" si="43"/>
        <v>1.2417827967323403</v>
      </c>
      <c r="R343" s="29">
        <f t="shared" si="44"/>
        <v>7.736976047904192</v>
      </c>
      <c r="S343" s="30">
        <f t="shared" si="45"/>
        <v>3</v>
      </c>
      <c r="T343" s="30">
        <f t="shared" si="46"/>
        <v>2023</v>
      </c>
      <c r="U343" s="29" t="str">
        <f t="shared" si="47"/>
        <v>March</v>
      </c>
    </row>
    <row r="344" spans="1:21" ht="17.399999999999999" x14ac:dyDescent="0.3">
      <c r="A344" s="21" t="s">
        <v>1468</v>
      </c>
      <c r="B344" s="21" t="s">
        <v>1469</v>
      </c>
      <c r="C344" s="23" t="s">
        <v>3518</v>
      </c>
      <c r="D344" s="21" t="s">
        <v>3517</v>
      </c>
      <c r="E344" s="24">
        <v>44991</v>
      </c>
      <c r="F344" s="24">
        <v>45018</v>
      </c>
      <c r="G344" s="22" t="s">
        <v>11</v>
      </c>
      <c r="H344" s="25">
        <v>22949</v>
      </c>
      <c r="I344" s="25">
        <v>711</v>
      </c>
      <c r="J344" s="26">
        <v>1305.96</v>
      </c>
      <c r="K344" s="25">
        <v>107</v>
      </c>
      <c r="L344" s="21" t="s">
        <v>21</v>
      </c>
      <c r="M344" s="22" t="s">
        <v>11</v>
      </c>
      <c r="N344" s="27">
        <f t="shared" si="40"/>
        <v>27</v>
      </c>
      <c r="O344" s="28">
        <f t="shared" si="41"/>
        <v>3.098174212383982E-2</v>
      </c>
      <c r="P344" s="28">
        <f t="shared" si="42"/>
        <v>0.15049226441631505</v>
      </c>
      <c r="Q344" s="26">
        <f t="shared" si="43"/>
        <v>1.8367932489451477</v>
      </c>
      <c r="R344" s="29">
        <f t="shared" si="44"/>
        <v>12.205233644859813</v>
      </c>
      <c r="S344" s="30">
        <f t="shared" si="45"/>
        <v>3</v>
      </c>
      <c r="T344" s="30">
        <f t="shared" si="46"/>
        <v>2023</v>
      </c>
      <c r="U344" s="29" t="str">
        <f t="shared" si="47"/>
        <v>March</v>
      </c>
    </row>
    <row r="345" spans="1:21" ht="17.399999999999999" x14ac:dyDescent="0.3">
      <c r="A345" s="21" t="s">
        <v>217</v>
      </c>
      <c r="B345" s="21" t="s">
        <v>218</v>
      </c>
      <c r="C345" s="23" t="s">
        <v>3518</v>
      </c>
      <c r="D345" s="21" t="s">
        <v>3521</v>
      </c>
      <c r="E345" s="24">
        <v>44992</v>
      </c>
      <c r="F345" s="24">
        <v>45008</v>
      </c>
      <c r="G345" s="22" t="s">
        <v>31</v>
      </c>
      <c r="H345" s="25">
        <v>9392</v>
      </c>
      <c r="I345" s="25">
        <v>189</v>
      </c>
      <c r="J345" s="26">
        <v>338.61</v>
      </c>
      <c r="K345" s="25">
        <v>23</v>
      </c>
      <c r="L345" s="21" t="s">
        <v>21</v>
      </c>
      <c r="M345" s="22" t="s">
        <v>31</v>
      </c>
      <c r="N345" s="27">
        <f t="shared" si="40"/>
        <v>16</v>
      </c>
      <c r="O345" s="28">
        <f t="shared" si="41"/>
        <v>2.0123509369676319E-2</v>
      </c>
      <c r="P345" s="28">
        <f t="shared" si="42"/>
        <v>0.12169312169312169</v>
      </c>
      <c r="Q345" s="26">
        <f t="shared" si="43"/>
        <v>1.7915873015873016</v>
      </c>
      <c r="R345" s="29">
        <f t="shared" si="44"/>
        <v>14.722173913043479</v>
      </c>
      <c r="S345" s="30">
        <f t="shared" si="45"/>
        <v>3</v>
      </c>
      <c r="T345" s="30">
        <f t="shared" si="46"/>
        <v>2023</v>
      </c>
      <c r="U345" s="29" t="str">
        <f t="shared" si="47"/>
        <v>March</v>
      </c>
    </row>
    <row r="346" spans="1:21" ht="17.399999999999999" x14ac:dyDescent="0.3">
      <c r="A346" s="21" t="s">
        <v>273</v>
      </c>
      <c r="B346" s="21" t="s">
        <v>274</v>
      </c>
      <c r="C346" s="23" t="s">
        <v>3518</v>
      </c>
      <c r="D346" s="21" t="s">
        <v>3517</v>
      </c>
      <c r="E346" s="24">
        <v>44992</v>
      </c>
      <c r="F346" s="24">
        <v>45015</v>
      </c>
      <c r="G346" s="22" t="s">
        <v>14</v>
      </c>
      <c r="H346" s="25">
        <v>19141</v>
      </c>
      <c r="I346" s="25">
        <v>881</v>
      </c>
      <c r="J346" s="26">
        <v>1643.35</v>
      </c>
      <c r="K346" s="25">
        <v>67</v>
      </c>
      <c r="L346" s="21" t="s">
        <v>21</v>
      </c>
      <c r="M346" s="22" t="s">
        <v>3537</v>
      </c>
      <c r="N346" s="27">
        <f t="shared" si="40"/>
        <v>23</v>
      </c>
      <c r="O346" s="28">
        <f t="shared" si="41"/>
        <v>4.6026853351444547E-2</v>
      </c>
      <c r="P346" s="28">
        <f t="shared" si="42"/>
        <v>7.6049943246311008E-2</v>
      </c>
      <c r="Q346" s="26">
        <f t="shared" si="43"/>
        <v>1.8653234960272416</v>
      </c>
      <c r="R346" s="29">
        <f t="shared" si="44"/>
        <v>24.527611940298506</v>
      </c>
      <c r="S346" s="30">
        <f t="shared" si="45"/>
        <v>3</v>
      </c>
      <c r="T346" s="30">
        <f t="shared" si="46"/>
        <v>2023</v>
      </c>
      <c r="U346" s="29" t="str">
        <f t="shared" si="47"/>
        <v>March</v>
      </c>
    </row>
    <row r="347" spans="1:21" ht="17.399999999999999" x14ac:dyDescent="0.3">
      <c r="A347" s="21" t="s">
        <v>1939</v>
      </c>
      <c r="B347" s="21" t="s">
        <v>1940</v>
      </c>
      <c r="C347" s="23" t="s">
        <v>3518</v>
      </c>
      <c r="D347" s="21" t="s">
        <v>3520</v>
      </c>
      <c r="E347" s="24">
        <v>44992</v>
      </c>
      <c r="F347" s="24">
        <v>44997</v>
      </c>
      <c r="G347" s="22" t="s">
        <v>14</v>
      </c>
      <c r="H347" s="25">
        <v>87740</v>
      </c>
      <c r="I347" s="25">
        <v>1976</v>
      </c>
      <c r="J347" s="26">
        <v>3856.57</v>
      </c>
      <c r="K347" s="25">
        <v>139</v>
      </c>
      <c r="L347" s="21" t="s">
        <v>17</v>
      </c>
      <c r="M347" s="22" t="s">
        <v>3537</v>
      </c>
      <c r="N347" s="27">
        <f t="shared" si="40"/>
        <v>5</v>
      </c>
      <c r="O347" s="28">
        <f t="shared" si="41"/>
        <v>2.2521085023934351E-2</v>
      </c>
      <c r="P347" s="28">
        <f t="shared" si="42"/>
        <v>7.0344129554655868E-2</v>
      </c>
      <c r="Q347" s="26">
        <f t="shared" si="43"/>
        <v>1.9517054655870447</v>
      </c>
      <c r="R347" s="29">
        <f t="shared" si="44"/>
        <v>27.745107913669067</v>
      </c>
      <c r="S347" s="30">
        <f t="shared" si="45"/>
        <v>3</v>
      </c>
      <c r="T347" s="30">
        <f t="shared" si="46"/>
        <v>2023</v>
      </c>
      <c r="U347" s="29" t="str">
        <f t="shared" si="47"/>
        <v>March</v>
      </c>
    </row>
    <row r="348" spans="1:21" ht="17.399999999999999" x14ac:dyDescent="0.3">
      <c r="A348" s="21" t="s">
        <v>2426</v>
      </c>
      <c r="B348" s="22" t="s">
        <v>3633</v>
      </c>
      <c r="C348" s="23" t="s">
        <v>3516</v>
      </c>
      <c r="D348" s="22" t="s">
        <v>3545</v>
      </c>
      <c r="E348" s="24">
        <v>44992</v>
      </c>
      <c r="F348" s="24">
        <v>45001</v>
      </c>
      <c r="G348" s="22" t="s">
        <v>14</v>
      </c>
      <c r="H348" s="25">
        <v>20063</v>
      </c>
      <c r="I348" s="25">
        <v>888</v>
      </c>
      <c r="J348" s="26">
        <v>1045.0899999999999</v>
      </c>
      <c r="K348" s="25">
        <v>44</v>
      </c>
      <c r="L348" s="21" t="s">
        <v>17</v>
      </c>
      <c r="M348" s="22" t="s">
        <v>3537</v>
      </c>
      <c r="N348" s="27">
        <f t="shared" si="40"/>
        <v>9</v>
      </c>
      <c r="O348" s="28">
        <f t="shared" si="41"/>
        <v>4.4260579175596872E-2</v>
      </c>
      <c r="P348" s="28">
        <f t="shared" si="42"/>
        <v>4.954954954954955E-2</v>
      </c>
      <c r="Q348" s="26">
        <f t="shared" si="43"/>
        <v>1.1769031531531531</v>
      </c>
      <c r="R348" s="29">
        <f t="shared" si="44"/>
        <v>23.752045454545453</v>
      </c>
      <c r="S348" s="30">
        <f t="shared" si="45"/>
        <v>3</v>
      </c>
      <c r="T348" s="30">
        <f t="shared" si="46"/>
        <v>2023</v>
      </c>
      <c r="U348" s="29" t="str">
        <f t="shared" si="47"/>
        <v>March</v>
      </c>
    </row>
    <row r="349" spans="1:21" ht="17.399999999999999" x14ac:dyDescent="0.3">
      <c r="A349" s="21" t="s">
        <v>904</v>
      </c>
      <c r="B349" s="22" t="s">
        <v>3634</v>
      </c>
      <c r="C349" s="23" t="s">
        <v>3515</v>
      </c>
      <c r="D349" s="22" t="s">
        <v>3545</v>
      </c>
      <c r="E349" s="24">
        <v>44992</v>
      </c>
      <c r="F349" s="24">
        <v>45020</v>
      </c>
      <c r="G349" s="22" t="s">
        <v>24</v>
      </c>
      <c r="H349" s="25">
        <v>30124</v>
      </c>
      <c r="I349" s="25">
        <v>452</v>
      </c>
      <c r="J349" s="26">
        <v>609.54</v>
      </c>
      <c r="K349" s="25">
        <v>62</v>
      </c>
      <c r="L349" s="21" t="s">
        <v>21</v>
      </c>
      <c r="M349" s="22" t="s">
        <v>3536</v>
      </c>
      <c r="N349" s="27">
        <f t="shared" si="40"/>
        <v>28</v>
      </c>
      <c r="O349" s="28">
        <f t="shared" si="41"/>
        <v>1.5004647457177002E-2</v>
      </c>
      <c r="P349" s="28">
        <f t="shared" si="42"/>
        <v>0.13716814159292035</v>
      </c>
      <c r="Q349" s="26">
        <f t="shared" si="43"/>
        <v>1.3485398230088494</v>
      </c>
      <c r="R349" s="29">
        <f t="shared" si="44"/>
        <v>9.8312903225806441</v>
      </c>
      <c r="S349" s="30">
        <f t="shared" si="45"/>
        <v>3</v>
      </c>
      <c r="T349" s="30">
        <f t="shared" si="46"/>
        <v>2023</v>
      </c>
      <c r="U349" s="29" t="str">
        <f t="shared" si="47"/>
        <v>March</v>
      </c>
    </row>
    <row r="350" spans="1:21" ht="17.399999999999999" x14ac:dyDescent="0.3">
      <c r="A350" s="21" t="s">
        <v>758</v>
      </c>
      <c r="B350" s="21" t="s">
        <v>759</v>
      </c>
      <c r="C350" s="23" t="s">
        <v>3519</v>
      </c>
      <c r="D350" s="21" t="s">
        <v>3517</v>
      </c>
      <c r="E350" s="24">
        <v>44993</v>
      </c>
      <c r="F350" s="24">
        <v>45015</v>
      </c>
      <c r="G350" s="22" t="s">
        <v>31</v>
      </c>
      <c r="H350" s="25">
        <v>50726</v>
      </c>
      <c r="I350" s="25">
        <v>1888</v>
      </c>
      <c r="J350" s="26">
        <v>3368.57</v>
      </c>
      <c r="K350" s="25">
        <v>158</v>
      </c>
      <c r="L350" s="21" t="s">
        <v>17</v>
      </c>
      <c r="M350" s="22" t="s">
        <v>31</v>
      </c>
      <c r="N350" s="27">
        <f t="shared" si="40"/>
        <v>22</v>
      </c>
      <c r="O350" s="28">
        <f t="shared" si="41"/>
        <v>3.7219571817214053E-2</v>
      </c>
      <c r="P350" s="28">
        <f t="shared" si="42"/>
        <v>8.3686440677966101E-2</v>
      </c>
      <c r="Q350" s="26">
        <f t="shared" si="43"/>
        <v>1.7842002118644069</v>
      </c>
      <c r="R350" s="29">
        <f t="shared" si="44"/>
        <v>21.320063291139242</v>
      </c>
      <c r="S350" s="30">
        <f t="shared" si="45"/>
        <v>3</v>
      </c>
      <c r="T350" s="30">
        <f t="shared" si="46"/>
        <v>2023</v>
      </c>
      <c r="U350" s="29" t="str">
        <f t="shared" si="47"/>
        <v>March</v>
      </c>
    </row>
    <row r="351" spans="1:21" ht="17.399999999999999" x14ac:dyDescent="0.3">
      <c r="A351" s="21" t="s">
        <v>3048</v>
      </c>
      <c r="B351" s="21" t="s">
        <v>3049</v>
      </c>
      <c r="C351" s="23" t="s">
        <v>3518</v>
      </c>
      <c r="D351" s="21" t="s">
        <v>3517</v>
      </c>
      <c r="E351" s="24">
        <v>44993</v>
      </c>
      <c r="F351" s="24">
        <v>45153</v>
      </c>
      <c r="G351" s="22" t="s">
        <v>11</v>
      </c>
      <c r="H351" s="25">
        <v>54947</v>
      </c>
      <c r="I351" s="25">
        <v>1495</v>
      </c>
      <c r="J351" s="26">
        <v>2750.96</v>
      </c>
      <c r="K351" s="25">
        <v>78</v>
      </c>
      <c r="L351" s="21" t="s">
        <v>21</v>
      </c>
      <c r="M351" s="22" t="s">
        <v>11</v>
      </c>
      <c r="N351" s="27">
        <f t="shared" si="40"/>
        <v>160</v>
      </c>
      <c r="O351" s="28">
        <f t="shared" si="41"/>
        <v>2.7208036835496024E-2</v>
      </c>
      <c r="P351" s="28">
        <f t="shared" si="42"/>
        <v>5.2173913043478258E-2</v>
      </c>
      <c r="Q351" s="26">
        <f t="shared" si="43"/>
        <v>1.8401070234113712</v>
      </c>
      <c r="R351" s="29">
        <f t="shared" si="44"/>
        <v>35.268717948717949</v>
      </c>
      <c r="S351" s="30">
        <f t="shared" si="45"/>
        <v>3</v>
      </c>
      <c r="T351" s="30">
        <f t="shared" si="46"/>
        <v>2023</v>
      </c>
      <c r="U351" s="29" t="str">
        <f t="shared" si="47"/>
        <v>March</v>
      </c>
    </row>
    <row r="352" spans="1:21" ht="17.399999999999999" x14ac:dyDescent="0.3">
      <c r="A352" s="21" t="s">
        <v>207</v>
      </c>
      <c r="B352" s="21" t="s">
        <v>208</v>
      </c>
      <c r="C352" s="23" t="s">
        <v>3516</v>
      </c>
      <c r="D352" s="21" t="s">
        <v>3517</v>
      </c>
      <c r="E352" s="24">
        <v>44993</v>
      </c>
      <c r="F352" s="24">
        <v>45013</v>
      </c>
      <c r="G352" s="22" t="s">
        <v>24</v>
      </c>
      <c r="H352" s="25">
        <v>4561</v>
      </c>
      <c r="I352" s="25">
        <v>79</v>
      </c>
      <c r="J352" s="26">
        <v>112.8</v>
      </c>
      <c r="K352" s="25">
        <v>7</v>
      </c>
      <c r="L352" s="21" t="s">
        <v>17</v>
      </c>
      <c r="M352" s="22" t="s">
        <v>3536</v>
      </c>
      <c r="N352" s="27">
        <f t="shared" si="40"/>
        <v>20</v>
      </c>
      <c r="O352" s="28">
        <f t="shared" si="41"/>
        <v>1.7320762990572242E-2</v>
      </c>
      <c r="P352" s="28">
        <f t="shared" si="42"/>
        <v>8.8607594936708861E-2</v>
      </c>
      <c r="Q352" s="26">
        <f t="shared" si="43"/>
        <v>1.4278481012658228</v>
      </c>
      <c r="R352" s="29">
        <f t="shared" si="44"/>
        <v>16.114285714285714</v>
      </c>
      <c r="S352" s="30">
        <f t="shared" si="45"/>
        <v>3</v>
      </c>
      <c r="T352" s="30">
        <f t="shared" si="46"/>
        <v>2023</v>
      </c>
      <c r="U352" s="29" t="str">
        <f t="shared" si="47"/>
        <v>March</v>
      </c>
    </row>
    <row r="353" spans="1:21" ht="17.399999999999999" x14ac:dyDescent="0.3">
      <c r="A353" s="21" t="s">
        <v>2491</v>
      </c>
      <c r="B353" s="21" t="s">
        <v>2492</v>
      </c>
      <c r="C353" s="23" t="s">
        <v>3516</v>
      </c>
      <c r="D353" s="21" t="s">
        <v>3520</v>
      </c>
      <c r="E353" s="24">
        <v>44993</v>
      </c>
      <c r="F353" s="24">
        <v>45002</v>
      </c>
      <c r="G353" s="22" t="s">
        <v>14</v>
      </c>
      <c r="H353" s="25">
        <v>17725</v>
      </c>
      <c r="I353" s="25">
        <v>634</v>
      </c>
      <c r="J353" s="26">
        <v>386.43</v>
      </c>
      <c r="K353" s="25">
        <v>116</v>
      </c>
      <c r="L353" s="21" t="s">
        <v>21</v>
      </c>
      <c r="M353" s="22" t="s">
        <v>3537</v>
      </c>
      <c r="N353" s="27">
        <f t="shared" si="40"/>
        <v>9</v>
      </c>
      <c r="O353" s="28">
        <f t="shared" si="41"/>
        <v>3.5768688293370945E-2</v>
      </c>
      <c r="P353" s="28">
        <f t="shared" si="42"/>
        <v>0.18296529968454259</v>
      </c>
      <c r="Q353" s="26">
        <f t="shared" si="43"/>
        <v>0.60951104100946374</v>
      </c>
      <c r="R353" s="29">
        <f t="shared" si="44"/>
        <v>3.3312931034482758</v>
      </c>
      <c r="S353" s="30">
        <f t="shared" si="45"/>
        <v>3</v>
      </c>
      <c r="T353" s="30">
        <f t="shared" si="46"/>
        <v>2023</v>
      </c>
      <c r="U353" s="29" t="str">
        <f t="shared" si="47"/>
        <v>March</v>
      </c>
    </row>
    <row r="354" spans="1:21" ht="17.399999999999999" x14ac:dyDescent="0.3">
      <c r="A354" s="21" t="s">
        <v>1098</v>
      </c>
      <c r="B354" s="21" t="s">
        <v>1099</v>
      </c>
      <c r="C354" s="23" t="s">
        <v>3515</v>
      </c>
      <c r="D354" s="21" t="s">
        <v>3521</v>
      </c>
      <c r="E354" s="24">
        <v>44993</v>
      </c>
      <c r="F354" s="24">
        <v>45008</v>
      </c>
      <c r="G354" s="22" t="s">
        <v>3535</v>
      </c>
      <c r="H354" s="25">
        <v>48280</v>
      </c>
      <c r="I354" s="25">
        <v>1711</v>
      </c>
      <c r="J354" s="26">
        <v>2306.65</v>
      </c>
      <c r="K354" s="25">
        <v>0</v>
      </c>
      <c r="L354" s="21" t="s">
        <v>21</v>
      </c>
      <c r="M354" s="22" t="s">
        <v>3535</v>
      </c>
      <c r="N354" s="27">
        <f t="shared" si="40"/>
        <v>15</v>
      </c>
      <c r="O354" s="28">
        <f t="shared" si="41"/>
        <v>3.5439105219552611E-2</v>
      </c>
      <c r="P354" s="28">
        <f t="shared" si="42"/>
        <v>0</v>
      </c>
      <c r="Q354" s="26">
        <f t="shared" si="43"/>
        <v>1.3481297486849797</v>
      </c>
      <c r="R354" s="29" t="str">
        <f t="shared" si="44"/>
        <v>0</v>
      </c>
      <c r="S354" s="30">
        <f t="shared" si="45"/>
        <v>3</v>
      </c>
      <c r="T354" s="30">
        <f t="shared" si="46"/>
        <v>2023</v>
      </c>
      <c r="U354" s="29" t="str">
        <f t="shared" si="47"/>
        <v>March</v>
      </c>
    </row>
    <row r="355" spans="1:21" ht="17.399999999999999" x14ac:dyDescent="0.3">
      <c r="A355" s="21" t="s">
        <v>2354</v>
      </c>
      <c r="B355" s="22" t="s">
        <v>3635</v>
      </c>
      <c r="C355" s="23" t="s">
        <v>3515</v>
      </c>
      <c r="D355" s="22" t="s">
        <v>3545</v>
      </c>
      <c r="E355" s="24">
        <v>44993</v>
      </c>
      <c r="F355" s="24">
        <v>45014</v>
      </c>
      <c r="G355" s="22" t="s">
        <v>14</v>
      </c>
      <c r="H355" s="25">
        <v>88127</v>
      </c>
      <c r="I355" s="25">
        <v>3947</v>
      </c>
      <c r="J355" s="26">
        <v>5394.53</v>
      </c>
      <c r="K355" s="25">
        <v>528</v>
      </c>
      <c r="L355" s="21" t="s">
        <v>17</v>
      </c>
      <c r="M355" s="22" t="s">
        <v>3537</v>
      </c>
      <c r="N355" s="27">
        <f t="shared" si="40"/>
        <v>21</v>
      </c>
      <c r="O355" s="28">
        <f t="shared" si="41"/>
        <v>4.4787636025281699E-2</v>
      </c>
      <c r="P355" s="28">
        <f t="shared" si="42"/>
        <v>0.13377248543197365</v>
      </c>
      <c r="Q355" s="26">
        <f t="shared" si="43"/>
        <v>1.3667418292373954</v>
      </c>
      <c r="R355" s="29">
        <f t="shared" si="44"/>
        <v>10.216912878787879</v>
      </c>
      <c r="S355" s="30">
        <f t="shared" si="45"/>
        <v>3</v>
      </c>
      <c r="T355" s="30">
        <f t="shared" si="46"/>
        <v>2023</v>
      </c>
      <c r="U355" s="29" t="str">
        <f t="shared" si="47"/>
        <v>March</v>
      </c>
    </row>
    <row r="356" spans="1:21" ht="17.399999999999999" x14ac:dyDescent="0.3">
      <c r="A356" s="21" t="s">
        <v>2187</v>
      </c>
      <c r="B356" s="21" t="s">
        <v>2188</v>
      </c>
      <c r="C356" s="23" t="s">
        <v>3519</v>
      </c>
      <c r="D356" s="21" t="s">
        <v>3520</v>
      </c>
      <c r="E356" s="24">
        <v>44994</v>
      </c>
      <c r="F356" s="24">
        <v>45004</v>
      </c>
      <c r="G356" s="22" t="s">
        <v>14</v>
      </c>
      <c r="H356" s="25">
        <v>50688</v>
      </c>
      <c r="I356" s="25">
        <v>801</v>
      </c>
      <c r="J356" s="26">
        <v>1167.6400000000001</v>
      </c>
      <c r="K356" s="25">
        <v>88</v>
      </c>
      <c r="L356" s="21" t="s">
        <v>17</v>
      </c>
      <c r="M356" s="22" t="s">
        <v>3537</v>
      </c>
      <c r="N356" s="27">
        <f t="shared" si="40"/>
        <v>10</v>
      </c>
      <c r="O356" s="28">
        <f t="shared" si="41"/>
        <v>1.580255681818182E-2</v>
      </c>
      <c r="P356" s="28">
        <f t="shared" si="42"/>
        <v>0.10986267166042447</v>
      </c>
      <c r="Q356" s="26">
        <f t="shared" si="43"/>
        <v>1.4577278401997504</v>
      </c>
      <c r="R356" s="29">
        <f t="shared" si="44"/>
        <v>13.268636363636364</v>
      </c>
      <c r="S356" s="30">
        <f t="shared" si="45"/>
        <v>3</v>
      </c>
      <c r="T356" s="30">
        <f t="shared" si="46"/>
        <v>2023</v>
      </c>
      <c r="U356" s="29" t="str">
        <f t="shared" si="47"/>
        <v>March</v>
      </c>
    </row>
    <row r="357" spans="1:21" ht="17.399999999999999" x14ac:dyDescent="0.3">
      <c r="A357" s="21" t="s">
        <v>186</v>
      </c>
      <c r="B357" s="21" t="s">
        <v>187</v>
      </c>
      <c r="C357" s="23" t="s">
        <v>3518</v>
      </c>
      <c r="D357" s="21" t="s">
        <v>3521</v>
      </c>
      <c r="E357" s="24">
        <v>44994</v>
      </c>
      <c r="F357" s="24">
        <v>45017</v>
      </c>
      <c r="G357" s="22" t="s">
        <v>11</v>
      </c>
      <c r="H357" s="25">
        <v>63592</v>
      </c>
      <c r="I357" s="25">
        <v>3111</v>
      </c>
      <c r="J357" s="26">
        <v>3433</v>
      </c>
      <c r="K357" s="25">
        <v>156</v>
      </c>
      <c r="L357" s="21" t="s">
        <v>17</v>
      </c>
      <c r="M357" s="22" t="s">
        <v>11</v>
      </c>
      <c r="N357" s="27">
        <f t="shared" si="40"/>
        <v>23</v>
      </c>
      <c r="O357" s="28">
        <f t="shared" si="41"/>
        <v>4.89212479557177E-2</v>
      </c>
      <c r="P357" s="28">
        <f t="shared" si="42"/>
        <v>5.0144648023143681E-2</v>
      </c>
      <c r="Q357" s="26">
        <f t="shared" si="43"/>
        <v>1.1035036965605916</v>
      </c>
      <c r="R357" s="29">
        <f t="shared" si="44"/>
        <v>22.006410256410255</v>
      </c>
      <c r="S357" s="30">
        <f t="shared" si="45"/>
        <v>3</v>
      </c>
      <c r="T357" s="30">
        <f t="shared" si="46"/>
        <v>2023</v>
      </c>
      <c r="U357" s="29" t="str">
        <f t="shared" si="47"/>
        <v>March</v>
      </c>
    </row>
    <row r="358" spans="1:21" ht="17.399999999999999" x14ac:dyDescent="0.3">
      <c r="A358" s="21" t="s">
        <v>1800</v>
      </c>
      <c r="B358" s="21" t="s">
        <v>1801</v>
      </c>
      <c r="C358" s="23" t="s">
        <v>3518</v>
      </c>
      <c r="D358" s="21" t="s">
        <v>3520</v>
      </c>
      <c r="E358" s="24">
        <v>44994</v>
      </c>
      <c r="F358" s="24">
        <v>45024</v>
      </c>
      <c r="G358" s="22" t="s">
        <v>31</v>
      </c>
      <c r="H358" s="25">
        <v>14046</v>
      </c>
      <c r="I358" s="25">
        <v>367</v>
      </c>
      <c r="J358" s="26">
        <v>291.89</v>
      </c>
      <c r="K358" s="25">
        <v>55</v>
      </c>
      <c r="L358" s="21" t="s">
        <v>21</v>
      </c>
      <c r="M358" s="22" t="s">
        <v>31</v>
      </c>
      <c r="N358" s="27">
        <f t="shared" si="40"/>
        <v>30</v>
      </c>
      <c r="O358" s="28">
        <f t="shared" si="41"/>
        <v>2.6128435141677345E-2</v>
      </c>
      <c r="P358" s="28">
        <f t="shared" si="42"/>
        <v>0.14986376021798364</v>
      </c>
      <c r="Q358" s="26">
        <f t="shared" si="43"/>
        <v>0.79534059945504088</v>
      </c>
      <c r="R358" s="29">
        <f t="shared" si="44"/>
        <v>5.3070909090909089</v>
      </c>
      <c r="S358" s="30">
        <f t="shared" si="45"/>
        <v>3</v>
      </c>
      <c r="T358" s="30">
        <f t="shared" si="46"/>
        <v>2023</v>
      </c>
      <c r="U358" s="29" t="str">
        <f t="shared" si="47"/>
        <v>March</v>
      </c>
    </row>
    <row r="359" spans="1:21" ht="17.399999999999999" x14ac:dyDescent="0.3">
      <c r="A359" s="21" t="s">
        <v>2852</v>
      </c>
      <c r="B359" s="21" t="s">
        <v>2853</v>
      </c>
      <c r="C359" s="23" t="s">
        <v>3518</v>
      </c>
      <c r="D359" s="21" t="s">
        <v>3517</v>
      </c>
      <c r="E359" s="24">
        <v>44994</v>
      </c>
      <c r="F359" s="24">
        <v>45021</v>
      </c>
      <c r="G359" s="22" t="s">
        <v>31</v>
      </c>
      <c r="H359" s="25">
        <v>90431</v>
      </c>
      <c r="I359" s="25">
        <v>3467</v>
      </c>
      <c r="J359" s="26">
        <v>3497.62</v>
      </c>
      <c r="K359" s="25">
        <v>249</v>
      </c>
      <c r="L359" s="21" t="s">
        <v>21</v>
      </c>
      <c r="M359" s="22" t="s">
        <v>31</v>
      </c>
      <c r="N359" s="27">
        <f t="shared" si="40"/>
        <v>27</v>
      </c>
      <c r="O359" s="28">
        <f t="shared" si="41"/>
        <v>3.8338622817396688E-2</v>
      </c>
      <c r="P359" s="28">
        <f t="shared" si="42"/>
        <v>7.1820017306028272E-2</v>
      </c>
      <c r="Q359" s="26">
        <f t="shared" si="43"/>
        <v>1.0088318430920105</v>
      </c>
      <c r="R359" s="29">
        <f t="shared" si="44"/>
        <v>14.046666666666667</v>
      </c>
      <c r="S359" s="30">
        <f t="shared" si="45"/>
        <v>3</v>
      </c>
      <c r="T359" s="30">
        <f t="shared" si="46"/>
        <v>2023</v>
      </c>
      <c r="U359" s="29" t="str">
        <f t="shared" si="47"/>
        <v>March</v>
      </c>
    </row>
    <row r="360" spans="1:21" ht="17.399999999999999" x14ac:dyDescent="0.3">
      <c r="A360" s="21" t="s">
        <v>3308</v>
      </c>
      <c r="B360" s="22" t="s">
        <v>3636</v>
      </c>
      <c r="C360" s="23" t="s">
        <v>3518</v>
      </c>
      <c r="D360" s="22" t="s">
        <v>3545</v>
      </c>
      <c r="E360" s="24">
        <v>44994</v>
      </c>
      <c r="F360" s="24">
        <v>45179</v>
      </c>
      <c r="G360" s="22" t="s">
        <v>11</v>
      </c>
      <c r="H360" s="25">
        <v>35531</v>
      </c>
      <c r="I360" s="25">
        <v>1581</v>
      </c>
      <c r="J360" s="26">
        <v>1482.25</v>
      </c>
      <c r="K360" s="25">
        <v>0</v>
      </c>
      <c r="L360" s="21" t="s">
        <v>21</v>
      </c>
      <c r="M360" s="22" t="s">
        <v>11</v>
      </c>
      <c r="N360" s="27">
        <f t="shared" si="40"/>
        <v>185</v>
      </c>
      <c r="O360" s="28">
        <f t="shared" si="41"/>
        <v>4.4496355295375871E-2</v>
      </c>
      <c r="P360" s="28">
        <f t="shared" si="42"/>
        <v>0</v>
      </c>
      <c r="Q360" s="26">
        <f t="shared" si="43"/>
        <v>0.93753953194180895</v>
      </c>
      <c r="R360" s="29" t="str">
        <f t="shared" si="44"/>
        <v>0</v>
      </c>
      <c r="S360" s="30">
        <f t="shared" si="45"/>
        <v>3</v>
      </c>
      <c r="T360" s="30">
        <f t="shared" si="46"/>
        <v>2023</v>
      </c>
      <c r="U360" s="29" t="str">
        <f t="shared" si="47"/>
        <v>March</v>
      </c>
    </row>
    <row r="361" spans="1:21" ht="17.399999999999999" x14ac:dyDescent="0.3">
      <c r="A361" s="21" t="s">
        <v>713</v>
      </c>
      <c r="B361" s="21" t="s">
        <v>714</v>
      </c>
      <c r="C361" s="23" t="s">
        <v>3516</v>
      </c>
      <c r="D361" s="21" t="s">
        <v>3517</v>
      </c>
      <c r="E361" s="24">
        <v>44994</v>
      </c>
      <c r="F361" s="24">
        <v>45004</v>
      </c>
      <c r="G361" s="22" t="s">
        <v>11</v>
      </c>
      <c r="H361" s="25">
        <v>55748</v>
      </c>
      <c r="I361" s="25">
        <v>1149</v>
      </c>
      <c r="J361" s="26">
        <v>2271.88</v>
      </c>
      <c r="K361" s="25">
        <v>75</v>
      </c>
      <c r="L361" s="21" t="s">
        <v>17</v>
      </c>
      <c r="M361" s="22" t="s">
        <v>11</v>
      </c>
      <c r="N361" s="27">
        <f t="shared" si="40"/>
        <v>10</v>
      </c>
      <c r="O361" s="28">
        <f t="shared" si="41"/>
        <v>2.061060486474851E-2</v>
      </c>
      <c r="P361" s="28">
        <f t="shared" si="42"/>
        <v>6.5274151436031339E-2</v>
      </c>
      <c r="Q361" s="26">
        <f t="shared" si="43"/>
        <v>1.9772671888598783</v>
      </c>
      <c r="R361" s="29">
        <f t="shared" si="44"/>
        <v>30.291733333333333</v>
      </c>
      <c r="S361" s="30">
        <f t="shared" si="45"/>
        <v>3</v>
      </c>
      <c r="T361" s="30">
        <f t="shared" si="46"/>
        <v>2023</v>
      </c>
      <c r="U361" s="29" t="str">
        <f t="shared" si="47"/>
        <v>March</v>
      </c>
    </row>
    <row r="362" spans="1:21" ht="17.399999999999999" x14ac:dyDescent="0.3">
      <c r="A362" s="21" t="s">
        <v>1333</v>
      </c>
      <c r="B362" s="21" t="s">
        <v>1334</v>
      </c>
      <c r="C362" s="23" t="s">
        <v>3516</v>
      </c>
      <c r="D362" s="21" t="s">
        <v>3521</v>
      </c>
      <c r="E362" s="24">
        <v>44994</v>
      </c>
      <c r="F362" s="24">
        <v>45006</v>
      </c>
      <c r="G362" s="22" t="s">
        <v>16</v>
      </c>
      <c r="H362" s="25">
        <v>91469</v>
      </c>
      <c r="I362" s="25">
        <v>3689</v>
      </c>
      <c r="J362" s="26">
        <v>2591.9699999999998</v>
      </c>
      <c r="K362" s="25">
        <v>612</v>
      </c>
      <c r="L362" s="21" t="s">
        <v>21</v>
      </c>
      <c r="M362" s="22" t="s">
        <v>16</v>
      </c>
      <c r="N362" s="27">
        <f t="shared" si="40"/>
        <v>12</v>
      </c>
      <c r="O362" s="28">
        <f t="shared" si="41"/>
        <v>4.0330603811127269E-2</v>
      </c>
      <c r="P362" s="28">
        <f t="shared" si="42"/>
        <v>0.16589861751152074</v>
      </c>
      <c r="Q362" s="26">
        <f t="shared" si="43"/>
        <v>0.70262130658715094</v>
      </c>
      <c r="R362" s="29">
        <f t="shared" si="44"/>
        <v>4.2352450980392158</v>
      </c>
      <c r="S362" s="30">
        <f t="shared" si="45"/>
        <v>3</v>
      </c>
      <c r="T362" s="30">
        <f t="shared" si="46"/>
        <v>2023</v>
      </c>
      <c r="U362" s="29" t="str">
        <f t="shared" si="47"/>
        <v>March</v>
      </c>
    </row>
    <row r="363" spans="1:21" ht="17.399999999999999" x14ac:dyDescent="0.3">
      <c r="A363" s="21" t="s">
        <v>1745</v>
      </c>
      <c r="B363" s="22" t="s">
        <v>3637</v>
      </c>
      <c r="C363" s="23" t="s">
        <v>3515</v>
      </c>
      <c r="D363" s="22" t="s">
        <v>3545</v>
      </c>
      <c r="E363" s="24">
        <v>44994</v>
      </c>
      <c r="F363" s="24">
        <v>45017</v>
      </c>
      <c r="G363" s="22" t="s">
        <v>24</v>
      </c>
      <c r="H363" s="25">
        <v>80905</v>
      </c>
      <c r="I363" s="25">
        <v>3656</v>
      </c>
      <c r="J363" s="26">
        <v>3511.44</v>
      </c>
      <c r="K363" s="25">
        <v>0</v>
      </c>
      <c r="L363" s="21" t="s">
        <v>21</v>
      </c>
      <c r="M363" s="22" t="s">
        <v>3536</v>
      </c>
      <c r="N363" s="27">
        <f t="shared" si="40"/>
        <v>23</v>
      </c>
      <c r="O363" s="28">
        <f t="shared" si="41"/>
        <v>4.5188801680983867E-2</v>
      </c>
      <c r="P363" s="28">
        <f t="shared" si="42"/>
        <v>0</v>
      </c>
      <c r="Q363" s="26">
        <f t="shared" si="43"/>
        <v>0.96045951859956236</v>
      </c>
      <c r="R363" s="29" t="str">
        <f t="shared" si="44"/>
        <v>0</v>
      </c>
      <c r="S363" s="30">
        <f t="shared" si="45"/>
        <v>3</v>
      </c>
      <c r="T363" s="30">
        <f t="shared" si="46"/>
        <v>2023</v>
      </c>
      <c r="U363" s="29" t="str">
        <f t="shared" si="47"/>
        <v>March</v>
      </c>
    </row>
    <row r="364" spans="1:21" ht="17.399999999999999" x14ac:dyDescent="0.3">
      <c r="A364" s="21" t="s">
        <v>1319</v>
      </c>
      <c r="B364" s="21" t="s">
        <v>1320</v>
      </c>
      <c r="C364" s="23" t="s">
        <v>3519</v>
      </c>
      <c r="D364" s="21" t="s">
        <v>3517</v>
      </c>
      <c r="E364" s="24">
        <v>44994</v>
      </c>
      <c r="F364" s="24">
        <v>45232</v>
      </c>
      <c r="G364" s="22" t="s">
        <v>31</v>
      </c>
      <c r="H364" s="25">
        <v>20087</v>
      </c>
      <c r="I364" s="25">
        <v>290</v>
      </c>
      <c r="J364" s="26">
        <v>484.7</v>
      </c>
      <c r="K364" s="25">
        <v>55</v>
      </c>
      <c r="L364" s="21" t="s">
        <v>17</v>
      </c>
      <c r="M364" s="22" t="s">
        <v>31</v>
      </c>
      <c r="N364" s="27">
        <f t="shared" si="40"/>
        <v>238</v>
      </c>
      <c r="O364" s="28">
        <f t="shared" si="41"/>
        <v>1.4437198187882709E-2</v>
      </c>
      <c r="P364" s="28">
        <f t="shared" si="42"/>
        <v>0.18965517241379309</v>
      </c>
      <c r="Q364" s="26">
        <f t="shared" si="43"/>
        <v>1.6713793103448276</v>
      </c>
      <c r="R364" s="29">
        <f t="shared" si="44"/>
        <v>8.8127272727272725</v>
      </c>
      <c r="S364" s="30">
        <f t="shared" si="45"/>
        <v>3</v>
      </c>
      <c r="T364" s="30">
        <f t="shared" si="46"/>
        <v>2023</v>
      </c>
      <c r="U364" s="29" t="str">
        <f t="shared" si="47"/>
        <v>March</v>
      </c>
    </row>
    <row r="365" spans="1:21" ht="17.399999999999999" x14ac:dyDescent="0.3">
      <c r="A365" s="21" t="s">
        <v>305</v>
      </c>
      <c r="B365" s="22" t="s">
        <v>3638</v>
      </c>
      <c r="C365" s="23" t="s">
        <v>3519</v>
      </c>
      <c r="D365" s="22" t="s">
        <v>3545</v>
      </c>
      <c r="E365" s="24">
        <v>44995</v>
      </c>
      <c r="F365" s="24">
        <v>45004</v>
      </c>
      <c r="G365" s="22" t="s">
        <v>14</v>
      </c>
      <c r="H365" s="25">
        <v>70163</v>
      </c>
      <c r="I365" s="25">
        <v>2505</v>
      </c>
      <c r="J365" s="26">
        <v>3137.17</v>
      </c>
      <c r="K365" s="25">
        <v>0</v>
      </c>
      <c r="L365" s="21" t="s">
        <v>21</v>
      </c>
      <c r="M365" s="22" t="s">
        <v>3537</v>
      </c>
      <c r="N365" s="27">
        <f t="shared" si="40"/>
        <v>9</v>
      </c>
      <c r="O365" s="28">
        <f t="shared" si="41"/>
        <v>3.5702578282000484E-2</v>
      </c>
      <c r="P365" s="28">
        <f t="shared" si="42"/>
        <v>0</v>
      </c>
      <c r="Q365" s="26">
        <f t="shared" si="43"/>
        <v>1.2523632734530938</v>
      </c>
      <c r="R365" s="29" t="str">
        <f t="shared" si="44"/>
        <v>0</v>
      </c>
      <c r="S365" s="30">
        <f t="shared" si="45"/>
        <v>3</v>
      </c>
      <c r="T365" s="30">
        <f t="shared" si="46"/>
        <v>2023</v>
      </c>
      <c r="U365" s="29" t="str">
        <f t="shared" si="47"/>
        <v>March</v>
      </c>
    </row>
    <row r="366" spans="1:21" ht="17.399999999999999" x14ac:dyDescent="0.3">
      <c r="A366" s="21" t="s">
        <v>2678</v>
      </c>
      <c r="B366" s="22" t="s">
        <v>3639</v>
      </c>
      <c r="C366" s="23" t="s">
        <v>3519</v>
      </c>
      <c r="D366" s="22" t="s">
        <v>3545</v>
      </c>
      <c r="E366" s="24">
        <v>44995</v>
      </c>
      <c r="F366" s="24">
        <v>45203</v>
      </c>
      <c r="G366" s="22" t="s">
        <v>14</v>
      </c>
      <c r="H366" s="25">
        <v>71342</v>
      </c>
      <c r="I366" s="25">
        <v>2488</v>
      </c>
      <c r="J366" s="26">
        <v>1676.25</v>
      </c>
      <c r="K366" s="25">
        <v>436</v>
      </c>
      <c r="L366" s="21" t="s">
        <v>21</v>
      </c>
      <c r="M366" s="22" t="s">
        <v>3537</v>
      </c>
      <c r="N366" s="27">
        <f t="shared" si="40"/>
        <v>208</v>
      </c>
      <c r="O366" s="28">
        <f t="shared" si="41"/>
        <v>3.487426761234616E-2</v>
      </c>
      <c r="P366" s="28">
        <f t="shared" si="42"/>
        <v>0.17524115755627009</v>
      </c>
      <c r="Q366" s="26">
        <f t="shared" si="43"/>
        <v>0.673733922829582</v>
      </c>
      <c r="R366" s="29">
        <f t="shared" si="44"/>
        <v>3.8446100917431192</v>
      </c>
      <c r="S366" s="30">
        <f t="shared" si="45"/>
        <v>3</v>
      </c>
      <c r="T366" s="30">
        <f t="shared" si="46"/>
        <v>2023</v>
      </c>
      <c r="U366" s="29" t="str">
        <f t="shared" si="47"/>
        <v>March</v>
      </c>
    </row>
    <row r="367" spans="1:21" ht="17.399999999999999" x14ac:dyDescent="0.3">
      <c r="A367" s="21" t="s">
        <v>2607</v>
      </c>
      <c r="B367" s="21" t="s">
        <v>2608</v>
      </c>
      <c r="C367" s="23" t="s">
        <v>3516</v>
      </c>
      <c r="D367" s="21" t="s">
        <v>3520</v>
      </c>
      <c r="E367" s="24">
        <v>44995</v>
      </c>
      <c r="F367" s="24">
        <v>45022</v>
      </c>
      <c r="G367" s="22" t="s">
        <v>31</v>
      </c>
      <c r="H367" s="25">
        <v>25354</v>
      </c>
      <c r="I367" s="25">
        <v>654</v>
      </c>
      <c r="J367" s="26">
        <v>368.93</v>
      </c>
      <c r="K367" s="25">
        <v>85</v>
      </c>
      <c r="L367" s="21" t="s">
        <v>21</v>
      </c>
      <c r="M367" s="22" t="s">
        <v>31</v>
      </c>
      <c r="N367" s="27">
        <f t="shared" si="40"/>
        <v>27</v>
      </c>
      <c r="O367" s="28">
        <f t="shared" si="41"/>
        <v>2.5794746391101995E-2</v>
      </c>
      <c r="P367" s="28">
        <f t="shared" si="42"/>
        <v>0.12996941896024464</v>
      </c>
      <c r="Q367" s="26">
        <f t="shared" si="43"/>
        <v>0.56411314984709482</v>
      </c>
      <c r="R367" s="29">
        <f t="shared" si="44"/>
        <v>4.3403529411764703</v>
      </c>
      <c r="S367" s="30">
        <f t="shared" si="45"/>
        <v>3</v>
      </c>
      <c r="T367" s="30">
        <f t="shared" si="46"/>
        <v>2023</v>
      </c>
      <c r="U367" s="29" t="str">
        <f t="shared" si="47"/>
        <v>March</v>
      </c>
    </row>
    <row r="368" spans="1:21" ht="17.399999999999999" x14ac:dyDescent="0.3">
      <c r="A368" s="21" t="s">
        <v>195</v>
      </c>
      <c r="B368" s="21" t="s">
        <v>196</v>
      </c>
      <c r="C368" s="23" t="s">
        <v>3515</v>
      </c>
      <c r="D368" s="21" t="s">
        <v>3517</v>
      </c>
      <c r="E368" s="24">
        <v>44995</v>
      </c>
      <c r="F368" s="24">
        <v>45021</v>
      </c>
      <c r="G368" s="22" t="s">
        <v>31</v>
      </c>
      <c r="H368" s="25">
        <v>88538</v>
      </c>
      <c r="I368" s="25">
        <v>2770</v>
      </c>
      <c r="J368" s="26">
        <v>4194.3</v>
      </c>
      <c r="K368" s="25">
        <v>342</v>
      </c>
      <c r="L368" s="21" t="s">
        <v>17</v>
      </c>
      <c r="M368" s="22" t="s">
        <v>31</v>
      </c>
      <c r="N368" s="27">
        <f t="shared" si="40"/>
        <v>26</v>
      </c>
      <c r="O368" s="28">
        <f t="shared" si="41"/>
        <v>3.1286001490885271E-2</v>
      </c>
      <c r="P368" s="28">
        <f t="shared" si="42"/>
        <v>0.12346570397111914</v>
      </c>
      <c r="Q368" s="26">
        <f t="shared" si="43"/>
        <v>1.5141877256317691</v>
      </c>
      <c r="R368" s="29">
        <f t="shared" si="44"/>
        <v>12.264035087719298</v>
      </c>
      <c r="S368" s="30">
        <f t="shared" si="45"/>
        <v>3</v>
      </c>
      <c r="T368" s="30">
        <f t="shared" si="46"/>
        <v>2023</v>
      </c>
      <c r="U368" s="29" t="str">
        <f t="shared" si="47"/>
        <v>March</v>
      </c>
    </row>
    <row r="369" spans="1:21" ht="17.399999999999999" x14ac:dyDescent="0.3">
      <c r="A369" s="21" t="s">
        <v>1278</v>
      </c>
      <c r="B369" s="21" t="s">
        <v>1279</v>
      </c>
      <c r="C369" s="23" t="s">
        <v>3515</v>
      </c>
      <c r="D369" s="21" t="s">
        <v>3517</v>
      </c>
      <c r="E369" s="24">
        <v>44995</v>
      </c>
      <c r="F369" s="24">
        <v>45008</v>
      </c>
      <c r="G369" s="22" t="s">
        <v>11</v>
      </c>
      <c r="H369" s="25">
        <v>34591</v>
      </c>
      <c r="I369" s="25">
        <v>468</v>
      </c>
      <c r="J369" s="26">
        <v>589.97</v>
      </c>
      <c r="K369" s="25">
        <v>52</v>
      </c>
      <c r="L369" s="21" t="s">
        <v>17</v>
      </c>
      <c r="M369" s="22" t="s">
        <v>11</v>
      </c>
      <c r="N369" s="27">
        <f t="shared" si="40"/>
        <v>13</v>
      </c>
      <c r="O369" s="28">
        <f t="shared" si="41"/>
        <v>1.352953080280998E-2</v>
      </c>
      <c r="P369" s="28">
        <f t="shared" si="42"/>
        <v>0.1111111111111111</v>
      </c>
      <c r="Q369" s="26">
        <f t="shared" si="43"/>
        <v>1.2606196581196583</v>
      </c>
      <c r="R369" s="29">
        <f t="shared" si="44"/>
        <v>11.345576923076923</v>
      </c>
      <c r="S369" s="30">
        <f t="shared" si="45"/>
        <v>3</v>
      </c>
      <c r="T369" s="30">
        <f t="shared" si="46"/>
        <v>2023</v>
      </c>
      <c r="U369" s="29" t="str">
        <f t="shared" si="47"/>
        <v>March</v>
      </c>
    </row>
    <row r="370" spans="1:21" ht="17.399999999999999" x14ac:dyDescent="0.3">
      <c r="A370" s="21" t="s">
        <v>1770</v>
      </c>
      <c r="B370" s="21" t="s">
        <v>1771</v>
      </c>
      <c r="C370" s="23" t="s">
        <v>3515</v>
      </c>
      <c r="D370" s="21" t="s">
        <v>3520</v>
      </c>
      <c r="E370" s="24">
        <v>44995</v>
      </c>
      <c r="F370" s="24">
        <v>45004</v>
      </c>
      <c r="G370" s="22" t="s">
        <v>11</v>
      </c>
      <c r="H370" s="25">
        <v>76703</v>
      </c>
      <c r="I370" s="25">
        <v>1677</v>
      </c>
      <c r="J370" s="26">
        <v>1213.6600000000001</v>
      </c>
      <c r="K370" s="25">
        <v>191</v>
      </c>
      <c r="L370" s="21" t="s">
        <v>21</v>
      </c>
      <c r="M370" s="22" t="s">
        <v>11</v>
      </c>
      <c r="N370" s="27">
        <f t="shared" si="40"/>
        <v>9</v>
      </c>
      <c r="O370" s="28">
        <f t="shared" si="41"/>
        <v>2.1863551621188221E-2</v>
      </c>
      <c r="P370" s="28">
        <f t="shared" si="42"/>
        <v>0.1138938580799046</v>
      </c>
      <c r="Q370" s="26">
        <f t="shared" si="43"/>
        <v>0.72370900417412054</v>
      </c>
      <c r="R370" s="29">
        <f t="shared" si="44"/>
        <v>6.3542408376963353</v>
      </c>
      <c r="S370" s="30">
        <f t="shared" si="45"/>
        <v>3</v>
      </c>
      <c r="T370" s="30">
        <f t="shared" si="46"/>
        <v>2023</v>
      </c>
      <c r="U370" s="29" t="str">
        <f t="shared" si="47"/>
        <v>March</v>
      </c>
    </row>
    <row r="371" spans="1:21" ht="17.399999999999999" x14ac:dyDescent="0.3">
      <c r="A371" s="21" t="s">
        <v>2434</v>
      </c>
      <c r="B371" s="21" t="s">
        <v>2435</v>
      </c>
      <c r="C371" s="23" t="s">
        <v>3515</v>
      </c>
      <c r="D371" s="21" t="s">
        <v>3520</v>
      </c>
      <c r="E371" s="24">
        <v>44995</v>
      </c>
      <c r="F371" s="24">
        <v>45003</v>
      </c>
      <c r="G371" s="22" t="s">
        <v>11</v>
      </c>
      <c r="H371" s="25">
        <v>52920</v>
      </c>
      <c r="I371" s="25">
        <v>913</v>
      </c>
      <c r="J371" s="26">
        <v>1576.24</v>
      </c>
      <c r="K371" s="25">
        <v>82</v>
      </c>
      <c r="L371" s="21" t="s">
        <v>21</v>
      </c>
      <c r="M371" s="22" t="s">
        <v>11</v>
      </c>
      <c r="N371" s="27">
        <f t="shared" si="40"/>
        <v>8</v>
      </c>
      <c r="O371" s="28">
        <f t="shared" si="41"/>
        <v>1.7252456538170823E-2</v>
      </c>
      <c r="P371" s="28">
        <f t="shared" si="42"/>
        <v>8.9813800657174148E-2</v>
      </c>
      <c r="Q371" s="26">
        <f t="shared" si="43"/>
        <v>1.7264403066812706</v>
      </c>
      <c r="R371" s="29">
        <f t="shared" si="44"/>
        <v>19.222439024390244</v>
      </c>
      <c r="S371" s="30">
        <f t="shared" si="45"/>
        <v>3</v>
      </c>
      <c r="T371" s="30">
        <f t="shared" si="46"/>
        <v>2023</v>
      </c>
      <c r="U371" s="29" t="str">
        <f t="shared" si="47"/>
        <v>March</v>
      </c>
    </row>
    <row r="372" spans="1:21" ht="17.399999999999999" x14ac:dyDescent="0.3">
      <c r="A372" s="21" t="s">
        <v>3283</v>
      </c>
      <c r="B372" s="22" t="s">
        <v>3640</v>
      </c>
      <c r="C372" s="23" t="s">
        <v>3518</v>
      </c>
      <c r="D372" s="22" t="s">
        <v>3545</v>
      </c>
      <c r="E372" s="24">
        <v>44996</v>
      </c>
      <c r="F372" s="24">
        <v>45001</v>
      </c>
      <c r="G372" s="22" t="s">
        <v>3535</v>
      </c>
      <c r="H372" s="25">
        <v>62788</v>
      </c>
      <c r="I372" s="25">
        <v>1937</v>
      </c>
      <c r="J372" s="26">
        <v>1105.04</v>
      </c>
      <c r="K372" s="25">
        <v>0</v>
      </c>
      <c r="L372" s="21" t="s">
        <v>17</v>
      </c>
      <c r="M372" s="22" t="s">
        <v>3535</v>
      </c>
      <c r="N372" s="27">
        <f t="shared" si="40"/>
        <v>5</v>
      </c>
      <c r="O372" s="28">
        <f t="shared" si="41"/>
        <v>3.0849843919220233E-2</v>
      </c>
      <c r="P372" s="28">
        <f t="shared" si="42"/>
        <v>0</v>
      </c>
      <c r="Q372" s="26">
        <f t="shared" si="43"/>
        <v>0.57049044914816727</v>
      </c>
      <c r="R372" s="29" t="str">
        <f t="shared" si="44"/>
        <v>0</v>
      </c>
      <c r="S372" s="30">
        <f t="shared" si="45"/>
        <v>3</v>
      </c>
      <c r="T372" s="30">
        <f t="shared" si="46"/>
        <v>2023</v>
      </c>
      <c r="U372" s="29" t="str">
        <f t="shared" si="47"/>
        <v>March</v>
      </c>
    </row>
    <row r="373" spans="1:21" ht="17.399999999999999" x14ac:dyDescent="0.3">
      <c r="A373" s="21" t="s">
        <v>3147</v>
      </c>
      <c r="B373" s="21" t="s">
        <v>3148</v>
      </c>
      <c r="C373" s="23" t="s">
        <v>3516</v>
      </c>
      <c r="D373" s="21" t="s">
        <v>3521</v>
      </c>
      <c r="E373" s="24">
        <v>44996</v>
      </c>
      <c r="F373" s="24">
        <v>45024</v>
      </c>
      <c r="G373" s="22" t="s">
        <v>24</v>
      </c>
      <c r="H373" s="25">
        <v>74609</v>
      </c>
      <c r="I373" s="25">
        <v>793</v>
      </c>
      <c r="J373" s="26">
        <v>598.42999999999995</v>
      </c>
      <c r="K373" s="25">
        <v>53</v>
      </c>
      <c r="L373" s="21" t="s">
        <v>21</v>
      </c>
      <c r="M373" s="22" t="s">
        <v>3536</v>
      </c>
      <c r="N373" s="27">
        <f t="shared" si="40"/>
        <v>28</v>
      </c>
      <c r="O373" s="28">
        <f t="shared" si="41"/>
        <v>1.0628744521438433E-2</v>
      </c>
      <c r="P373" s="28">
        <f t="shared" si="42"/>
        <v>6.683480453972257E-2</v>
      </c>
      <c r="Q373" s="26">
        <f t="shared" si="43"/>
        <v>0.75464060529634291</v>
      </c>
      <c r="R373" s="29">
        <f t="shared" si="44"/>
        <v>11.291132075471698</v>
      </c>
      <c r="S373" s="30">
        <f t="shared" si="45"/>
        <v>3</v>
      </c>
      <c r="T373" s="30">
        <f t="shared" si="46"/>
        <v>2023</v>
      </c>
      <c r="U373" s="29" t="str">
        <f t="shared" si="47"/>
        <v>March</v>
      </c>
    </row>
    <row r="374" spans="1:21" ht="17.399999999999999" x14ac:dyDescent="0.3">
      <c r="A374" s="21" t="s">
        <v>3229</v>
      </c>
      <c r="B374" s="22" t="s">
        <v>3641</v>
      </c>
      <c r="C374" s="23" t="s">
        <v>3516</v>
      </c>
      <c r="D374" s="22" t="s">
        <v>3545</v>
      </c>
      <c r="E374" s="24">
        <v>44996</v>
      </c>
      <c r="F374" s="24">
        <v>45008</v>
      </c>
      <c r="G374" s="22" t="s">
        <v>31</v>
      </c>
      <c r="H374" s="25">
        <v>34756</v>
      </c>
      <c r="I374" s="25">
        <v>738</v>
      </c>
      <c r="J374" s="26">
        <v>1422.97</v>
      </c>
      <c r="K374" s="25">
        <v>120</v>
      </c>
      <c r="L374" s="21" t="s">
        <v>17</v>
      </c>
      <c r="M374" s="22" t="s">
        <v>31</v>
      </c>
      <c r="N374" s="27">
        <f t="shared" si="40"/>
        <v>12</v>
      </c>
      <c r="O374" s="28">
        <f t="shared" si="41"/>
        <v>2.1233743814017724E-2</v>
      </c>
      <c r="P374" s="28">
        <f t="shared" si="42"/>
        <v>0.16260162601626016</v>
      </c>
      <c r="Q374" s="26">
        <f t="shared" si="43"/>
        <v>1.9281436314363145</v>
      </c>
      <c r="R374" s="29">
        <f t="shared" si="44"/>
        <v>11.858083333333333</v>
      </c>
      <c r="S374" s="30">
        <f t="shared" si="45"/>
        <v>3</v>
      </c>
      <c r="T374" s="30">
        <f t="shared" si="46"/>
        <v>2023</v>
      </c>
      <c r="U374" s="29" t="str">
        <f t="shared" si="47"/>
        <v>March</v>
      </c>
    </row>
    <row r="375" spans="1:21" ht="17.399999999999999" x14ac:dyDescent="0.3">
      <c r="A375" s="21" t="s">
        <v>813</v>
      </c>
      <c r="B375" s="21" t="s">
        <v>814</v>
      </c>
      <c r="C375" s="23" t="s">
        <v>3519</v>
      </c>
      <c r="D375" s="21" t="s">
        <v>3520</v>
      </c>
      <c r="E375" s="24">
        <v>44997</v>
      </c>
      <c r="F375" s="24">
        <v>45012</v>
      </c>
      <c r="G375" s="22" t="s">
        <v>3535</v>
      </c>
      <c r="H375" s="25">
        <v>18019</v>
      </c>
      <c r="I375" s="25">
        <v>381</v>
      </c>
      <c r="J375" s="26">
        <v>590.37</v>
      </c>
      <c r="K375" s="25">
        <v>70</v>
      </c>
      <c r="L375" s="21" t="s">
        <v>21</v>
      </c>
      <c r="M375" s="22" t="s">
        <v>3535</v>
      </c>
      <c r="N375" s="27">
        <f t="shared" si="40"/>
        <v>15</v>
      </c>
      <c r="O375" s="28">
        <f t="shared" si="41"/>
        <v>2.1144347633053999E-2</v>
      </c>
      <c r="P375" s="28">
        <f t="shared" si="42"/>
        <v>0.18372703412073491</v>
      </c>
      <c r="Q375" s="26">
        <f t="shared" si="43"/>
        <v>1.5495275590551181</v>
      </c>
      <c r="R375" s="29">
        <f t="shared" si="44"/>
        <v>8.4338571428571427</v>
      </c>
      <c r="S375" s="30">
        <f t="shared" si="45"/>
        <v>3</v>
      </c>
      <c r="T375" s="30">
        <f t="shared" si="46"/>
        <v>2023</v>
      </c>
      <c r="U375" s="29" t="str">
        <f t="shared" si="47"/>
        <v>March</v>
      </c>
    </row>
    <row r="376" spans="1:21" ht="17.399999999999999" x14ac:dyDescent="0.3">
      <c r="A376" s="21" t="s">
        <v>1254</v>
      </c>
      <c r="B376" s="21" t="s">
        <v>1255</v>
      </c>
      <c r="C376" s="23" t="s">
        <v>3519</v>
      </c>
      <c r="D376" s="21" t="s">
        <v>3517</v>
      </c>
      <c r="E376" s="24">
        <v>44997</v>
      </c>
      <c r="F376" s="24">
        <v>45018</v>
      </c>
      <c r="G376" s="22" t="s">
        <v>11</v>
      </c>
      <c r="H376" s="25">
        <v>56771</v>
      </c>
      <c r="I376" s="25">
        <v>1690</v>
      </c>
      <c r="J376" s="26">
        <v>959.82</v>
      </c>
      <c r="K376" s="25">
        <v>197</v>
      </c>
      <c r="L376" s="21" t="s">
        <v>21</v>
      </c>
      <c r="M376" s="22" t="s">
        <v>11</v>
      </c>
      <c r="N376" s="27">
        <f t="shared" si="40"/>
        <v>21</v>
      </c>
      <c r="O376" s="28">
        <f t="shared" si="41"/>
        <v>2.9768719945042363E-2</v>
      </c>
      <c r="P376" s="28">
        <f t="shared" si="42"/>
        <v>0.1165680473372781</v>
      </c>
      <c r="Q376" s="26">
        <f t="shared" si="43"/>
        <v>0.56794082840236693</v>
      </c>
      <c r="R376" s="29">
        <f t="shared" si="44"/>
        <v>4.8721827411167515</v>
      </c>
      <c r="S376" s="30">
        <f t="shared" si="45"/>
        <v>3</v>
      </c>
      <c r="T376" s="30">
        <f t="shared" si="46"/>
        <v>2023</v>
      </c>
      <c r="U376" s="29" t="str">
        <f t="shared" si="47"/>
        <v>March</v>
      </c>
    </row>
    <row r="377" spans="1:21" ht="17.399999999999999" x14ac:dyDescent="0.3">
      <c r="A377" s="21" t="s">
        <v>2303</v>
      </c>
      <c r="B377" s="22" t="s">
        <v>3642</v>
      </c>
      <c r="C377" s="23" t="s">
        <v>3519</v>
      </c>
      <c r="D377" s="22" t="s">
        <v>3545</v>
      </c>
      <c r="E377" s="24">
        <v>44997</v>
      </c>
      <c r="F377" s="24">
        <v>45006</v>
      </c>
      <c r="G377" s="22" t="s">
        <v>24</v>
      </c>
      <c r="H377" s="25">
        <v>56168</v>
      </c>
      <c r="I377" s="25">
        <v>2651</v>
      </c>
      <c r="J377" s="26">
        <v>2294.06</v>
      </c>
      <c r="K377" s="25">
        <v>306</v>
      </c>
      <c r="L377" s="21" t="s">
        <v>17</v>
      </c>
      <c r="M377" s="22" t="s">
        <v>3536</v>
      </c>
      <c r="N377" s="27">
        <f t="shared" si="40"/>
        <v>9</v>
      </c>
      <c r="O377" s="28">
        <f t="shared" si="41"/>
        <v>4.7197692636376583E-2</v>
      </c>
      <c r="P377" s="28">
        <f t="shared" si="42"/>
        <v>0.11542814032440589</v>
      </c>
      <c r="Q377" s="26">
        <f t="shared" si="43"/>
        <v>0.86535646925688414</v>
      </c>
      <c r="R377" s="29">
        <f t="shared" si="44"/>
        <v>7.4969281045751632</v>
      </c>
      <c r="S377" s="30">
        <f t="shared" si="45"/>
        <v>3</v>
      </c>
      <c r="T377" s="30">
        <f t="shared" si="46"/>
        <v>2023</v>
      </c>
      <c r="U377" s="29" t="str">
        <f t="shared" si="47"/>
        <v>March</v>
      </c>
    </row>
    <row r="378" spans="1:21" ht="17.399999999999999" x14ac:dyDescent="0.3">
      <c r="A378" s="21" t="s">
        <v>2333</v>
      </c>
      <c r="B378" s="21" t="s">
        <v>2334</v>
      </c>
      <c r="C378" s="23" t="s">
        <v>3519</v>
      </c>
      <c r="D378" s="21" t="s">
        <v>3517</v>
      </c>
      <c r="E378" s="24">
        <v>44997</v>
      </c>
      <c r="F378" s="24">
        <v>45027</v>
      </c>
      <c r="G378" s="22" t="s">
        <v>16</v>
      </c>
      <c r="H378" s="25">
        <v>57373</v>
      </c>
      <c r="I378" s="25">
        <v>2560</v>
      </c>
      <c r="J378" s="26">
        <v>3679.92</v>
      </c>
      <c r="K378" s="25">
        <v>200</v>
      </c>
      <c r="L378" s="21" t="s">
        <v>17</v>
      </c>
      <c r="M378" s="22" t="s">
        <v>16</v>
      </c>
      <c r="N378" s="27">
        <f t="shared" si="40"/>
        <v>30</v>
      </c>
      <c r="O378" s="28">
        <f t="shared" si="41"/>
        <v>4.4620291774876683E-2</v>
      </c>
      <c r="P378" s="28">
        <f t="shared" si="42"/>
        <v>7.8125E-2</v>
      </c>
      <c r="Q378" s="26">
        <f t="shared" si="43"/>
        <v>1.4374687500000001</v>
      </c>
      <c r="R378" s="29">
        <f t="shared" si="44"/>
        <v>18.3996</v>
      </c>
      <c r="S378" s="30">
        <f t="shared" si="45"/>
        <v>3</v>
      </c>
      <c r="T378" s="30">
        <f t="shared" si="46"/>
        <v>2023</v>
      </c>
      <c r="U378" s="29" t="str">
        <f t="shared" si="47"/>
        <v>March</v>
      </c>
    </row>
    <row r="379" spans="1:21" ht="17.399999999999999" x14ac:dyDescent="0.3">
      <c r="A379" s="21" t="s">
        <v>1656</v>
      </c>
      <c r="B379" s="22" t="s">
        <v>3643</v>
      </c>
      <c r="C379" s="23" t="s">
        <v>3516</v>
      </c>
      <c r="D379" s="22" t="s">
        <v>3545</v>
      </c>
      <c r="E379" s="24">
        <v>44997</v>
      </c>
      <c r="F379" s="24">
        <v>45017</v>
      </c>
      <c r="G379" s="22" t="s">
        <v>16</v>
      </c>
      <c r="H379" s="25">
        <v>53796</v>
      </c>
      <c r="I379" s="25">
        <v>2497</v>
      </c>
      <c r="J379" s="26">
        <v>4773.2</v>
      </c>
      <c r="K379" s="25">
        <v>495</v>
      </c>
      <c r="L379" s="21" t="s">
        <v>21</v>
      </c>
      <c r="M379" s="22" t="s">
        <v>16</v>
      </c>
      <c r="N379" s="27">
        <f t="shared" si="40"/>
        <v>20</v>
      </c>
      <c r="O379" s="28">
        <f t="shared" si="41"/>
        <v>4.6416090415644283E-2</v>
      </c>
      <c r="P379" s="28">
        <f t="shared" si="42"/>
        <v>0.19823788546255505</v>
      </c>
      <c r="Q379" s="26">
        <f t="shared" si="43"/>
        <v>1.9115738886663995</v>
      </c>
      <c r="R379" s="29">
        <f t="shared" si="44"/>
        <v>9.6428282828282832</v>
      </c>
      <c r="S379" s="30">
        <f t="shared" si="45"/>
        <v>3</v>
      </c>
      <c r="T379" s="30">
        <f t="shared" si="46"/>
        <v>2023</v>
      </c>
      <c r="U379" s="29" t="str">
        <f t="shared" si="47"/>
        <v>March</v>
      </c>
    </row>
    <row r="380" spans="1:21" ht="17.399999999999999" x14ac:dyDescent="0.3">
      <c r="A380" s="21" t="s">
        <v>323</v>
      </c>
      <c r="B380" s="21" t="s">
        <v>324</v>
      </c>
      <c r="C380" s="23" t="s">
        <v>3515</v>
      </c>
      <c r="D380" s="21" t="s">
        <v>3517</v>
      </c>
      <c r="E380" s="24">
        <v>44997</v>
      </c>
      <c r="F380" s="24">
        <v>45018</v>
      </c>
      <c r="G380" s="22" t="s">
        <v>14</v>
      </c>
      <c r="H380" s="25">
        <v>45262</v>
      </c>
      <c r="I380" s="25">
        <v>1406</v>
      </c>
      <c r="J380" s="26">
        <v>1974.81</v>
      </c>
      <c r="K380" s="25">
        <v>96</v>
      </c>
      <c r="L380" s="21" t="s">
        <v>17</v>
      </c>
      <c r="M380" s="22" t="s">
        <v>3537</v>
      </c>
      <c r="N380" s="27">
        <f t="shared" si="40"/>
        <v>21</v>
      </c>
      <c r="O380" s="28">
        <f t="shared" si="41"/>
        <v>3.1063585347532147E-2</v>
      </c>
      <c r="P380" s="28">
        <f t="shared" si="42"/>
        <v>6.8278805120910391E-2</v>
      </c>
      <c r="Q380" s="26">
        <f t="shared" si="43"/>
        <v>1.4045590327169275</v>
      </c>
      <c r="R380" s="29">
        <f t="shared" si="44"/>
        <v>20.570937499999999</v>
      </c>
      <c r="S380" s="30">
        <f t="shared" si="45"/>
        <v>3</v>
      </c>
      <c r="T380" s="30">
        <f t="shared" si="46"/>
        <v>2023</v>
      </c>
      <c r="U380" s="29" t="str">
        <f t="shared" si="47"/>
        <v>March</v>
      </c>
    </row>
    <row r="381" spans="1:21" ht="17.399999999999999" x14ac:dyDescent="0.3">
      <c r="A381" s="21" t="s">
        <v>2738</v>
      </c>
      <c r="B381" s="21" t="s">
        <v>2739</v>
      </c>
      <c r="C381" s="23" t="s">
        <v>3515</v>
      </c>
      <c r="D381" s="21" t="s">
        <v>3520</v>
      </c>
      <c r="E381" s="24">
        <v>44997</v>
      </c>
      <c r="F381" s="24">
        <v>45009</v>
      </c>
      <c r="G381" s="22" t="s">
        <v>11</v>
      </c>
      <c r="H381" s="25">
        <v>3983</v>
      </c>
      <c r="I381" s="25">
        <v>141</v>
      </c>
      <c r="J381" s="26">
        <v>170.44</v>
      </c>
      <c r="K381" s="25">
        <v>18</v>
      </c>
      <c r="L381" s="21" t="s">
        <v>17</v>
      </c>
      <c r="M381" s="22" t="s">
        <v>11</v>
      </c>
      <c r="N381" s="27">
        <f t="shared" si="40"/>
        <v>12</v>
      </c>
      <c r="O381" s="28">
        <f t="shared" si="41"/>
        <v>3.5400451920662816E-2</v>
      </c>
      <c r="P381" s="28">
        <f t="shared" si="42"/>
        <v>0.1276595744680851</v>
      </c>
      <c r="Q381" s="26">
        <f t="shared" si="43"/>
        <v>1.2087943262411347</v>
      </c>
      <c r="R381" s="29">
        <f t="shared" si="44"/>
        <v>9.4688888888888894</v>
      </c>
      <c r="S381" s="30">
        <f t="shared" si="45"/>
        <v>3</v>
      </c>
      <c r="T381" s="30">
        <f t="shared" si="46"/>
        <v>2023</v>
      </c>
      <c r="U381" s="29" t="str">
        <f t="shared" si="47"/>
        <v>March</v>
      </c>
    </row>
    <row r="382" spans="1:21" ht="17.399999999999999" x14ac:dyDescent="0.3">
      <c r="A382" s="21" t="s">
        <v>2210</v>
      </c>
      <c r="B382" s="21" t="s">
        <v>2211</v>
      </c>
      <c r="C382" s="23" t="s">
        <v>3519</v>
      </c>
      <c r="D382" s="21" t="s">
        <v>3520</v>
      </c>
      <c r="E382" s="24">
        <v>44998</v>
      </c>
      <c r="F382" s="24">
        <v>45018</v>
      </c>
      <c r="G382" s="22" t="s">
        <v>24</v>
      </c>
      <c r="H382" s="25">
        <v>88895</v>
      </c>
      <c r="I382" s="25">
        <v>1652</v>
      </c>
      <c r="J382" s="26">
        <v>2363.2800000000002</v>
      </c>
      <c r="K382" s="25">
        <v>175</v>
      </c>
      <c r="L382" s="21" t="s">
        <v>17</v>
      </c>
      <c r="M382" s="22" t="s">
        <v>3536</v>
      </c>
      <c r="N382" s="27">
        <f t="shared" si="40"/>
        <v>20</v>
      </c>
      <c r="O382" s="28">
        <f t="shared" si="41"/>
        <v>1.8583722369087126E-2</v>
      </c>
      <c r="P382" s="28">
        <f t="shared" si="42"/>
        <v>0.1059322033898305</v>
      </c>
      <c r="Q382" s="26">
        <f t="shared" si="43"/>
        <v>1.4305569007263923</v>
      </c>
      <c r="R382" s="29">
        <f t="shared" si="44"/>
        <v>13.504457142857143</v>
      </c>
      <c r="S382" s="30">
        <f t="shared" si="45"/>
        <v>3</v>
      </c>
      <c r="T382" s="30">
        <f t="shared" si="46"/>
        <v>2023</v>
      </c>
      <c r="U382" s="29" t="str">
        <f t="shared" si="47"/>
        <v>March</v>
      </c>
    </row>
    <row r="383" spans="1:21" ht="17.399999999999999" x14ac:dyDescent="0.3">
      <c r="A383" s="21" t="s">
        <v>1082</v>
      </c>
      <c r="B383" s="21" t="s">
        <v>1083</v>
      </c>
      <c r="C383" s="23" t="s">
        <v>3518</v>
      </c>
      <c r="D383" s="21" t="s">
        <v>3517</v>
      </c>
      <c r="E383" s="24">
        <v>44998</v>
      </c>
      <c r="F383" s="24">
        <v>45024</v>
      </c>
      <c r="G383" s="22" t="s">
        <v>31</v>
      </c>
      <c r="H383" s="25">
        <v>22352</v>
      </c>
      <c r="I383" s="25">
        <v>316</v>
      </c>
      <c r="J383" s="26">
        <v>302.33</v>
      </c>
      <c r="K383" s="25">
        <v>20</v>
      </c>
      <c r="L383" s="21" t="s">
        <v>21</v>
      </c>
      <c r="M383" s="22" t="s">
        <v>31</v>
      </c>
      <c r="N383" s="27">
        <f t="shared" si="40"/>
        <v>26</v>
      </c>
      <c r="O383" s="28">
        <f t="shared" si="41"/>
        <v>1.4137437365783823E-2</v>
      </c>
      <c r="P383" s="28">
        <f t="shared" si="42"/>
        <v>6.3291139240506333E-2</v>
      </c>
      <c r="Q383" s="26">
        <f t="shared" si="43"/>
        <v>0.95674050632911389</v>
      </c>
      <c r="R383" s="29">
        <f t="shared" si="44"/>
        <v>15.116499999999998</v>
      </c>
      <c r="S383" s="30">
        <f t="shared" si="45"/>
        <v>3</v>
      </c>
      <c r="T383" s="30">
        <f t="shared" si="46"/>
        <v>2023</v>
      </c>
      <c r="U383" s="29" t="str">
        <f t="shared" si="47"/>
        <v>March</v>
      </c>
    </row>
    <row r="384" spans="1:21" ht="17.399999999999999" x14ac:dyDescent="0.3">
      <c r="A384" s="21" t="s">
        <v>2636</v>
      </c>
      <c r="B384" s="21" t="s">
        <v>2637</v>
      </c>
      <c r="C384" s="23" t="s">
        <v>3518</v>
      </c>
      <c r="D384" s="21" t="s">
        <v>3521</v>
      </c>
      <c r="E384" s="24">
        <v>44998</v>
      </c>
      <c r="F384" s="24">
        <v>45005</v>
      </c>
      <c r="G384" s="22" t="s">
        <v>31</v>
      </c>
      <c r="H384" s="25">
        <v>37408</v>
      </c>
      <c r="I384" s="25">
        <v>1200</v>
      </c>
      <c r="J384" s="26">
        <v>1506.68</v>
      </c>
      <c r="K384" s="25">
        <v>204</v>
      </c>
      <c r="L384" s="21" t="s">
        <v>21</v>
      </c>
      <c r="M384" s="22" t="s">
        <v>31</v>
      </c>
      <c r="N384" s="27">
        <f t="shared" si="40"/>
        <v>7</v>
      </c>
      <c r="O384" s="28">
        <f t="shared" si="41"/>
        <v>3.2078699743370402E-2</v>
      </c>
      <c r="P384" s="28">
        <f t="shared" si="42"/>
        <v>0.17</v>
      </c>
      <c r="Q384" s="26">
        <f t="shared" si="43"/>
        <v>1.2555666666666667</v>
      </c>
      <c r="R384" s="29">
        <f t="shared" si="44"/>
        <v>7.385686274509804</v>
      </c>
      <c r="S384" s="30">
        <f t="shared" si="45"/>
        <v>3</v>
      </c>
      <c r="T384" s="30">
        <f t="shared" si="46"/>
        <v>2023</v>
      </c>
      <c r="U384" s="29" t="str">
        <f t="shared" si="47"/>
        <v>March</v>
      </c>
    </row>
    <row r="385" spans="1:21" ht="17.399999999999999" x14ac:dyDescent="0.3">
      <c r="A385" s="21" t="s">
        <v>2613</v>
      </c>
      <c r="B385" s="21" t="s">
        <v>2614</v>
      </c>
      <c r="C385" s="23" t="s">
        <v>3516</v>
      </c>
      <c r="D385" s="21" t="s">
        <v>3521</v>
      </c>
      <c r="E385" s="24">
        <v>44998</v>
      </c>
      <c r="F385" s="24">
        <v>45010</v>
      </c>
      <c r="G385" s="22" t="s">
        <v>11</v>
      </c>
      <c r="H385" s="25">
        <v>87123</v>
      </c>
      <c r="I385" s="25">
        <v>3848</v>
      </c>
      <c r="J385" s="26">
        <v>4674.51</v>
      </c>
      <c r="K385" s="25">
        <v>668</v>
      </c>
      <c r="L385" s="21" t="s">
        <v>21</v>
      </c>
      <c r="M385" s="22" t="s">
        <v>11</v>
      </c>
      <c r="N385" s="27">
        <f t="shared" si="40"/>
        <v>12</v>
      </c>
      <c r="O385" s="28">
        <f t="shared" si="41"/>
        <v>4.4167441433375802E-2</v>
      </c>
      <c r="P385" s="28">
        <f t="shared" si="42"/>
        <v>0.17359667359667361</v>
      </c>
      <c r="Q385" s="26">
        <f t="shared" si="43"/>
        <v>1.2147895010395011</v>
      </c>
      <c r="R385" s="29">
        <f t="shared" si="44"/>
        <v>6.9977694610778443</v>
      </c>
      <c r="S385" s="30">
        <f t="shared" si="45"/>
        <v>3</v>
      </c>
      <c r="T385" s="30">
        <f t="shared" si="46"/>
        <v>2023</v>
      </c>
      <c r="U385" s="29" t="str">
        <f t="shared" si="47"/>
        <v>March</v>
      </c>
    </row>
    <row r="386" spans="1:21" ht="17.399999999999999" x14ac:dyDescent="0.3">
      <c r="A386" s="21" t="s">
        <v>2664</v>
      </c>
      <c r="B386" s="22" t="s">
        <v>3644</v>
      </c>
      <c r="C386" s="23" t="s">
        <v>3516</v>
      </c>
      <c r="D386" s="22" t="s">
        <v>3545</v>
      </c>
      <c r="E386" s="24">
        <v>44998</v>
      </c>
      <c r="F386" s="24">
        <v>45017</v>
      </c>
      <c r="G386" s="22" t="s">
        <v>3535</v>
      </c>
      <c r="H386" s="25">
        <v>16896</v>
      </c>
      <c r="I386" s="25">
        <v>515</v>
      </c>
      <c r="J386" s="26">
        <v>401.16</v>
      </c>
      <c r="K386" s="25">
        <v>77</v>
      </c>
      <c r="L386" s="21" t="s">
        <v>21</v>
      </c>
      <c r="M386" s="22" t="s">
        <v>3535</v>
      </c>
      <c r="N386" s="27">
        <f t="shared" ref="N386:N449" si="48">F386-E386</f>
        <v>19</v>
      </c>
      <c r="O386" s="28">
        <f t="shared" ref="O386:O449" si="49">I386/H386</f>
        <v>3.048058712121212E-2</v>
      </c>
      <c r="P386" s="28">
        <f t="shared" ref="P386:P449" si="50">K386/I386</f>
        <v>0.14951456310679612</v>
      </c>
      <c r="Q386" s="26">
        <f t="shared" ref="Q386:Q449" si="51">J386/I386</f>
        <v>0.77895145631067964</v>
      </c>
      <c r="R386" s="29">
        <f t="shared" ref="R386:R449" si="52">IFERROR(J386/K386,"0")</f>
        <v>5.2098701298701302</v>
      </c>
      <c r="S386" s="30">
        <f t="shared" ref="S386:S449" si="53">MONTH(E386)</f>
        <v>3</v>
      </c>
      <c r="T386" s="30">
        <f t="shared" ref="T386:T449" si="54">YEAR(E386)</f>
        <v>2023</v>
      </c>
      <c r="U386" s="29" t="str">
        <f t="shared" ref="U386:U449" si="55">TEXT(E386,"mmmm")</f>
        <v>March</v>
      </c>
    </row>
    <row r="387" spans="1:21" ht="17.399999999999999" x14ac:dyDescent="0.3">
      <c r="A387" s="21" t="s">
        <v>672</v>
      </c>
      <c r="B387" s="22" t="s">
        <v>3645</v>
      </c>
      <c r="C387" s="23" t="s">
        <v>3515</v>
      </c>
      <c r="D387" s="22" t="s">
        <v>3545</v>
      </c>
      <c r="E387" s="24">
        <v>44998</v>
      </c>
      <c r="F387" s="24">
        <v>45006</v>
      </c>
      <c r="G387" s="22" t="s">
        <v>31</v>
      </c>
      <c r="H387" s="25">
        <v>11492</v>
      </c>
      <c r="I387" s="25">
        <v>471</v>
      </c>
      <c r="J387" s="26">
        <v>657.49</v>
      </c>
      <c r="K387" s="25">
        <v>93</v>
      </c>
      <c r="L387" s="21" t="s">
        <v>21</v>
      </c>
      <c r="M387" s="22" t="s">
        <v>31</v>
      </c>
      <c r="N387" s="27">
        <f t="shared" si="48"/>
        <v>8</v>
      </c>
      <c r="O387" s="28">
        <f t="shared" si="49"/>
        <v>4.0985033066481033E-2</v>
      </c>
      <c r="P387" s="28">
        <f t="shared" si="50"/>
        <v>0.19745222929936307</v>
      </c>
      <c r="Q387" s="26">
        <f t="shared" si="51"/>
        <v>1.3959447983014863</v>
      </c>
      <c r="R387" s="29">
        <f t="shared" si="52"/>
        <v>7.0697849462365596</v>
      </c>
      <c r="S387" s="30">
        <f t="shared" si="53"/>
        <v>3</v>
      </c>
      <c r="T387" s="30">
        <f t="shared" si="54"/>
        <v>2023</v>
      </c>
      <c r="U387" s="29" t="str">
        <f t="shared" si="55"/>
        <v>March</v>
      </c>
    </row>
    <row r="388" spans="1:21" ht="17.399999999999999" x14ac:dyDescent="0.3">
      <c r="A388" s="21" t="s">
        <v>1291</v>
      </c>
      <c r="B388" s="21" t="s">
        <v>1292</v>
      </c>
      <c r="C388" s="23" t="s">
        <v>3515</v>
      </c>
      <c r="D388" s="21" t="s">
        <v>3521</v>
      </c>
      <c r="E388" s="24">
        <v>44998</v>
      </c>
      <c r="F388" s="24">
        <v>45000</v>
      </c>
      <c r="G388" s="22" t="s">
        <v>11</v>
      </c>
      <c r="H388" s="25">
        <v>94396</v>
      </c>
      <c r="I388" s="25">
        <v>3016</v>
      </c>
      <c r="J388" s="26">
        <v>3773.22</v>
      </c>
      <c r="K388" s="25">
        <v>0</v>
      </c>
      <c r="L388" s="21" t="s">
        <v>17</v>
      </c>
      <c r="M388" s="22" t="s">
        <v>11</v>
      </c>
      <c r="N388" s="27">
        <f t="shared" si="48"/>
        <v>2</v>
      </c>
      <c r="O388" s="28">
        <f t="shared" si="49"/>
        <v>3.1950506377388874E-2</v>
      </c>
      <c r="P388" s="28">
        <f t="shared" si="50"/>
        <v>0</v>
      </c>
      <c r="Q388" s="26">
        <f t="shared" si="51"/>
        <v>1.2510676392572944</v>
      </c>
      <c r="R388" s="29" t="str">
        <f t="shared" si="52"/>
        <v>0</v>
      </c>
      <c r="S388" s="30">
        <f t="shared" si="53"/>
        <v>3</v>
      </c>
      <c r="T388" s="30">
        <f t="shared" si="54"/>
        <v>2023</v>
      </c>
      <c r="U388" s="29" t="str">
        <f t="shared" si="55"/>
        <v>March</v>
      </c>
    </row>
    <row r="389" spans="1:21" ht="17.399999999999999" x14ac:dyDescent="0.3">
      <c r="A389" s="21" t="s">
        <v>1783</v>
      </c>
      <c r="B389" s="21" t="s">
        <v>1784</v>
      </c>
      <c r="C389" s="23" t="s">
        <v>3515</v>
      </c>
      <c r="D389" s="21" t="s">
        <v>3521</v>
      </c>
      <c r="E389" s="24">
        <v>44998</v>
      </c>
      <c r="F389" s="24">
        <v>45007</v>
      </c>
      <c r="G389" s="22" t="s">
        <v>31</v>
      </c>
      <c r="H389" s="25">
        <v>2605</v>
      </c>
      <c r="I389" s="25">
        <v>30</v>
      </c>
      <c r="J389" s="26">
        <v>30.82</v>
      </c>
      <c r="K389" s="25">
        <v>3</v>
      </c>
      <c r="L389" s="21" t="s">
        <v>17</v>
      </c>
      <c r="M389" s="22" t="s">
        <v>31</v>
      </c>
      <c r="N389" s="27">
        <f t="shared" si="48"/>
        <v>9</v>
      </c>
      <c r="O389" s="28">
        <f t="shared" si="49"/>
        <v>1.1516314779270634E-2</v>
      </c>
      <c r="P389" s="28">
        <f t="shared" si="50"/>
        <v>0.1</v>
      </c>
      <c r="Q389" s="26">
        <f t="shared" si="51"/>
        <v>1.0273333333333334</v>
      </c>
      <c r="R389" s="29">
        <f t="shared" si="52"/>
        <v>10.273333333333333</v>
      </c>
      <c r="S389" s="30">
        <f t="shared" si="53"/>
        <v>3</v>
      </c>
      <c r="T389" s="30">
        <f t="shared" si="54"/>
        <v>2023</v>
      </c>
      <c r="U389" s="29" t="str">
        <f t="shared" si="55"/>
        <v>March</v>
      </c>
    </row>
    <row r="390" spans="1:21" ht="17.399999999999999" x14ac:dyDescent="0.3">
      <c r="A390" s="21" t="s">
        <v>482</v>
      </c>
      <c r="B390" s="22" t="s">
        <v>3646</v>
      </c>
      <c r="C390" s="23" t="s">
        <v>3518</v>
      </c>
      <c r="D390" s="22" t="s">
        <v>3545</v>
      </c>
      <c r="E390" s="24">
        <v>44999</v>
      </c>
      <c r="F390" s="24">
        <v>45001</v>
      </c>
      <c r="G390" s="22" t="s">
        <v>16</v>
      </c>
      <c r="H390" s="25">
        <v>74656</v>
      </c>
      <c r="I390" s="25">
        <v>1753</v>
      </c>
      <c r="J390" s="26">
        <v>3163.13</v>
      </c>
      <c r="K390" s="25">
        <v>345</v>
      </c>
      <c r="L390" s="21" t="s">
        <v>17</v>
      </c>
      <c r="M390" s="22" t="s">
        <v>16</v>
      </c>
      <c r="N390" s="27">
        <f t="shared" si="48"/>
        <v>2</v>
      </c>
      <c r="O390" s="28">
        <f t="shared" si="49"/>
        <v>2.3481033004714959E-2</v>
      </c>
      <c r="P390" s="28">
        <f t="shared" si="50"/>
        <v>0.19680547632629777</v>
      </c>
      <c r="Q390" s="26">
        <f t="shared" si="51"/>
        <v>1.8044095835710212</v>
      </c>
      <c r="R390" s="29">
        <f t="shared" si="52"/>
        <v>9.1684927536231893</v>
      </c>
      <c r="S390" s="30">
        <f t="shared" si="53"/>
        <v>3</v>
      </c>
      <c r="T390" s="30">
        <f t="shared" si="54"/>
        <v>2023</v>
      </c>
      <c r="U390" s="29" t="str">
        <f t="shared" si="55"/>
        <v>March</v>
      </c>
    </row>
    <row r="391" spans="1:21" ht="17.399999999999999" x14ac:dyDescent="0.3">
      <c r="A391" s="21" t="s">
        <v>897</v>
      </c>
      <c r="B391" s="21" t="s">
        <v>898</v>
      </c>
      <c r="C391" s="23" t="s">
        <v>3518</v>
      </c>
      <c r="D391" s="21" t="s">
        <v>3520</v>
      </c>
      <c r="E391" s="24">
        <v>44999</v>
      </c>
      <c r="F391" s="24">
        <v>45027</v>
      </c>
      <c r="G391" s="22" t="s">
        <v>3535</v>
      </c>
      <c r="H391" s="25">
        <v>52293</v>
      </c>
      <c r="I391" s="25">
        <v>2530</v>
      </c>
      <c r="J391" s="26">
        <v>1857.16</v>
      </c>
      <c r="K391" s="25">
        <v>263</v>
      </c>
      <c r="L391" s="21" t="s">
        <v>21</v>
      </c>
      <c r="M391" s="22" t="s">
        <v>3535</v>
      </c>
      <c r="N391" s="27">
        <f t="shared" si="48"/>
        <v>28</v>
      </c>
      <c r="O391" s="28">
        <f t="shared" si="49"/>
        <v>4.838123649436827E-2</v>
      </c>
      <c r="P391" s="28">
        <f t="shared" si="50"/>
        <v>0.10395256916996047</v>
      </c>
      <c r="Q391" s="26">
        <f t="shared" si="51"/>
        <v>0.73405533596837946</v>
      </c>
      <c r="R391" s="29">
        <f t="shared" si="52"/>
        <v>7.0614448669201524</v>
      </c>
      <c r="S391" s="30">
        <f t="shared" si="53"/>
        <v>3</v>
      </c>
      <c r="T391" s="30">
        <f t="shared" si="54"/>
        <v>2023</v>
      </c>
      <c r="U391" s="29" t="str">
        <f t="shared" si="55"/>
        <v>March</v>
      </c>
    </row>
    <row r="392" spans="1:21" ht="17.399999999999999" x14ac:dyDescent="0.3">
      <c r="A392" s="21" t="s">
        <v>1655</v>
      </c>
      <c r="B392" s="22" t="s">
        <v>3647</v>
      </c>
      <c r="C392" s="23" t="s">
        <v>3518</v>
      </c>
      <c r="D392" s="22" t="s">
        <v>3545</v>
      </c>
      <c r="E392" s="24">
        <v>44999</v>
      </c>
      <c r="F392" s="24">
        <v>45009</v>
      </c>
      <c r="G392" s="22" t="s">
        <v>24</v>
      </c>
      <c r="H392" s="25">
        <v>20262</v>
      </c>
      <c r="I392" s="25">
        <v>269</v>
      </c>
      <c r="J392" s="26">
        <v>180.56</v>
      </c>
      <c r="K392" s="25">
        <v>40</v>
      </c>
      <c r="L392" s="21" t="s">
        <v>17</v>
      </c>
      <c r="M392" s="22" t="s">
        <v>3536</v>
      </c>
      <c r="N392" s="27">
        <f t="shared" si="48"/>
        <v>10</v>
      </c>
      <c r="O392" s="28">
        <f t="shared" si="49"/>
        <v>1.3276083308656598E-2</v>
      </c>
      <c r="P392" s="28">
        <f t="shared" si="50"/>
        <v>0.14869888475836432</v>
      </c>
      <c r="Q392" s="26">
        <f t="shared" si="51"/>
        <v>0.67122676579925655</v>
      </c>
      <c r="R392" s="29">
        <f t="shared" si="52"/>
        <v>4.5140000000000002</v>
      </c>
      <c r="S392" s="30">
        <f t="shared" si="53"/>
        <v>3</v>
      </c>
      <c r="T392" s="30">
        <f t="shared" si="54"/>
        <v>2023</v>
      </c>
      <c r="U392" s="29" t="str">
        <f t="shared" si="55"/>
        <v>March</v>
      </c>
    </row>
    <row r="393" spans="1:21" ht="17.399999999999999" x14ac:dyDescent="0.3">
      <c r="A393" s="21" t="s">
        <v>787</v>
      </c>
      <c r="B393" s="22" t="s">
        <v>3648</v>
      </c>
      <c r="C393" s="23" t="s">
        <v>3516</v>
      </c>
      <c r="D393" s="22" t="s">
        <v>3545</v>
      </c>
      <c r="E393" s="24">
        <v>44999</v>
      </c>
      <c r="F393" s="24">
        <v>45024</v>
      </c>
      <c r="G393" s="22" t="s">
        <v>11</v>
      </c>
      <c r="H393" s="25">
        <v>49747</v>
      </c>
      <c r="I393" s="25">
        <v>2218</v>
      </c>
      <c r="J393" s="26">
        <v>4269.32</v>
      </c>
      <c r="K393" s="25">
        <v>190</v>
      </c>
      <c r="L393" s="21" t="s">
        <v>21</v>
      </c>
      <c r="M393" s="22" t="s">
        <v>11</v>
      </c>
      <c r="N393" s="27">
        <f t="shared" si="48"/>
        <v>25</v>
      </c>
      <c r="O393" s="28">
        <f t="shared" si="49"/>
        <v>4.4585603151948865E-2</v>
      </c>
      <c r="P393" s="28">
        <f t="shared" si="50"/>
        <v>8.5662759242560865E-2</v>
      </c>
      <c r="Q393" s="26">
        <f t="shared" si="51"/>
        <v>1.9248512173128944</v>
      </c>
      <c r="R393" s="29">
        <f t="shared" si="52"/>
        <v>22.470105263157894</v>
      </c>
      <c r="S393" s="30">
        <f t="shared" si="53"/>
        <v>3</v>
      </c>
      <c r="T393" s="30">
        <f t="shared" si="54"/>
        <v>2023</v>
      </c>
      <c r="U393" s="29" t="str">
        <f t="shared" si="55"/>
        <v>March</v>
      </c>
    </row>
    <row r="394" spans="1:21" ht="17.399999999999999" x14ac:dyDescent="0.3">
      <c r="A394" s="21" t="s">
        <v>1613</v>
      </c>
      <c r="B394" s="21" t="s">
        <v>1614</v>
      </c>
      <c r="C394" s="23" t="s">
        <v>3515</v>
      </c>
      <c r="D394" s="21" t="s">
        <v>3517</v>
      </c>
      <c r="E394" s="24">
        <v>44999</v>
      </c>
      <c r="F394" s="24">
        <v>45014</v>
      </c>
      <c r="G394" s="22" t="s">
        <v>16</v>
      </c>
      <c r="H394" s="25">
        <v>29732</v>
      </c>
      <c r="I394" s="25">
        <v>1340</v>
      </c>
      <c r="J394" s="26">
        <v>1734.73</v>
      </c>
      <c r="K394" s="25">
        <v>144</v>
      </c>
      <c r="L394" s="21" t="s">
        <v>17</v>
      </c>
      <c r="M394" s="22" t="s">
        <v>16</v>
      </c>
      <c r="N394" s="27">
        <f t="shared" si="48"/>
        <v>15</v>
      </c>
      <c r="O394" s="28">
        <f t="shared" si="49"/>
        <v>4.5069285618189153E-2</v>
      </c>
      <c r="P394" s="28">
        <f t="shared" si="50"/>
        <v>0.10746268656716418</v>
      </c>
      <c r="Q394" s="26">
        <f t="shared" si="51"/>
        <v>1.2945746268656717</v>
      </c>
      <c r="R394" s="29">
        <f t="shared" si="52"/>
        <v>12.046736111111111</v>
      </c>
      <c r="S394" s="30">
        <f t="shared" si="53"/>
        <v>3</v>
      </c>
      <c r="T394" s="30">
        <f t="shared" si="54"/>
        <v>2023</v>
      </c>
      <c r="U394" s="29" t="str">
        <f t="shared" si="55"/>
        <v>March</v>
      </c>
    </row>
    <row r="395" spans="1:21" ht="17.399999999999999" x14ac:dyDescent="0.3">
      <c r="A395" s="21" t="s">
        <v>1892</v>
      </c>
      <c r="B395" s="21" t="s">
        <v>1893</v>
      </c>
      <c r="C395" s="23" t="s">
        <v>3515</v>
      </c>
      <c r="D395" s="21" t="s">
        <v>3520</v>
      </c>
      <c r="E395" s="24">
        <v>44999</v>
      </c>
      <c r="F395" s="24">
        <v>45004</v>
      </c>
      <c r="G395" s="22" t="s">
        <v>24</v>
      </c>
      <c r="H395" s="25">
        <v>20216</v>
      </c>
      <c r="I395" s="25">
        <v>724</v>
      </c>
      <c r="J395" s="26">
        <v>852</v>
      </c>
      <c r="K395" s="25">
        <v>105</v>
      </c>
      <c r="L395" s="21" t="s">
        <v>17</v>
      </c>
      <c r="M395" s="22" t="s">
        <v>3536</v>
      </c>
      <c r="N395" s="27">
        <f t="shared" si="48"/>
        <v>5</v>
      </c>
      <c r="O395" s="28">
        <f t="shared" si="49"/>
        <v>3.5813217253660469E-2</v>
      </c>
      <c r="P395" s="28">
        <f t="shared" si="50"/>
        <v>0.14502762430939226</v>
      </c>
      <c r="Q395" s="26">
        <f t="shared" si="51"/>
        <v>1.1767955801104972</v>
      </c>
      <c r="R395" s="29">
        <f t="shared" si="52"/>
        <v>8.1142857142857139</v>
      </c>
      <c r="S395" s="30">
        <f t="shared" si="53"/>
        <v>3</v>
      </c>
      <c r="T395" s="30">
        <f t="shared" si="54"/>
        <v>2023</v>
      </c>
      <c r="U395" s="29" t="str">
        <f t="shared" si="55"/>
        <v>March</v>
      </c>
    </row>
    <row r="396" spans="1:21" ht="17.399999999999999" x14ac:dyDescent="0.3">
      <c r="A396" s="21" t="s">
        <v>3278</v>
      </c>
      <c r="B396" s="22" t="s">
        <v>3649</v>
      </c>
      <c r="C396" s="23" t="s">
        <v>3515</v>
      </c>
      <c r="D396" s="22" t="s">
        <v>3545</v>
      </c>
      <c r="E396" s="24">
        <v>44999</v>
      </c>
      <c r="F396" s="24">
        <v>45020</v>
      </c>
      <c r="G396" s="22" t="s">
        <v>16</v>
      </c>
      <c r="H396" s="25">
        <v>86553</v>
      </c>
      <c r="I396" s="25">
        <v>1134</v>
      </c>
      <c r="J396" s="26">
        <v>913.13</v>
      </c>
      <c r="K396" s="25">
        <v>0</v>
      </c>
      <c r="L396" s="21" t="s">
        <v>21</v>
      </c>
      <c r="M396" s="22" t="s">
        <v>16</v>
      </c>
      <c r="N396" s="27">
        <f t="shared" si="48"/>
        <v>21</v>
      </c>
      <c r="O396" s="28">
        <f t="shared" si="49"/>
        <v>1.3101798897785172E-2</v>
      </c>
      <c r="P396" s="28">
        <f t="shared" si="50"/>
        <v>0</v>
      </c>
      <c r="Q396" s="26">
        <f t="shared" si="51"/>
        <v>0.80522927689594359</v>
      </c>
      <c r="R396" s="29" t="str">
        <f t="shared" si="52"/>
        <v>0</v>
      </c>
      <c r="S396" s="30">
        <f t="shared" si="53"/>
        <v>3</v>
      </c>
      <c r="T396" s="30">
        <f t="shared" si="54"/>
        <v>2023</v>
      </c>
      <c r="U396" s="29" t="str">
        <f t="shared" si="55"/>
        <v>March</v>
      </c>
    </row>
    <row r="397" spans="1:21" ht="17.399999999999999" x14ac:dyDescent="0.3">
      <c r="A397" s="21" t="s">
        <v>1630</v>
      </c>
      <c r="B397" s="21" t="s">
        <v>1631</v>
      </c>
      <c r="C397" s="23" t="s">
        <v>3519</v>
      </c>
      <c r="D397" s="21" t="s">
        <v>3520</v>
      </c>
      <c r="E397" s="24">
        <v>44999</v>
      </c>
      <c r="F397" s="24">
        <v>45263</v>
      </c>
      <c r="G397" s="22" t="s">
        <v>24</v>
      </c>
      <c r="H397" s="25">
        <v>17907</v>
      </c>
      <c r="I397" s="25">
        <v>744</v>
      </c>
      <c r="J397" s="26">
        <v>714.88</v>
      </c>
      <c r="K397" s="25">
        <v>93</v>
      </c>
      <c r="L397" s="21" t="s">
        <v>21</v>
      </c>
      <c r="M397" s="22" t="s">
        <v>3536</v>
      </c>
      <c r="N397" s="27">
        <f t="shared" si="48"/>
        <v>264</v>
      </c>
      <c r="O397" s="28">
        <f t="shared" si="49"/>
        <v>4.1547997989612999E-2</v>
      </c>
      <c r="P397" s="28">
        <f t="shared" si="50"/>
        <v>0.125</v>
      </c>
      <c r="Q397" s="26">
        <f t="shared" si="51"/>
        <v>0.9608602150537634</v>
      </c>
      <c r="R397" s="29">
        <f t="shared" si="52"/>
        <v>7.6868817204301072</v>
      </c>
      <c r="S397" s="30">
        <f t="shared" si="53"/>
        <v>3</v>
      </c>
      <c r="T397" s="30">
        <f t="shared" si="54"/>
        <v>2023</v>
      </c>
      <c r="U397" s="29" t="str">
        <f t="shared" si="55"/>
        <v>March</v>
      </c>
    </row>
    <row r="398" spans="1:21" ht="17.399999999999999" x14ac:dyDescent="0.3">
      <c r="A398" s="21" t="s">
        <v>1174</v>
      </c>
      <c r="B398" s="21" t="s">
        <v>1175</v>
      </c>
      <c r="C398" s="23" t="s">
        <v>3519</v>
      </c>
      <c r="D398" s="21" t="s">
        <v>3520</v>
      </c>
      <c r="E398" s="24">
        <v>45000</v>
      </c>
      <c r="F398" s="24">
        <v>45013</v>
      </c>
      <c r="G398" s="22" t="s">
        <v>31</v>
      </c>
      <c r="H398" s="25">
        <v>78052</v>
      </c>
      <c r="I398" s="25">
        <v>3707</v>
      </c>
      <c r="J398" s="26">
        <v>3619.26</v>
      </c>
      <c r="K398" s="25">
        <v>483</v>
      </c>
      <c r="L398" s="21" t="s">
        <v>21</v>
      </c>
      <c r="M398" s="22" t="s">
        <v>31</v>
      </c>
      <c r="N398" s="27">
        <f t="shared" si="48"/>
        <v>13</v>
      </c>
      <c r="O398" s="28">
        <f t="shared" si="49"/>
        <v>4.7493978373392094E-2</v>
      </c>
      <c r="P398" s="28">
        <f t="shared" si="50"/>
        <v>0.13029403830590774</v>
      </c>
      <c r="Q398" s="26">
        <f t="shared" si="51"/>
        <v>0.97633126517399516</v>
      </c>
      <c r="R398" s="29">
        <f t="shared" si="52"/>
        <v>7.4932919254658392</v>
      </c>
      <c r="S398" s="30">
        <f t="shared" si="53"/>
        <v>3</v>
      </c>
      <c r="T398" s="30">
        <f t="shared" si="54"/>
        <v>2023</v>
      </c>
      <c r="U398" s="29" t="str">
        <f t="shared" si="55"/>
        <v>March</v>
      </c>
    </row>
    <row r="399" spans="1:21" ht="17.399999999999999" x14ac:dyDescent="0.3">
      <c r="A399" s="21" t="s">
        <v>574</v>
      </c>
      <c r="B399" s="21" t="s">
        <v>575</v>
      </c>
      <c r="C399" s="23" t="s">
        <v>3515</v>
      </c>
      <c r="D399" s="21" t="s">
        <v>3521</v>
      </c>
      <c r="E399" s="24">
        <v>45000</v>
      </c>
      <c r="F399" s="24">
        <v>45007</v>
      </c>
      <c r="G399" s="22" t="s">
        <v>31</v>
      </c>
      <c r="H399" s="25">
        <v>92412</v>
      </c>
      <c r="I399" s="25">
        <v>4120</v>
      </c>
      <c r="J399" s="26">
        <v>5862.27</v>
      </c>
      <c r="K399" s="25">
        <v>803</v>
      </c>
      <c r="L399" s="21" t="s">
        <v>21</v>
      </c>
      <c r="M399" s="22" t="s">
        <v>31</v>
      </c>
      <c r="N399" s="27">
        <f t="shared" si="48"/>
        <v>7</v>
      </c>
      <c r="O399" s="28">
        <f t="shared" si="49"/>
        <v>4.4582954594641386E-2</v>
      </c>
      <c r="P399" s="28">
        <f t="shared" si="50"/>
        <v>0.19490291262135923</v>
      </c>
      <c r="Q399" s="26">
        <f t="shared" si="51"/>
        <v>1.4228810679611652</v>
      </c>
      <c r="R399" s="29">
        <f t="shared" si="52"/>
        <v>7.300460772104608</v>
      </c>
      <c r="S399" s="30">
        <f t="shared" si="53"/>
        <v>3</v>
      </c>
      <c r="T399" s="30">
        <f t="shared" si="54"/>
        <v>2023</v>
      </c>
      <c r="U399" s="29" t="str">
        <f t="shared" si="55"/>
        <v>March</v>
      </c>
    </row>
    <row r="400" spans="1:21" ht="17.399999999999999" x14ac:dyDescent="0.3">
      <c r="A400" s="21" t="s">
        <v>785</v>
      </c>
      <c r="B400" s="21" t="s">
        <v>786</v>
      </c>
      <c r="C400" s="23" t="s">
        <v>3515</v>
      </c>
      <c r="D400" s="21" t="s">
        <v>3517</v>
      </c>
      <c r="E400" s="24">
        <v>45000</v>
      </c>
      <c r="F400" s="24">
        <v>45007</v>
      </c>
      <c r="G400" s="22" t="s">
        <v>14</v>
      </c>
      <c r="H400" s="25">
        <v>4051</v>
      </c>
      <c r="I400" s="25">
        <v>61</v>
      </c>
      <c r="J400" s="26">
        <v>92.92</v>
      </c>
      <c r="K400" s="25">
        <v>11</v>
      </c>
      <c r="L400" s="21" t="s">
        <v>21</v>
      </c>
      <c r="M400" s="22" t="s">
        <v>3537</v>
      </c>
      <c r="N400" s="27">
        <f t="shared" si="48"/>
        <v>7</v>
      </c>
      <c r="O400" s="28">
        <f t="shared" si="49"/>
        <v>1.5058010367810418E-2</v>
      </c>
      <c r="P400" s="28">
        <f t="shared" si="50"/>
        <v>0.18032786885245902</v>
      </c>
      <c r="Q400" s="26">
        <f t="shared" si="51"/>
        <v>1.5232786885245901</v>
      </c>
      <c r="R400" s="29">
        <f t="shared" si="52"/>
        <v>8.4472727272727273</v>
      </c>
      <c r="S400" s="30">
        <f t="shared" si="53"/>
        <v>3</v>
      </c>
      <c r="T400" s="30">
        <f t="shared" si="54"/>
        <v>2023</v>
      </c>
      <c r="U400" s="29" t="str">
        <f t="shared" si="55"/>
        <v>March</v>
      </c>
    </row>
    <row r="401" spans="1:21" ht="17.399999999999999" x14ac:dyDescent="0.3">
      <c r="A401" s="21" t="s">
        <v>2858</v>
      </c>
      <c r="B401" s="21" t="s">
        <v>2859</v>
      </c>
      <c r="C401" s="23" t="s">
        <v>3519</v>
      </c>
      <c r="D401" s="21" t="s">
        <v>3517</v>
      </c>
      <c r="E401" s="24">
        <v>45001</v>
      </c>
      <c r="F401" s="24">
        <v>45019</v>
      </c>
      <c r="G401" s="22" t="s">
        <v>14</v>
      </c>
      <c r="H401" s="25">
        <v>44001</v>
      </c>
      <c r="I401" s="25">
        <v>1229</v>
      </c>
      <c r="J401" s="26">
        <v>1987.59</v>
      </c>
      <c r="K401" s="25">
        <v>207</v>
      </c>
      <c r="L401" s="21" t="s">
        <v>17</v>
      </c>
      <c r="M401" s="22" t="s">
        <v>3537</v>
      </c>
      <c r="N401" s="27">
        <f t="shared" si="48"/>
        <v>18</v>
      </c>
      <c r="O401" s="28">
        <f t="shared" si="49"/>
        <v>2.793118338219586E-2</v>
      </c>
      <c r="P401" s="28">
        <f t="shared" si="50"/>
        <v>0.16842961757526445</v>
      </c>
      <c r="Q401" s="26">
        <f t="shared" si="51"/>
        <v>1.6172416598860861</v>
      </c>
      <c r="R401" s="29">
        <f t="shared" si="52"/>
        <v>9.6018840579710147</v>
      </c>
      <c r="S401" s="30">
        <f t="shared" si="53"/>
        <v>3</v>
      </c>
      <c r="T401" s="30">
        <f t="shared" si="54"/>
        <v>2023</v>
      </c>
      <c r="U401" s="29" t="str">
        <f t="shared" si="55"/>
        <v>March</v>
      </c>
    </row>
    <row r="402" spans="1:21" ht="17.399999999999999" x14ac:dyDescent="0.3">
      <c r="A402" s="21" t="s">
        <v>2977</v>
      </c>
      <c r="B402" s="21" t="s">
        <v>2978</v>
      </c>
      <c r="C402" s="23" t="s">
        <v>3519</v>
      </c>
      <c r="D402" s="21" t="s">
        <v>3520</v>
      </c>
      <c r="E402" s="24">
        <v>45001</v>
      </c>
      <c r="F402" s="24">
        <v>45019</v>
      </c>
      <c r="G402" s="22" t="s">
        <v>16</v>
      </c>
      <c r="H402" s="25">
        <v>59762</v>
      </c>
      <c r="I402" s="25">
        <v>1448</v>
      </c>
      <c r="J402" s="26">
        <v>2740.91</v>
      </c>
      <c r="K402" s="25">
        <v>0</v>
      </c>
      <c r="L402" s="21" t="s">
        <v>21</v>
      </c>
      <c r="M402" s="22" t="s">
        <v>16</v>
      </c>
      <c r="N402" s="27">
        <f t="shared" si="48"/>
        <v>18</v>
      </c>
      <c r="O402" s="28">
        <f t="shared" si="49"/>
        <v>2.4229443459054249E-2</v>
      </c>
      <c r="P402" s="28">
        <f t="shared" si="50"/>
        <v>0</v>
      </c>
      <c r="Q402" s="26">
        <f t="shared" si="51"/>
        <v>1.8928936464088397</v>
      </c>
      <c r="R402" s="29" t="str">
        <f t="shared" si="52"/>
        <v>0</v>
      </c>
      <c r="S402" s="30">
        <f t="shared" si="53"/>
        <v>3</v>
      </c>
      <c r="T402" s="30">
        <f t="shared" si="54"/>
        <v>2023</v>
      </c>
      <c r="U402" s="29" t="str">
        <f t="shared" si="55"/>
        <v>March</v>
      </c>
    </row>
    <row r="403" spans="1:21" ht="17.399999999999999" x14ac:dyDescent="0.3">
      <c r="A403" s="21" t="s">
        <v>846</v>
      </c>
      <c r="B403" s="21" t="s">
        <v>847</v>
      </c>
      <c r="C403" s="23" t="s">
        <v>3518</v>
      </c>
      <c r="D403" s="21" t="s">
        <v>3517</v>
      </c>
      <c r="E403" s="24">
        <v>45001</v>
      </c>
      <c r="F403" s="24">
        <v>45029</v>
      </c>
      <c r="G403" s="22" t="s">
        <v>24</v>
      </c>
      <c r="H403" s="25">
        <v>95841</v>
      </c>
      <c r="I403" s="25">
        <v>3484</v>
      </c>
      <c r="J403" s="26">
        <v>2907.72</v>
      </c>
      <c r="K403" s="25">
        <v>690</v>
      </c>
      <c r="L403" s="21" t="s">
        <v>21</v>
      </c>
      <c r="M403" s="22" t="s">
        <v>3536</v>
      </c>
      <c r="N403" s="27">
        <f t="shared" si="48"/>
        <v>28</v>
      </c>
      <c r="O403" s="28">
        <f t="shared" si="49"/>
        <v>3.6351874458738956E-2</v>
      </c>
      <c r="P403" s="28">
        <f t="shared" si="50"/>
        <v>0.19804822043628015</v>
      </c>
      <c r="Q403" s="26">
        <f t="shared" si="51"/>
        <v>0.83459242250287025</v>
      </c>
      <c r="R403" s="29">
        <f t="shared" si="52"/>
        <v>4.2140869565217391</v>
      </c>
      <c r="S403" s="30">
        <f t="shared" si="53"/>
        <v>3</v>
      </c>
      <c r="T403" s="30">
        <f t="shared" si="54"/>
        <v>2023</v>
      </c>
      <c r="U403" s="29" t="str">
        <f t="shared" si="55"/>
        <v>March</v>
      </c>
    </row>
    <row r="404" spans="1:21" ht="17.399999999999999" x14ac:dyDescent="0.3">
      <c r="A404" s="21" t="s">
        <v>960</v>
      </c>
      <c r="B404" s="21" t="s">
        <v>961</v>
      </c>
      <c r="C404" s="23" t="s">
        <v>3518</v>
      </c>
      <c r="D404" s="21" t="s">
        <v>3517</v>
      </c>
      <c r="E404" s="24">
        <v>45001</v>
      </c>
      <c r="F404" s="24">
        <v>45006</v>
      </c>
      <c r="G404" s="22" t="s">
        <v>11</v>
      </c>
      <c r="H404" s="25">
        <v>61890</v>
      </c>
      <c r="I404" s="25">
        <v>1065</v>
      </c>
      <c r="J404" s="26">
        <v>1043.1400000000001</v>
      </c>
      <c r="K404" s="25">
        <v>137</v>
      </c>
      <c r="L404" s="21" t="s">
        <v>17</v>
      </c>
      <c r="M404" s="22" t="s">
        <v>11</v>
      </c>
      <c r="N404" s="27">
        <f t="shared" si="48"/>
        <v>5</v>
      </c>
      <c r="O404" s="28">
        <f t="shared" si="49"/>
        <v>1.7207949587978673E-2</v>
      </c>
      <c r="P404" s="28">
        <f t="shared" si="50"/>
        <v>0.12863849765258217</v>
      </c>
      <c r="Q404" s="26">
        <f t="shared" si="51"/>
        <v>0.97947417840375595</v>
      </c>
      <c r="R404" s="29">
        <f t="shared" si="52"/>
        <v>7.6141605839416062</v>
      </c>
      <c r="S404" s="30">
        <f t="shared" si="53"/>
        <v>3</v>
      </c>
      <c r="T404" s="30">
        <f t="shared" si="54"/>
        <v>2023</v>
      </c>
      <c r="U404" s="29" t="str">
        <f t="shared" si="55"/>
        <v>March</v>
      </c>
    </row>
    <row r="405" spans="1:21" ht="17.399999999999999" x14ac:dyDescent="0.3">
      <c r="A405" s="21" t="s">
        <v>2456</v>
      </c>
      <c r="B405" s="22" t="s">
        <v>3650</v>
      </c>
      <c r="C405" s="23" t="s">
        <v>3516</v>
      </c>
      <c r="D405" s="22" t="s">
        <v>3545</v>
      </c>
      <c r="E405" s="24">
        <v>45001</v>
      </c>
      <c r="F405" s="24">
        <v>45002</v>
      </c>
      <c r="G405" s="22" t="s">
        <v>3535</v>
      </c>
      <c r="H405" s="25">
        <v>56961</v>
      </c>
      <c r="I405" s="25">
        <v>2108</v>
      </c>
      <c r="J405" s="26">
        <v>1874.87</v>
      </c>
      <c r="K405" s="25">
        <v>253</v>
      </c>
      <c r="L405" s="21" t="s">
        <v>17</v>
      </c>
      <c r="M405" s="22" t="s">
        <v>3535</v>
      </c>
      <c r="N405" s="27">
        <f t="shared" si="48"/>
        <v>1</v>
      </c>
      <c r="O405" s="28">
        <f t="shared" si="49"/>
        <v>3.7007777251101631E-2</v>
      </c>
      <c r="P405" s="28">
        <f t="shared" si="50"/>
        <v>0.12001897533206832</v>
      </c>
      <c r="Q405" s="26">
        <f t="shared" si="51"/>
        <v>0.88940702087286527</v>
      </c>
      <c r="R405" s="29">
        <f t="shared" si="52"/>
        <v>7.410553359683794</v>
      </c>
      <c r="S405" s="30">
        <f t="shared" si="53"/>
        <v>3</v>
      </c>
      <c r="T405" s="30">
        <f t="shared" si="54"/>
        <v>2023</v>
      </c>
      <c r="U405" s="29" t="str">
        <f t="shared" si="55"/>
        <v>March</v>
      </c>
    </row>
    <row r="406" spans="1:21" ht="17.399999999999999" x14ac:dyDescent="0.3">
      <c r="A406" s="21" t="s">
        <v>2461</v>
      </c>
      <c r="B406" s="21" t="s">
        <v>2462</v>
      </c>
      <c r="C406" s="23" t="s">
        <v>3516</v>
      </c>
      <c r="D406" s="21" t="s">
        <v>3517</v>
      </c>
      <c r="E406" s="24">
        <v>45001</v>
      </c>
      <c r="F406" s="24">
        <v>45012</v>
      </c>
      <c r="G406" s="22" t="s">
        <v>24</v>
      </c>
      <c r="H406" s="25">
        <v>82994</v>
      </c>
      <c r="I406" s="25">
        <v>2842</v>
      </c>
      <c r="J406" s="26">
        <v>3854.16</v>
      </c>
      <c r="K406" s="25">
        <v>521</v>
      </c>
      <c r="L406" s="21" t="s">
        <v>21</v>
      </c>
      <c r="M406" s="22" t="s">
        <v>3536</v>
      </c>
      <c r="N406" s="27">
        <f t="shared" si="48"/>
        <v>11</v>
      </c>
      <c r="O406" s="28">
        <f t="shared" si="49"/>
        <v>3.4243439284767571E-2</v>
      </c>
      <c r="P406" s="28">
        <f t="shared" si="50"/>
        <v>0.1833216045038705</v>
      </c>
      <c r="Q406" s="26">
        <f t="shared" si="51"/>
        <v>1.3561435608726249</v>
      </c>
      <c r="R406" s="29">
        <f t="shared" si="52"/>
        <v>7.3976199616122837</v>
      </c>
      <c r="S406" s="30">
        <f t="shared" si="53"/>
        <v>3</v>
      </c>
      <c r="T406" s="30">
        <f t="shared" si="54"/>
        <v>2023</v>
      </c>
      <c r="U406" s="29" t="str">
        <f t="shared" si="55"/>
        <v>March</v>
      </c>
    </row>
    <row r="407" spans="1:21" ht="17.399999999999999" x14ac:dyDescent="0.3">
      <c r="A407" s="21" t="s">
        <v>3236</v>
      </c>
      <c r="B407" s="22" t="s">
        <v>3651</v>
      </c>
      <c r="C407" s="23" t="s">
        <v>3516</v>
      </c>
      <c r="D407" s="22" t="s">
        <v>3545</v>
      </c>
      <c r="E407" s="24">
        <v>45001</v>
      </c>
      <c r="F407" s="24">
        <v>45020</v>
      </c>
      <c r="G407" s="22" t="s">
        <v>11</v>
      </c>
      <c r="H407" s="25">
        <v>29602</v>
      </c>
      <c r="I407" s="25">
        <v>1390</v>
      </c>
      <c r="J407" s="26">
        <v>2380.87</v>
      </c>
      <c r="K407" s="25">
        <v>141</v>
      </c>
      <c r="L407" s="21" t="s">
        <v>17</v>
      </c>
      <c r="M407" s="22" t="s">
        <v>11</v>
      </c>
      <c r="N407" s="27">
        <f t="shared" si="48"/>
        <v>19</v>
      </c>
      <c r="O407" s="28">
        <f t="shared" si="49"/>
        <v>4.6956286737382606E-2</v>
      </c>
      <c r="P407" s="28">
        <f t="shared" si="50"/>
        <v>0.10143884892086331</v>
      </c>
      <c r="Q407" s="26">
        <f t="shared" si="51"/>
        <v>1.7128561151079136</v>
      </c>
      <c r="R407" s="29">
        <f t="shared" si="52"/>
        <v>16.885602836879432</v>
      </c>
      <c r="S407" s="30">
        <f t="shared" si="53"/>
        <v>3</v>
      </c>
      <c r="T407" s="30">
        <f t="shared" si="54"/>
        <v>2023</v>
      </c>
      <c r="U407" s="29" t="str">
        <f t="shared" si="55"/>
        <v>March</v>
      </c>
    </row>
    <row r="408" spans="1:21" ht="17.399999999999999" x14ac:dyDescent="0.3">
      <c r="A408" s="21" t="s">
        <v>711</v>
      </c>
      <c r="B408" s="22" t="s">
        <v>3652</v>
      </c>
      <c r="C408" s="23" t="s">
        <v>3515</v>
      </c>
      <c r="D408" s="22" t="s">
        <v>3545</v>
      </c>
      <c r="E408" s="24">
        <v>45001</v>
      </c>
      <c r="F408" s="24">
        <v>45025</v>
      </c>
      <c r="G408" s="22" t="s">
        <v>31</v>
      </c>
      <c r="H408" s="25">
        <v>28751</v>
      </c>
      <c r="I408" s="25">
        <v>373</v>
      </c>
      <c r="J408" s="26">
        <v>741.35</v>
      </c>
      <c r="K408" s="25">
        <v>47</v>
      </c>
      <c r="L408" s="21" t="s">
        <v>21</v>
      </c>
      <c r="M408" s="22" t="s">
        <v>31</v>
      </c>
      <c r="N408" s="27">
        <f t="shared" si="48"/>
        <v>24</v>
      </c>
      <c r="O408" s="28">
        <f t="shared" si="49"/>
        <v>1.29734617926333E-2</v>
      </c>
      <c r="P408" s="28">
        <f t="shared" si="50"/>
        <v>0.12600536193029491</v>
      </c>
      <c r="Q408" s="26">
        <f t="shared" si="51"/>
        <v>1.9875335120643431</v>
      </c>
      <c r="R408" s="29">
        <f t="shared" si="52"/>
        <v>15.77340425531915</v>
      </c>
      <c r="S408" s="30">
        <f t="shared" si="53"/>
        <v>3</v>
      </c>
      <c r="T408" s="30">
        <f t="shared" si="54"/>
        <v>2023</v>
      </c>
      <c r="U408" s="29" t="str">
        <f t="shared" si="55"/>
        <v>March</v>
      </c>
    </row>
    <row r="409" spans="1:21" ht="17.399999999999999" x14ac:dyDescent="0.3">
      <c r="A409" s="21" t="s">
        <v>3230</v>
      </c>
      <c r="B409" s="21" t="s">
        <v>3231</v>
      </c>
      <c r="C409" s="23" t="s">
        <v>3515</v>
      </c>
      <c r="D409" s="21" t="s">
        <v>3517</v>
      </c>
      <c r="E409" s="24">
        <v>45001</v>
      </c>
      <c r="F409" s="24">
        <v>45003</v>
      </c>
      <c r="G409" s="22" t="s">
        <v>3535</v>
      </c>
      <c r="H409" s="25">
        <v>54268</v>
      </c>
      <c r="I409" s="25">
        <v>2090</v>
      </c>
      <c r="J409" s="26">
        <v>2116.75</v>
      </c>
      <c r="K409" s="25">
        <v>191</v>
      </c>
      <c r="L409" s="21" t="s">
        <v>21</v>
      </c>
      <c r="M409" s="22" t="s">
        <v>3535</v>
      </c>
      <c r="N409" s="27">
        <f t="shared" si="48"/>
        <v>2</v>
      </c>
      <c r="O409" s="28">
        <f t="shared" si="49"/>
        <v>3.8512567258789709E-2</v>
      </c>
      <c r="P409" s="28">
        <f t="shared" si="50"/>
        <v>9.1387559808612434E-2</v>
      </c>
      <c r="Q409" s="26">
        <f t="shared" si="51"/>
        <v>1.0127990430622009</v>
      </c>
      <c r="R409" s="29">
        <f t="shared" si="52"/>
        <v>11.082460732984293</v>
      </c>
      <c r="S409" s="30">
        <f t="shared" si="53"/>
        <v>3</v>
      </c>
      <c r="T409" s="30">
        <f t="shared" si="54"/>
        <v>2023</v>
      </c>
      <c r="U409" s="29" t="str">
        <f t="shared" si="55"/>
        <v>March</v>
      </c>
    </row>
    <row r="410" spans="1:21" ht="17.399999999999999" x14ac:dyDescent="0.3">
      <c r="A410" s="21" t="s">
        <v>3108</v>
      </c>
      <c r="B410" s="21" t="s">
        <v>3109</v>
      </c>
      <c r="C410" s="23" t="s">
        <v>3519</v>
      </c>
      <c r="D410" s="21" t="s">
        <v>3517</v>
      </c>
      <c r="E410" s="24">
        <v>45001</v>
      </c>
      <c r="F410" s="24">
        <v>45006</v>
      </c>
      <c r="G410" s="22" t="s">
        <v>11</v>
      </c>
      <c r="H410" s="25">
        <v>64852</v>
      </c>
      <c r="I410" s="25">
        <v>1205</v>
      </c>
      <c r="J410" s="26">
        <v>2308.38</v>
      </c>
      <c r="K410" s="25">
        <v>118</v>
      </c>
      <c r="L410" s="21" t="s">
        <v>21</v>
      </c>
      <c r="M410" s="22" t="s">
        <v>11</v>
      </c>
      <c r="N410" s="27">
        <f t="shared" si="48"/>
        <v>5</v>
      </c>
      <c r="O410" s="28">
        <f t="shared" si="49"/>
        <v>1.8580768519089619E-2</v>
      </c>
      <c r="P410" s="28">
        <f t="shared" si="50"/>
        <v>9.7925311203319501E-2</v>
      </c>
      <c r="Q410" s="26">
        <f t="shared" si="51"/>
        <v>1.9156680497925311</v>
      </c>
      <c r="R410" s="29">
        <f t="shared" si="52"/>
        <v>19.562542372881357</v>
      </c>
      <c r="S410" s="30">
        <f t="shared" si="53"/>
        <v>3</v>
      </c>
      <c r="T410" s="30">
        <f t="shared" si="54"/>
        <v>2023</v>
      </c>
      <c r="U410" s="29" t="str">
        <f t="shared" si="55"/>
        <v>March</v>
      </c>
    </row>
    <row r="411" spans="1:21" ht="17.399999999999999" x14ac:dyDescent="0.3">
      <c r="A411" s="21" t="s">
        <v>734</v>
      </c>
      <c r="B411" s="22" t="s">
        <v>3653</v>
      </c>
      <c r="C411" s="23" t="s">
        <v>3519</v>
      </c>
      <c r="D411" s="22" t="s">
        <v>3545</v>
      </c>
      <c r="E411" s="24">
        <v>45002</v>
      </c>
      <c r="F411" s="24">
        <v>45013</v>
      </c>
      <c r="G411" s="22" t="s">
        <v>16</v>
      </c>
      <c r="H411" s="25">
        <v>3368</v>
      </c>
      <c r="I411" s="25">
        <v>140</v>
      </c>
      <c r="J411" s="26">
        <v>71.06</v>
      </c>
      <c r="K411" s="25">
        <v>11</v>
      </c>
      <c r="L411" s="21" t="s">
        <v>17</v>
      </c>
      <c r="M411" s="22" t="s">
        <v>16</v>
      </c>
      <c r="N411" s="27">
        <f t="shared" si="48"/>
        <v>11</v>
      </c>
      <c r="O411" s="28">
        <f t="shared" si="49"/>
        <v>4.1567695961995249E-2</v>
      </c>
      <c r="P411" s="28">
        <f t="shared" si="50"/>
        <v>7.857142857142857E-2</v>
      </c>
      <c r="Q411" s="26">
        <f t="shared" si="51"/>
        <v>0.50757142857142856</v>
      </c>
      <c r="R411" s="29">
        <f t="shared" si="52"/>
        <v>6.46</v>
      </c>
      <c r="S411" s="30">
        <f t="shared" si="53"/>
        <v>3</v>
      </c>
      <c r="T411" s="30">
        <f t="shared" si="54"/>
        <v>2023</v>
      </c>
      <c r="U411" s="29" t="str">
        <f t="shared" si="55"/>
        <v>March</v>
      </c>
    </row>
    <row r="412" spans="1:21" ht="17.399999999999999" x14ac:dyDescent="0.3">
      <c r="A412" s="21" t="s">
        <v>1997</v>
      </c>
      <c r="B412" s="21" t="s">
        <v>1998</v>
      </c>
      <c r="C412" s="23" t="s">
        <v>3515</v>
      </c>
      <c r="D412" s="21" t="s">
        <v>3517</v>
      </c>
      <c r="E412" s="24">
        <v>45002</v>
      </c>
      <c r="F412" s="24">
        <v>45017</v>
      </c>
      <c r="G412" s="22" t="s">
        <v>24</v>
      </c>
      <c r="H412" s="25">
        <v>55917</v>
      </c>
      <c r="I412" s="25">
        <v>895</v>
      </c>
      <c r="J412" s="26">
        <v>1642.51</v>
      </c>
      <c r="K412" s="25">
        <v>141</v>
      </c>
      <c r="L412" s="21" t="s">
        <v>21</v>
      </c>
      <c r="M412" s="22" t="s">
        <v>3536</v>
      </c>
      <c r="N412" s="27">
        <f t="shared" si="48"/>
        <v>15</v>
      </c>
      <c r="O412" s="28">
        <f t="shared" si="49"/>
        <v>1.6005865836865352E-2</v>
      </c>
      <c r="P412" s="28">
        <f t="shared" si="50"/>
        <v>0.15754189944134078</v>
      </c>
      <c r="Q412" s="26">
        <f t="shared" si="51"/>
        <v>1.8352067039106146</v>
      </c>
      <c r="R412" s="29">
        <f t="shared" si="52"/>
        <v>11.649007092198582</v>
      </c>
      <c r="S412" s="30">
        <f t="shared" si="53"/>
        <v>3</v>
      </c>
      <c r="T412" s="30">
        <f t="shared" si="54"/>
        <v>2023</v>
      </c>
      <c r="U412" s="29" t="str">
        <f t="shared" si="55"/>
        <v>March</v>
      </c>
    </row>
    <row r="413" spans="1:21" ht="17.399999999999999" x14ac:dyDescent="0.3">
      <c r="A413" s="21" t="s">
        <v>3324</v>
      </c>
      <c r="B413" s="22" t="s">
        <v>3654</v>
      </c>
      <c r="C413" s="23" t="s">
        <v>3515</v>
      </c>
      <c r="D413" s="22" t="s">
        <v>3545</v>
      </c>
      <c r="E413" s="24">
        <v>45002</v>
      </c>
      <c r="F413" s="24">
        <v>45016</v>
      </c>
      <c r="G413" s="22" t="s">
        <v>16</v>
      </c>
      <c r="H413" s="25">
        <v>86708</v>
      </c>
      <c r="I413" s="25">
        <v>1288</v>
      </c>
      <c r="J413" s="26">
        <v>1759.18</v>
      </c>
      <c r="K413" s="25">
        <v>0</v>
      </c>
      <c r="L413" s="21" t="s">
        <v>17</v>
      </c>
      <c r="M413" s="22" t="s">
        <v>16</v>
      </c>
      <c r="N413" s="27">
        <f t="shared" si="48"/>
        <v>14</v>
      </c>
      <c r="O413" s="28">
        <f t="shared" si="49"/>
        <v>1.4854454029616644E-2</v>
      </c>
      <c r="P413" s="28">
        <f t="shared" si="50"/>
        <v>0</v>
      </c>
      <c r="Q413" s="26">
        <f t="shared" si="51"/>
        <v>1.3658229813664597</v>
      </c>
      <c r="R413" s="29" t="str">
        <f t="shared" si="52"/>
        <v>0</v>
      </c>
      <c r="S413" s="30">
        <f t="shared" si="53"/>
        <v>3</v>
      </c>
      <c r="T413" s="30">
        <f t="shared" si="54"/>
        <v>2023</v>
      </c>
      <c r="U413" s="29" t="str">
        <f t="shared" si="55"/>
        <v>March</v>
      </c>
    </row>
    <row r="414" spans="1:21" ht="17.399999999999999" x14ac:dyDescent="0.3">
      <c r="A414" s="21" t="s">
        <v>896</v>
      </c>
      <c r="B414" s="22" t="s">
        <v>3655</v>
      </c>
      <c r="C414" s="23" t="s">
        <v>3519</v>
      </c>
      <c r="D414" s="22" t="s">
        <v>3545</v>
      </c>
      <c r="E414" s="24">
        <v>45003</v>
      </c>
      <c r="F414" s="24">
        <v>45004</v>
      </c>
      <c r="G414" s="22" t="s">
        <v>11</v>
      </c>
      <c r="H414" s="25">
        <v>79832</v>
      </c>
      <c r="I414" s="25">
        <v>1019</v>
      </c>
      <c r="J414" s="26">
        <v>1361.35</v>
      </c>
      <c r="K414" s="25">
        <v>201</v>
      </c>
      <c r="L414" s="21" t="s">
        <v>21</v>
      </c>
      <c r="M414" s="22" t="s">
        <v>11</v>
      </c>
      <c r="N414" s="27">
        <f t="shared" si="48"/>
        <v>1</v>
      </c>
      <c r="O414" s="28">
        <f t="shared" si="49"/>
        <v>1.276430504058523E-2</v>
      </c>
      <c r="P414" s="28">
        <f t="shared" si="50"/>
        <v>0.197252208047105</v>
      </c>
      <c r="Q414" s="26">
        <f t="shared" si="51"/>
        <v>1.3359666339548577</v>
      </c>
      <c r="R414" s="29">
        <f t="shared" si="52"/>
        <v>6.7728855721393026</v>
      </c>
      <c r="S414" s="30">
        <f t="shared" si="53"/>
        <v>3</v>
      </c>
      <c r="T414" s="30">
        <f t="shared" si="54"/>
        <v>2023</v>
      </c>
      <c r="U414" s="29" t="str">
        <f t="shared" si="55"/>
        <v>March</v>
      </c>
    </row>
    <row r="415" spans="1:21" ht="17.399999999999999" x14ac:dyDescent="0.3">
      <c r="A415" s="21" t="s">
        <v>2320</v>
      </c>
      <c r="B415" s="21" t="s">
        <v>2321</v>
      </c>
      <c r="C415" s="23" t="s">
        <v>3518</v>
      </c>
      <c r="D415" s="21" t="s">
        <v>3521</v>
      </c>
      <c r="E415" s="24">
        <v>45003</v>
      </c>
      <c r="F415" s="24">
        <v>45006</v>
      </c>
      <c r="G415" s="22" t="s">
        <v>3535</v>
      </c>
      <c r="H415" s="25">
        <v>86382</v>
      </c>
      <c r="I415" s="25">
        <v>4125</v>
      </c>
      <c r="J415" s="26">
        <v>7453.37</v>
      </c>
      <c r="K415" s="25">
        <v>625</v>
      </c>
      <c r="L415" s="21" t="s">
        <v>17</v>
      </c>
      <c r="M415" s="22" t="s">
        <v>3535</v>
      </c>
      <c r="N415" s="27">
        <f t="shared" si="48"/>
        <v>3</v>
      </c>
      <c r="O415" s="28">
        <f t="shared" si="49"/>
        <v>4.7753004098075987E-2</v>
      </c>
      <c r="P415" s="28">
        <f t="shared" si="50"/>
        <v>0.15151515151515152</v>
      </c>
      <c r="Q415" s="26">
        <f t="shared" si="51"/>
        <v>1.8068775757575757</v>
      </c>
      <c r="R415" s="29">
        <f t="shared" si="52"/>
        <v>11.925392</v>
      </c>
      <c r="S415" s="30">
        <f t="shared" si="53"/>
        <v>3</v>
      </c>
      <c r="T415" s="30">
        <f t="shared" si="54"/>
        <v>2023</v>
      </c>
      <c r="U415" s="29" t="str">
        <f t="shared" si="55"/>
        <v>March</v>
      </c>
    </row>
    <row r="416" spans="1:21" ht="17.399999999999999" x14ac:dyDescent="0.3">
      <c r="A416" s="21" t="s">
        <v>3402</v>
      </c>
      <c r="B416" s="21" t="s">
        <v>3403</v>
      </c>
      <c r="C416" s="23" t="s">
        <v>3518</v>
      </c>
      <c r="D416" s="21" t="s">
        <v>3517</v>
      </c>
      <c r="E416" s="24">
        <v>45003</v>
      </c>
      <c r="F416" s="24">
        <v>45027</v>
      </c>
      <c r="G416" s="22" t="s">
        <v>11</v>
      </c>
      <c r="H416" s="25">
        <v>51069</v>
      </c>
      <c r="I416" s="25">
        <v>963</v>
      </c>
      <c r="J416" s="26">
        <v>1421.63</v>
      </c>
      <c r="K416" s="25">
        <v>112</v>
      </c>
      <c r="L416" s="21" t="s">
        <v>21</v>
      </c>
      <c r="M416" s="22" t="s">
        <v>11</v>
      </c>
      <c r="N416" s="27">
        <f t="shared" si="48"/>
        <v>24</v>
      </c>
      <c r="O416" s="28">
        <f t="shared" si="49"/>
        <v>1.8856840744874582E-2</v>
      </c>
      <c r="P416" s="28">
        <f t="shared" si="50"/>
        <v>0.11630321910695743</v>
      </c>
      <c r="Q416" s="26">
        <f t="shared" si="51"/>
        <v>1.4762512980269991</v>
      </c>
      <c r="R416" s="29">
        <f t="shared" si="52"/>
        <v>12.693125</v>
      </c>
      <c r="S416" s="30">
        <f t="shared" si="53"/>
        <v>3</v>
      </c>
      <c r="T416" s="30">
        <f t="shared" si="54"/>
        <v>2023</v>
      </c>
      <c r="U416" s="29" t="str">
        <f t="shared" si="55"/>
        <v>March</v>
      </c>
    </row>
    <row r="417" spans="1:21" ht="17.399999999999999" x14ac:dyDescent="0.3">
      <c r="A417" s="21" t="s">
        <v>1949</v>
      </c>
      <c r="B417" s="21" t="s">
        <v>1950</v>
      </c>
      <c r="C417" s="23" t="s">
        <v>3516</v>
      </c>
      <c r="D417" s="21" t="s">
        <v>3520</v>
      </c>
      <c r="E417" s="24">
        <v>45003</v>
      </c>
      <c r="F417" s="24">
        <v>45006</v>
      </c>
      <c r="G417" s="22" t="s">
        <v>11</v>
      </c>
      <c r="H417" s="25">
        <v>17984</v>
      </c>
      <c r="I417" s="25">
        <v>449</v>
      </c>
      <c r="J417" s="26">
        <v>258.83</v>
      </c>
      <c r="K417" s="25">
        <v>75</v>
      </c>
      <c r="L417" s="21" t="s">
        <v>21</v>
      </c>
      <c r="M417" s="22" t="s">
        <v>11</v>
      </c>
      <c r="N417" s="27">
        <f t="shared" si="48"/>
        <v>3</v>
      </c>
      <c r="O417" s="28">
        <f t="shared" si="49"/>
        <v>2.4966637010676158E-2</v>
      </c>
      <c r="P417" s="28">
        <f t="shared" si="50"/>
        <v>0.16703786191536749</v>
      </c>
      <c r="Q417" s="26">
        <f t="shared" si="51"/>
        <v>0.57645879732739413</v>
      </c>
      <c r="R417" s="29">
        <f t="shared" si="52"/>
        <v>3.4510666666666663</v>
      </c>
      <c r="S417" s="30">
        <f t="shared" si="53"/>
        <v>3</v>
      </c>
      <c r="T417" s="30">
        <f t="shared" si="54"/>
        <v>2023</v>
      </c>
      <c r="U417" s="29" t="str">
        <f t="shared" si="55"/>
        <v>March</v>
      </c>
    </row>
    <row r="418" spans="1:21" ht="17.399999999999999" x14ac:dyDescent="0.3">
      <c r="A418" s="21" t="s">
        <v>2127</v>
      </c>
      <c r="B418" s="21" t="s">
        <v>2128</v>
      </c>
      <c r="C418" s="23" t="s">
        <v>3516</v>
      </c>
      <c r="D418" s="21" t="s">
        <v>3520</v>
      </c>
      <c r="E418" s="24">
        <v>45003</v>
      </c>
      <c r="F418" s="24">
        <v>45025</v>
      </c>
      <c r="G418" s="22" t="s">
        <v>31</v>
      </c>
      <c r="H418" s="25">
        <v>1126</v>
      </c>
      <c r="I418" s="25">
        <v>55</v>
      </c>
      <c r="J418" s="26">
        <v>54.51</v>
      </c>
      <c r="K418" s="25">
        <v>5</v>
      </c>
      <c r="L418" s="21" t="s">
        <v>17</v>
      </c>
      <c r="M418" s="22" t="s">
        <v>31</v>
      </c>
      <c r="N418" s="27">
        <f t="shared" si="48"/>
        <v>22</v>
      </c>
      <c r="O418" s="28">
        <f t="shared" si="49"/>
        <v>4.8845470692717587E-2</v>
      </c>
      <c r="P418" s="28">
        <f t="shared" si="50"/>
        <v>9.0909090909090912E-2</v>
      </c>
      <c r="Q418" s="26">
        <f t="shared" si="51"/>
        <v>0.99109090909090902</v>
      </c>
      <c r="R418" s="29">
        <f t="shared" si="52"/>
        <v>10.901999999999999</v>
      </c>
      <c r="S418" s="30">
        <f t="shared" si="53"/>
        <v>3</v>
      </c>
      <c r="T418" s="30">
        <f t="shared" si="54"/>
        <v>2023</v>
      </c>
      <c r="U418" s="29" t="str">
        <f t="shared" si="55"/>
        <v>March</v>
      </c>
    </row>
    <row r="419" spans="1:21" ht="17.399999999999999" x14ac:dyDescent="0.3">
      <c r="A419" s="21" t="s">
        <v>1470</v>
      </c>
      <c r="B419" s="22" t="s">
        <v>3656</v>
      </c>
      <c r="C419" s="23" t="s">
        <v>3515</v>
      </c>
      <c r="D419" s="22" t="s">
        <v>3545</v>
      </c>
      <c r="E419" s="24">
        <v>45003</v>
      </c>
      <c r="F419" s="24">
        <v>45019</v>
      </c>
      <c r="G419" s="22" t="s">
        <v>16</v>
      </c>
      <c r="H419" s="25">
        <v>71080</v>
      </c>
      <c r="I419" s="25">
        <v>1405</v>
      </c>
      <c r="J419" s="26">
        <v>731.23</v>
      </c>
      <c r="K419" s="25">
        <v>106</v>
      </c>
      <c r="L419" s="21" t="s">
        <v>21</v>
      </c>
      <c r="M419" s="22" t="s">
        <v>16</v>
      </c>
      <c r="N419" s="27">
        <f t="shared" si="48"/>
        <v>16</v>
      </c>
      <c r="O419" s="28">
        <f t="shared" si="49"/>
        <v>1.9766460326392798E-2</v>
      </c>
      <c r="P419" s="28">
        <f t="shared" si="50"/>
        <v>7.5444839857651241E-2</v>
      </c>
      <c r="Q419" s="26">
        <f t="shared" si="51"/>
        <v>0.52044839857651248</v>
      </c>
      <c r="R419" s="29">
        <f t="shared" si="52"/>
        <v>6.8983962264150946</v>
      </c>
      <c r="S419" s="30">
        <f t="shared" si="53"/>
        <v>3</v>
      </c>
      <c r="T419" s="30">
        <f t="shared" si="54"/>
        <v>2023</v>
      </c>
      <c r="U419" s="29" t="str">
        <f t="shared" si="55"/>
        <v>March</v>
      </c>
    </row>
    <row r="420" spans="1:21" ht="17.399999999999999" x14ac:dyDescent="0.3">
      <c r="A420" s="21" t="s">
        <v>3302</v>
      </c>
      <c r="B420" s="21" t="s">
        <v>3303</v>
      </c>
      <c r="C420" s="23" t="s">
        <v>3515</v>
      </c>
      <c r="D420" s="21" t="s">
        <v>3520</v>
      </c>
      <c r="E420" s="24">
        <v>45003</v>
      </c>
      <c r="F420" s="24">
        <v>45005</v>
      </c>
      <c r="G420" s="22" t="s">
        <v>24</v>
      </c>
      <c r="H420" s="25">
        <v>12536</v>
      </c>
      <c r="I420" s="25">
        <v>318</v>
      </c>
      <c r="J420" s="26">
        <v>441.89</v>
      </c>
      <c r="K420" s="25">
        <v>56</v>
      </c>
      <c r="L420" s="21" t="s">
        <v>21</v>
      </c>
      <c r="M420" s="22" t="s">
        <v>3536</v>
      </c>
      <c r="N420" s="27">
        <f t="shared" si="48"/>
        <v>2</v>
      </c>
      <c r="O420" s="28">
        <f t="shared" si="49"/>
        <v>2.5366943203573709E-2</v>
      </c>
      <c r="P420" s="28">
        <f t="shared" si="50"/>
        <v>0.1761006289308176</v>
      </c>
      <c r="Q420" s="26">
        <f t="shared" si="51"/>
        <v>1.3895911949685533</v>
      </c>
      <c r="R420" s="29">
        <f t="shared" si="52"/>
        <v>7.8908928571428572</v>
      </c>
      <c r="S420" s="30">
        <f t="shared" si="53"/>
        <v>3</v>
      </c>
      <c r="T420" s="30">
        <f t="shared" si="54"/>
        <v>2023</v>
      </c>
      <c r="U420" s="29" t="str">
        <f t="shared" si="55"/>
        <v>March</v>
      </c>
    </row>
    <row r="421" spans="1:21" ht="17.399999999999999" x14ac:dyDescent="0.3">
      <c r="A421" s="21" t="s">
        <v>2972</v>
      </c>
      <c r="B421" s="21" t="s">
        <v>2973</v>
      </c>
      <c r="C421" s="23" t="s">
        <v>3519</v>
      </c>
      <c r="D421" s="21" t="s">
        <v>3521</v>
      </c>
      <c r="E421" s="24">
        <v>45004</v>
      </c>
      <c r="F421" s="24">
        <v>45026</v>
      </c>
      <c r="G421" s="22" t="s">
        <v>14</v>
      </c>
      <c r="H421" s="25">
        <v>30192</v>
      </c>
      <c r="I421" s="25">
        <v>821</v>
      </c>
      <c r="J421" s="26">
        <v>1048.51</v>
      </c>
      <c r="K421" s="25">
        <v>45</v>
      </c>
      <c r="L421" s="21" t="s">
        <v>21</v>
      </c>
      <c r="M421" s="22" t="s">
        <v>3537</v>
      </c>
      <c r="N421" s="27">
        <f t="shared" si="48"/>
        <v>22</v>
      </c>
      <c r="O421" s="28">
        <f t="shared" si="49"/>
        <v>2.7192633810280867E-2</v>
      </c>
      <c r="P421" s="28">
        <f t="shared" si="50"/>
        <v>5.4811205846528627E-2</v>
      </c>
      <c r="Q421" s="26">
        <f t="shared" si="51"/>
        <v>1.2771132764920827</v>
      </c>
      <c r="R421" s="29">
        <f t="shared" si="52"/>
        <v>23.300222222222221</v>
      </c>
      <c r="S421" s="30">
        <f t="shared" si="53"/>
        <v>3</v>
      </c>
      <c r="T421" s="30">
        <f t="shared" si="54"/>
        <v>2023</v>
      </c>
      <c r="U421" s="29" t="str">
        <f t="shared" si="55"/>
        <v>March</v>
      </c>
    </row>
    <row r="422" spans="1:21" ht="17.399999999999999" x14ac:dyDescent="0.3">
      <c r="A422" s="21" t="s">
        <v>2964</v>
      </c>
      <c r="B422" s="21" t="s">
        <v>2965</v>
      </c>
      <c r="C422" s="23" t="s">
        <v>3518</v>
      </c>
      <c r="D422" s="21" t="s">
        <v>3520</v>
      </c>
      <c r="E422" s="24">
        <v>45004</v>
      </c>
      <c r="F422" s="24">
        <v>45019</v>
      </c>
      <c r="G422" s="22" t="s">
        <v>11</v>
      </c>
      <c r="H422" s="25">
        <v>18602</v>
      </c>
      <c r="I422" s="25">
        <v>476</v>
      </c>
      <c r="J422" s="26">
        <v>801.36</v>
      </c>
      <c r="K422" s="25">
        <v>35</v>
      </c>
      <c r="L422" s="21" t="s">
        <v>17</v>
      </c>
      <c r="M422" s="22" t="s">
        <v>11</v>
      </c>
      <c r="N422" s="27">
        <f t="shared" si="48"/>
        <v>15</v>
      </c>
      <c r="O422" s="28">
        <f t="shared" si="49"/>
        <v>2.5588646382109451E-2</v>
      </c>
      <c r="P422" s="28">
        <f t="shared" si="50"/>
        <v>7.3529411764705885E-2</v>
      </c>
      <c r="Q422" s="26">
        <f t="shared" si="51"/>
        <v>1.6835294117647059</v>
      </c>
      <c r="R422" s="29">
        <f t="shared" si="52"/>
        <v>22.896000000000001</v>
      </c>
      <c r="S422" s="30">
        <f t="shared" si="53"/>
        <v>3</v>
      </c>
      <c r="T422" s="30">
        <f t="shared" si="54"/>
        <v>2023</v>
      </c>
      <c r="U422" s="29" t="str">
        <f t="shared" si="55"/>
        <v>March</v>
      </c>
    </row>
    <row r="423" spans="1:21" ht="17.399999999999999" x14ac:dyDescent="0.3">
      <c r="A423" s="21" t="s">
        <v>451</v>
      </c>
      <c r="B423" s="21" t="s">
        <v>452</v>
      </c>
      <c r="C423" s="23" t="s">
        <v>3516</v>
      </c>
      <c r="D423" s="21" t="s">
        <v>3517</v>
      </c>
      <c r="E423" s="24">
        <v>45004</v>
      </c>
      <c r="F423" s="24">
        <v>45009</v>
      </c>
      <c r="G423" s="22" t="s">
        <v>14</v>
      </c>
      <c r="H423" s="25">
        <v>57250</v>
      </c>
      <c r="I423" s="25">
        <v>1099</v>
      </c>
      <c r="J423" s="26">
        <v>1325.72</v>
      </c>
      <c r="K423" s="25">
        <v>181</v>
      </c>
      <c r="L423" s="21" t="s">
        <v>17</v>
      </c>
      <c r="M423" s="22" t="s">
        <v>3537</v>
      </c>
      <c r="N423" s="27">
        <f t="shared" si="48"/>
        <v>5</v>
      </c>
      <c r="O423" s="28">
        <f t="shared" si="49"/>
        <v>1.9196506550218342E-2</v>
      </c>
      <c r="P423" s="28">
        <f t="shared" si="50"/>
        <v>0.16469517743403095</v>
      </c>
      <c r="Q423" s="26">
        <f t="shared" si="51"/>
        <v>1.2062966333030027</v>
      </c>
      <c r="R423" s="29">
        <f t="shared" si="52"/>
        <v>7.3244198895027628</v>
      </c>
      <c r="S423" s="30">
        <f t="shared" si="53"/>
        <v>3</v>
      </c>
      <c r="T423" s="30">
        <f t="shared" si="54"/>
        <v>2023</v>
      </c>
      <c r="U423" s="29" t="str">
        <f t="shared" si="55"/>
        <v>March</v>
      </c>
    </row>
    <row r="424" spans="1:21" ht="17.399999999999999" x14ac:dyDescent="0.3">
      <c r="A424" s="21" t="s">
        <v>1455</v>
      </c>
      <c r="B424" s="21" t="s">
        <v>1456</v>
      </c>
      <c r="C424" s="23" t="s">
        <v>3515</v>
      </c>
      <c r="D424" s="21" t="s">
        <v>3517</v>
      </c>
      <c r="E424" s="24">
        <v>45004</v>
      </c>
      <c r="F424" s="24">
        <v>45015</v>
      </c>
      <c r="G424" s="22" t="s">
        <v>11</v>
      </c>
      <c r="H424" s="25">
        <v>14456</v>
      </c>
      <c r="I424" s="25">
        <v>583</v>
      </c>
      <c r="J424" s="26">
        <v>1099.76</v>
      </c>
      <c r="K424" s="25">
        <v>93</v>
      </c>
      <c r="L424" s="21" t="s">
        <v>17</v>
      </c>
      <c r="M424" s="22" t="s">
        <v>11</v>
      </c>
      <c r="N424" s="27">
        <f t="shared" si="48"/>
        <v>11</v>
      </c>
      <c r="O424" s="28">
        <f t="shared" si="49"/>
        <v>4.0329275041505255E-2</v>
      </c>
      <c r="P424" s="28">
        <f t="shared" si="50"/>
        <v>0.15951972555746141</v>
      </c>
      <c r="Q424" s="26">
        <f t="shared" si="51"/>
        <v>1.8863807890222983</v>
      </c>
      <c r="R424" s="29">
        <f t="shared" si="52"/>
        <v>11.825376344086022</v>
      </c>
      <c r="S424" s="30">
        <f t="shared" si="53"/>
        <v>3</v>
      </c>
      <c r="T424" s="30">
        <f t="shared" si="54"/>
        <v>2023</v>
      </c>
      <c r="U424" s="29" t="str">
        <f t="shared" si="55"/>
        <v>March</v>
      </c>
    </row>
    <row r="425" spans="1:21" ht="17.399999999999999" x14ac:dyDescent="0.3">
      <c r="A425" s="21" t="s">
        <v>395</v>
      </c>
      <c r="B425" s="21" t="s">
        <v>396</v>
      </c>
      <c r="C425" s="23" t="s">
        <v>3519</v>
      </c>
      <c r="D425" s="21" t="s">
        <v>3520</v>
      </c>
      <c r="E425" s="24">
        <v>45005</v>
      </c>
      <c r="F425" s="24">
        <v>45035</v>
      </c>
      <c r="G425" s="22" t="s">
        <v>24</v>
      </c>
      <c r="H425" s="25">
        <v>1854</v>
      </c>
      <c r="I425" s="25">
        <v>50</v>
      </c>
      <c r="J425" s="26">
        <v>99</v>
      </c>
      <c r="K425" s="25">
        <v>7</v>
      </c>
      <c r="L425" s="21" t="s">
        <v>17</v>
      </c>
      <c r="M425" s="22" t="s">
        <v>3536</v>
      </c>
      <c r="N425" s="27">
        <f t="shared" si="48"/>
        <v>30</v>
      </c>
      <c r="O425" s="28">
        <f t="shared" si="49"/>
        <v>2.696871628910464E-2</v>
      </c>
      <c r="P425" s="28">
        <f t="shared" si="50"/>
        <v>0.14000000000000001</v>
      </c>
      <c r="Q425" s="26">
        <f t="shared" si="51"/>
        <v>1.98</v>
      </c>
      <c r="R425" s="29">
        <f t="shared" si="52"/>
        <v>14.142857142857142</v>
      </c>
      <c r="S425" s="30">
        <f t="shared" si="53"/>
        <v>3</v>
      </c>
      <c r="T425" s="30">
        <f t="shared" si="54"/>
        <v>2023</v>
      </c>
      <c r="U425" s="29" t="str">
        <f t="shared" si="55"/>
        <v>March</v>
      </c>
    </row>
    <row r="426" spans="1:21" ht="17.399999999999999" x14ac:dyDescent="0.3">
      <c r="A426" s="21" t="s">
        <v>2071</v>
      </c>
      <c r="B426" s="22" t="s">
        <v>3657</v>
      </c>
      <c r="C426" s="23" t="s">
        <v>3519</v>
      </c>
      <c r="D426" s="22" t="s">
        <v>3545</v>
      </c>
      <c r="E426" s="24">
        <v>45005</v>
      </c>
      <c r="F426" s="24">
        <v>45017</v>
      </c>
      <c r="G426" s="22" t="s">
        <v>11</v>
      </c>
      <c r="H426" s="25">
        <v>15382</v>
      </c>
      <c r="I426" s="25">
        <v>600</v>
      </c>
      <c r="J426" s="26">
        <v>696.49</v>
      </c>
      <c r="K426" s="25">
        <v>67</v>
      </c>
      <c r="L426" s="21" t="s">
        <v>21</v>
      </c>
      <c r="M426" s="22" t="s">
        <v>11</v>
      </c>
      <c r="N426" s="27">
        <f t="shared" si="48"/>
        <v>12</v>
      </c>
      <c r="O426" s="28">
        <f t="shared" si="49"/>
        <v>3.9006631127291642E-2</v>
      </c>
      <c r="P426" s="28">
        <f t="shared" si="50"/>
        <v>0.11166666666666666</v>
      </c>
      <c r="Q426" s="26">
        <f t="shared" si="51"/>
        <v>1.1608166666666666</v>
      </c>
      <c r="R426" s="29">
        <f t="shared" si="52"/>
        <v>10.395373134328358</v>
      </c>
      <c r="S426" s="30">
        <f t="shared" si="53"/>
        <v>3</v>
      </c>
      <c r="T426" s="30">
        <f t="shared" si="54"/>
        <v>2023</v>
      </c>
      <c r="U426" s="29" t="str">
        <f t="shared" si="55"/>
        <v>March</v>
      </c>
    </row>
    <row r="427" spans="1:21" ht="17.399999999999999" x14ac:dyDescent="0.3">
      <c r="A427" s="21" t="s">
        <v>3421</v>
      </c>
      <c r="B427" s="21" t="s">
        <v>3422</v>
      </c>
      <c r="C427" s="23" t="s">
        <v>3519</v>
      </c>
      <c r="D427" s="21" t="s">
        <v>3521</v>
      </c>
      <c r="E427" s="24">
        <v>45005</v>
      </c>
      <c r="F427" s="24">
        <v>45024</v>
      </c>
      <c r="G427" s="22" t="s">
        <v>3535</v>
      </c>
      <c r="H427" s="25">
        <v>26003</v>
      </c>
      <c r="I427" s="25">
        <v>812</v>
      </c>
      <c r="J427" s="26">
        <v>414.7</v>
      </c>
      <c r="K427" s="25">
        <v>120</v>
      </c>
      <c r="L427" s="21" t="s">
        <v>17</v>
      </c>
      <c r="M427" s="22" t="s">
        <v>3535</v>
      </c>
      <c r="N427" s="27">
        <f t="shared" si="48"/>
        <v>19</v>
      </c>
      <c r="O427" s="28">
        <f t="shared" si="49"/>
        <v>3.1227166096219668E-2</v>
      </c>
      <c r="P427" s="28">
        <f t="shared" si="50"/>
        <v>0.14778325123152711</v>
      </c>
      <c r="Q427" s="26">
        <f t="shared" si="51"/>
        <v>0.51071428571428568</v>
      </c>
      <c r="R427" s="29">
        <f t="shared" si="52"/>
        <v>3.4558333333333331</v>
      </c>
      <c r="S427" s="30">
        <f t="shared" si="53"/>
        <v>3</v>
      </c>
      <c r="T427" s="30">
        <f t="shared" si="54"/>
        <v>2023</v>
      </c>
      <c r="U427" s="29" t="str">
        <f t="shared" si="55"/>
        <v>March</v>
      </c>
    </row>
    <row r="428" spans="1:21" ht="17.399999999999999" x14ac:dyDescent="0.3">
      <c r="A428" s="21" t="s">
        <v>848</v>
      </c>
      <c r="B428" s="21" t="s">
        <v>849</v>
      </c>
      <c r="C428" s="23" t="s">
        <v>3518</v>
      </c>
      <c r="D428" s="21" t="s">
        <v>3520</v>
      </c>
      <c r="E428" s="24">
        <v>45005</v>
      </c>
      <c r="F428" s="24">
        <v>45016</v>
      </c>
      <c r="G428" s="22" t="s">
        <v>11</v>
      </c>
      <c r="H428" s="25">
        <v>17896</v>
      </c>
      <c r="I428" s="25">
        <v>753</v>
      </c>
      <c r="J428" s="26">
        <v>1362.68</v>
      </c>
      <c r="K428" s="25">
        <v>76</v>
      </c>
      <c r="L428" s="21" t="s">
        <v>17</v>
      </c>
      <c r="M428" s="22" t="s">
        <v>11</v>
      </c>
      <c r="N428" s="27">
        <f t="shared" si="48"/>
        <v>11</v>
      </c>
      <c r="O428" s="28">
        <f t="shared" si="49"/>
        <v>4.2076441662941437E-2</v>
      </c>
      <c r="P428" s="28">
        <f t="shared" si="50"/>
        <v>0.10092961487383798</v>
      </c>
      <c r="Q428" s="26">
        <f t="shared" si="51"/>
        <v>1.8096679946879151</v>
      </c>
      <c r="R428" s="29">
        <f t="shared" si="52"/>
        <v>17.93</v>
      </c>
      <c r="S428" s="30">
        <f t="shared" si="53"/>
        <v>3</v>
      </c>
      <c r="T428" s="30">
        <f t="shared" si="54"/>
        <v>2023</v>
      </c>
      <c r="U428" s="29" t="str">
        <f t="shared" si="55"/>
        <v>March</v>
      </c>
    </row>
    <row r="429" spans="1:21" ht="17.399999999999999" x14ac:dyDescent="0.3">
      <c r="A429" s="21" t="s">
        <v>1113</v>
      </c>
      <c r="B429" s="21" t="s">
        <v>1114</v>
      </c>
      <c r="C429" s="23" t="s">
        <v>3518</v>
      </c>
      <c r="D429" s="21" t="s">
        <v>3521</v>
      </c>
      <c r="E429" s="24">
        <v>45005</v>
      </c>
      <c r="F429" s="24">
        <v>45019</v>
      </c>
      <c r="G429" s="22" t="s">
        <v>31</v>
      </c>
      <c r="H429" s="25">
        <v>60163</v>
      </c>
      <c r="I429" s="25">
        <v>896</v>
      </c>
      <c r="J429" s="26">
        <v>899.08</v>
      </c>
      <c r="K429" s="25">
        <v>0</v>
      </c>
      <c r="L429" s="21" t="s">
        <v>21</v>
      </c>
      <c r="M429" s="22" t="s">
        <v>31</v>
      </c>
      <c r="N429" s="27">
        <f t="shared" si="48"/>
        <v>14</v>
      </c>
      <c r="O429" s="28">
        <f t="shared" si="49"/>
        <v>1.4892874357994116E-2</v>
      </c>
      <c r="P429" s="28">
        <f t="shared" si="50"/>
        <v>0</v>
      </c>
      <c r="Q429" s="26">
        <f t="shared" si="51"/>
        <v>1.0034375</v>
      </c>
      <c r="R429" s="29" t="str">
        <f t="shared" si="52"/>
        <v>0</v>
      </c>
      <c r="S429" s="30">
        <f t="shared" si="53"/>
        <v>3</v>
      </c>
      <c r="T429" s="30">
        <f t="shared" si="54"/>
        <v>2023</v>
      </c>
      <c r="U429" s="29" t="str">
        <f t="shared" si="55"/>
        <v>March</v>
      </c>
    </row>
    <row r="430" spans="1:21" ht="17.399999999999999" x14ac:dyDescent="0.3">
      <c r="A430" s="21" t="s">
        <v>2600</v>
      </c>
      <c r="B430" s="22" t="s">
        <v>3658</v>
      </c>
      <c r="C430" s="23" t="s">
        <v>3518</v>
      </c>
      <c r="D430" s="22" t="s">
        <v>3545</v>
      </c>
      <c r="E430" s="24">
        <v>45005</v>
      </c>
      <c r="F430" s="24">
        <v>45021</v>
      </c>
      <c r="G430" s="22" t="s">
        <v>31</v>
      </c>
      <c r="H430" s="25">
        <v>75666</v>
      </c>
      <c r="I430" s="25">
        <v>3266</v>
      </c>
      <c r="J430" s="26">
        <v>3022.4</v>
      </c>
      <c r="K430" s="25">
        <v>211</v>
      </c>
      <c r="L430" s="21" t="s">
        <v>17</v>
      </c>
      <c r="M430" s="22" t="s">
        <v>31</v>
      </c>
      <c r="N430" s="27">
        <f t="shared" si="48"/>
        <v>16</v>
      </c>
      <c r="O430" s="28">
        <f t="shared" si="49"/>
        <v>4.316337588877435E-2</v>
      </c>
      <c r="P430" s="28">
        <f t="shared" si="50"/>
        <v>6.4605021432945497E-2</v>
      </c>
      <c r="Q430" s="26">
        <f t="shared" si="51"/>
        <v>0.92541334966319655</v>
      </c>
      <c r="R430" s="29">
        <f t="shared" si="52"/>
        <v>14.324170616113744</v>
      </c>
      <c r="S430" s="30">
        <f t="shared" si="53"/>
        <v>3</v>
      </c>
      <c r="T430" s="30">
        <f t="shared" si="54"/>
        <v>2023</v>
      </c>
      <c r="U430" s="29" t="str">
        <f t="shared" si="55"/>
        <v>March</v>
      </c>
    </row>
    <row r="431" spans="1:21" ht="17.399999999999999" x14ac:dyDescent="0.3">
      <c r="A431" s="21" t="s">
        <v>325</v>
      </c>
      <c r="B431" s="21" t="s">
        <v>326</v>
      </c>
      <c r="C431" s="23" t="s">
        <v>3516</v>
      </c>
      <c r="D431" s="21" t="s">
        <v>3520</v>
      </c>
      <c r="E431" s="24">
        <v>45005</v>
      </c>
      <c r="F431" s="24">
        <v>45012</v>
      </c>
      <c r="G431" s="22" t="s">
        <v>14</v>
      </c>
      <c r="H431" s="25">
        <v>24776</v>
      </c>
      <c r="I431" s="25">
        <v>491</v>
      </c>
      <c r="J431" s="26">
        <v>701.39</v>
      </c>
      <c r="K431" s="25">
        <v>72</v>
      </c>
      <c r="L431" s="21" t="s">
        <v>17</v>
      </c>
      <c r="M431" s="22" t="s">
        <v>3537</v>
      </c>
      <c r="N431" s="27">
        <f t="shared" si="48"/>
        <v>7</v>
      </c>
      <c r="O431" s="28">
        <f t="shared" si="49"/>
        <v>1.9817565385857282E-2</v>
      </c>
      <c r="P431" s="28">
        <f t="shared" si="50"/>
        <v>0.14663951120162932</v>
      </c>
      <c r="Q431" s="26">
        <f t="shared" si="51"/>
        <v>1.4284928716904277</v>
      </c>
      <c r="R431" s="29">
        <f t="shared" si="52"/>
        <v>9.7415277777777778</v>
      </c>
      <c r="S431" s="30">
        <f t="shared" si="53"/>
        <v>3</v>
      </c>
      <c r="T431" s="30">
        <f t="shared" si="54"/>
        <v>2023</v>
      </c>
      <c r="U431" s="29" t="str">
        <f t="shared" si="55"/>
        <v>March</v>
      </c>
    </row>
    <row r="432" spans="1:21" ht="17.399999999999999" x14ac:dyDescent="0.3">
      <c r="A432" s="21" t="s">
        <v>535</v>
      </c>
      <c r="B432" s="21" t="s">
        <v>536</v>
      </c>
      <c r="C432" s="23" t="s">
        <v>3515</v>
      </c>
      <c r="D432" s="21" t="s">
        <v>3520</v>
      </c>
      <c r="E432" s="24">
        <v>45005</v>
      </c>
      <c r="F432" s="24">
        <v>45016</v>
      </c>
      <c r="G432" s="22" t="s">
        <v>14</v>
      </c>
      <c r="H432" s="25">
        <v>13874</v>
      </c>
      <c r="I432" s="25">
        <v>491</v>
      </c>
      <c r="J432" s="26">
        <v>679.25</v>
      </c>
      <c r="K432" s="25">
        <v>62</v>
      </c>
      <c r="L432" s="21" t="s">
        <v>17</v>
      </c>
      <c r="M432" s="22" t="s">
        <v>3537</v>
      </c>
      <c r="N432" s="27">
        <f t="shared" si="48"/>
        <v>11</v>
      </c>
      <c r="O432" s="28">
        <f t="shared" si="49"/>
        <v>3.5389938013550525E-2</v>
      </c>
      <c r="P432" s="28">
        <f t="shared" si="50"/>
        <v>0.12627291242362526</v>
      </c>
      <c r="Q432" s="26">
        <f t="shared" si="51"/>
        <v>1.3834012219959266</v>
      </c>
      <c r="R432" s="29">
        <f t="shared" si="52"/>
        <v>10.955645161290322</v>
      </c>
      <c r="S432" s="30">
        <f t="shared" si="53"/>
        <v>3</v>
      </c>
      <c r="T432" s="30">
        <f t="shared" si="54"/>
        <v>2023</v>
      </c>
      <c r="U432" s="29" t="str">
        <f t="shared" si="55"/>
        <v>March</v>
      </c>
    </row>
    <row r="433" spans="1:21" ht="17.399999999999999" x14ac:dyDescent="0.3">
      <c r="A433" s="21" t="s">
        <v>681</v>
      </c>
      <c r="B433" s="21" t="s">
        <v>682</v>
      </c>
      <c r="C433" s="23" t="s">
        <v>3519</v>
      </c>
      <c r="D433" s="21" t="s">
        <v>3521</v>
      </c>
      <c r="E433" s="24">
        <v>45006</v>
      </c>
      <c r="F433" s="24">
        <v>45029</v>
      </c>
      <c r="G433" s="22" t="s">
        <v>14</v>
      </c>
      <c r="H433" s="25">
        <v>35584</v>
      </c>
      <c r="I433" s="25">
        <v>751</v>
      </c>
      <c r="J433" s="26">
        <v>1050.98</v>
      </c>
      <c r="K433" s="25">
        <v>66</v>
      </c>
      <c r="L433" s="21" t="s">
        <v>17</v>
      </c>
      <c r="M433" s="22" t="s">
        <v>3537</v>
      </c>
      <c r="N433" s="27">
        <f t="shared" si="48"/>
        <v>23</v>
      </c>
      <c r="O433" s="28">
        <f t="shared" si="49"/>
        <v>2.1104991007194245E-2</v>
      </c>
      <c r="P433" s="28">
        <f t="shared" si="50"/>
        <v>8.7882822902796268E-2</v>
      </c>
      <c r="Q433" s="26">
        <f t="shared" si="51"/>
        <v>1.3994407456724367</v>
      </c>
      <c r="R433" s="29">
        <f t="shared" si="52"/>
        <v>15.923939393939394</v>
      </c>
      <c r="S433" s="30">
        <f t="shared" si="53"/>
        <v>3</v>
      </c>
      <c r="T433" s="30">
        <f t="shared" si="54"/>
        <v>2023</v>
      </c>
      <c r="U433" s="29" t="str">
        <f t="shared" si="55"/>
        <v>March</v>
      </c>
    </row>
    <row r="434" spans="1:21" ht="17.399999999999999" x14ac:dyDescent="0.3">
      <c r="A434" s="21" t="s">
        <v>796</v>
      </c>
      <c r="B434" s="21" t="s">
        <v>797</v>
      </c>
      <c r="C434" s="23" t="s">
        <v>3519</v>
      </c>
      <c r="D434" s="21" t="s">
        <v>3520</v>
      </c>
      <c r="E434" s="24">
        <v>45006</v>
      </c>
      <c r="F434" s="24">
        <v>45033</v>
      </c>
      <c r="G434" s="22" t="s">
        <v>16</v>
      </c>
      <c r="H434" s="25">
        <v>59335</v>
      </c>
      <c r="I434" s="25">
        <v>2633</v>
      </c>
      <c r="J434" s="26">
        <v>2857.28</v>
      </c>
      <c r="K434" s="25">
        <v>133</v>
      </c>
      <c r="L434" s="21" t="s">
        <v>21</v>
      </c>
      <c r="M434" s="22" t="s">
        <v>16</v>
      </c>
      <c r="N434" s="27">
        <f t="shared" si="48"/>
        <v>27</v>
      </c>
      <c r="O434" s="28">
        <f t="shared" si="49"/>
        <v>4.4375158001179742E-2</v>
      </c>
      <c r="P434" s="28">
        <f t="shared" si="50"/>
        <v>5.0512723129510065E-2</v>
      </c>
      <c r="Q434" s="26">
        <f t="shared" si="51"/>
        <v>1.0851804025826055</v>
      </c>
      <c r="R434" s="29">
        <f t="shared" si="52"/>
        <v>21.483308270676694</v>
      </c>
      <c r="S434" s="30">
        <f t="shared" si="53"/>
        <v>3</v>
      </c>
      <c r="T434" s="30">
        <f t="shared" si="54"/>
        <v>2023</v>
      </c>
      <c r="U434" s="29" t="str">
        <f t="shared" si="55"/>
        <v>March</v>
      </c>
    </row>
    <row r="435" spans="1:21" ht="17.399999999999999" x14ac:dyDescent="0.3">
      <c r="A435" s="21" t="s">
        <v>2495</v>
      </c>
      <c r="B435" s="21" t="s">
        <v>2496</v>
      </c>
      <c r="C435" s="23" t="s">
        <v>3519</v>
      </c>
      <c r="D435" s="21" t="s">
        <v>3521</v>
      </c>
      <c r="E435" s="24">
        <v>45006</v>
      </c>
      <c r="F435" s="24">
        <v>45022</v>
      </c>
      <c r="G435" s="22" t="s">
        <v>14</v>
      </c>
      <c r="H435" s="25">
        <v>52226</v>
      </c>
      <c r="I435" s="25">
        <v>2145</v>
      </c>
      <c r="J435" s="26">
        <v>3360.15</v>
      </c>
      <c r="K435" s="25">
        <v>153</v>
      </c>
      <c r="L435" s="21" t="s">
        <v>17</v>
      </c>
      <c r="M435" s="22" t="s">
        <v>3537</v>
      </c>
      <c r="N435" s="27">
        <f t="shared" si="48"/>
        <v>16</v>
      </c>
      <c r="O435" s="28">
        <f t="shared" si="49"/>
        <v>4.107149695553939E-2</v>
      </c>
      <c r="P435" s="28">
        <f t="shared" si="50"/>
        <v>7.1328671328671323E-2</v>
      </c>
      <c r="Q435" s="26">
        <f t="shared" si="51"/>
        <v>1.5665034965034965</v>
      </c>
      <c r="R435" s="29">
        <f t="shared" si="52"/>
        <v>21.961764705882352</v>
      </c>
      <c r="S435" s="30">
        <f t="shared" si="53"/>
        <v>3</v>
      </c>
      <c r="T435" s="30">
        <f t="shared" si="54"/>
        <v>2023</v>
      </c>
      <c r="U435" s="29" t="str">
        <f t="shared" si="55"/>
        <v>March</v>
      </c>
    </row>
    <row r="436" spans="1:21" ht="17.399999999999999" x14ac:dyDescent="0.3">
      <c r="A436" s="21" t="s">
        <v>32</v>
      </c>
      <c r="B436" s="22" t="s">
        <v>3659</v>
      </c>
      <c r="C436" s="23" t="s">
        <v>3518</v>
      </c>
      <c r="D436" s="22" t="s">
        <v>3545</v>
      </c>
      <c r="E436" s="24">
        <v>45006</v>
      </c>
      <c r="F436" s="24">
        <v>45017</v>
      </c>
      <c r="G436" s="22" t="s">
        <v>16</v>
      </c>
      <c r="H436" s="25">
        <v>61263</v>
      </c>
      <c r="I436" s="25">
        <v>1153</v>
      </c>
      <c r="J436" s="26">
        <v>1623.56</v>
      </c>
      <c r="K436" s="25">
        <v>0</v>
      </c>
      <c r="L436" s="21" t="s">
        <v>17</v>
      </c>
      <c r="M436" s="22" t="s">
        <v>16</v>
      </c>
      <c r="N436" s="27">
        <f t="shared" si="48"/>
        <v>11</v>
      </c>
      <c r="O436" s="28">
        <f t="shared" si="49"/>
        <v>1.8820495241826225E-2</v>
      </c>
      <c r="P436" s="28">
        <f t="shared" si="50"/>
        <v>0</v>
      </c>
      <c r="Q436" s="26">
        <f t="shared" si="51"/>
        <v>1.4081179531656547</v>
      </c>
      <c r="R436" s="29" t="str">
        <f t="shared" si="52"/>
        <v>0</v>
      </c>
      <c r="S436" s="30">
        <f t="shared" si="53"/>
        <v>3</v>
      </c>
      <c r="T436" s="30">
        <f t="shared" si="54"/>
        <v>2023</v>
      </c>
      <c r="U436" s="29" t="str">
        <f t="shared" si="55"/>
        <v>March</v>
      </c>
    </row>
    <row r="437" spans="1:21" ht="17.399999999999999" x14ac:dyDescent="0.3">
      <c r="A437" s="21" t="s">
        <v>1820</v>
      </c>
      <c r="B437" s="21" t="s">
        <v>1821</v>
      </c>
      <c r="C437" s="23" t="s">
        <v>3516</v>
      </c>
      <c r="D437" s="21" t="s">
        <v>3521</v>
      </c>
      <c r="E437" s="24">
        <v>45006</v>
      </c>
      <c r="F437" s="24">
        <v>45021</v>
      </c>
      <c r="G437" s="22" t="s">
        <v>11</v>
      </c>
      <c r="H437" s="25">
        <v>1117</v>
      </c>
      <c r="I437" s="25">
        <v>18</v>
      </c>
      <c r="J437" s="26">
        <v>15.68</v>
      </c>
      <c r="K437" s="25">
        <v>1</v>
      </c>
      <c r="L437" s="21" t="s">
        <v>17</v>
      </c>
      <c r="M437" s="22" t="s">
        <v>11</v>
      </c>
      <c r="N437" s="27">
        <f t="shared" si="48"/>
        <v>15</v>
      </c>
      <c r="O437" s="28">
        <f t="shared" si="49"/>
        <v>1.611459265890779E-2</v>
      </c>
      <c r="P437" s="28">
        <f t="shared" si="50"/>
        <v>5.5555555555555552E-2</v>
      </c>
      <c r="Q437" s="26">
        <f t="shared" si="51"/>
        <v>0.87111111111111106</v>
      </c>
      <c r="R437" s="29">
        <f t="shared" si="52"/>
        <v>15.68</v>
      </c>
      <c r="S437" s="30">
        <f t="shared" si="53"/>
        <v>3</v>
      </c>
      <c r="T437" s="30">
        <f t="shared" si="54"/>
        <v>2023</v>
      </c>
      <c r="U437" s="29" t="str">
        <f t="shared" si="55"/>
        <v>March</v>
      </c>
    </row>
    <row r="438" spans="1:21" ht="17.399999999999999" x14ac:dyDescent="0.3">
      <c r="A438" s="21" t="s">
        <v>576</v>
      </c>
      <c r="B438" s="21" t="s">
        <v>577</v>
      </c>
      <c r="C438" s="23" t="s">
        <v>3515</v>
      </c>
      <c r="D438" s="21" t="s">
        <v>3517</v>
      </c>
      <c r="E438" s="24">
        <v>45006</v>
      </c>
      <c r="F438" s="24">
        <v>45021</v>
      </c>
      <c r="G438" s="22" t="s">
        <v>11</v>
      </c>
      <c r="H438" s="25">
        <v>87831</v>
      </c>
      <c r="I438" s="25">
        <v>3016</v>
      </c>
      <c r="J438" s="26">
        <v>4948.16</v>
      </c>
      <c r="K438" s="25">
        <v>350</v>
      </c>
      <c r="L438" s="21" t="s">
        <v>17</v>
      </c>
      <c r="M438" s="22" t="s">
        <v>11</v>
      </c>
      <c r="N438" s="27">
        <f t="shared" si="48"/>
        <v>15</v>
      </c>
      <c r="O438" s="28">
        <f t="shared" si="49"/>
        <v>3.4338673133631634E-2</v>
      </c>
      <c r="P438" s="28">
        <f t="shared" si="50"/>
        <v>0.11604774535809019</v>
      </c>
      <c r="Q438" s="26">
        <f t="shared" si="51"/>
        <v>1.6406366047745358</v>
      </c>
      <c r="R438" s="29">
        <f t="shared" si="52"/>
        <v>14.137599999999999</v>
      </c>
      <c r="S438" s="30">
        <f t="shared" si="53"/>
        <v>3</v>
      </c>
      <c r="T438" s="30">
        <f t="shared" si="54"/>
        <v>2023</v>
      </c>
      <c r="U438" s="29" t="str">
        <f t="shared" si="55"/>
        <v>March</v>
      </c>
    </row>
    <row r="439" spans="1:21" ht="17.399999999999999" x14ac:dyDescent="0.3">
      <c r="A439" s="21" t="s">
        <v>1076</v>
      </c>
      <c r="B439" s="21" t="s">
        <v>1077</v>
      </c>
      <c r="C439" s="23" t="s">
        <v>3519</v>
      </c>
      <c r="D439" s="21" t="s">
        <v>3517</v>
      </c>
      <c r="E439" s="24">
        <v>45007</v>
      </c>
      <c r="F439" s="24">
        <v>45031</v>
      </c>
      <c r="G439" s="22" t="s">
        <v>11</v>
      </c>
      <c r="H439" s="25">
        <v>72180</v>
      </c>
      <c r="I439" s="25">
        <v>3245</v>
      </c>
      <c r="J439" s="26">
        <v>2552.84</v>
      </c>
      <c r="K439" s="25">
        <v>635</v>
      </c>
      <c r="L439" s="21" t="s">
        <v>17</v>
      </c>
      <c r="M439" s="22" t="s">
        <v>11</v>
      </c>
      <c r="N439" s="27">
        <f t="shared" si="48"/>
        <v>24</v>
      </c>
      <c r="O439" s="28">
        <f t="shared" si="49"/>
        <v>4.4957051814907174E-2</v>
      </c>
      <c r="P439" s="28">
        <f t="shared" si="50"/>
        <v>0.19568567026194145</v>
      </c>
      <c r="Q439" s="26">
        <f t="shared" si="51"/>
        <v>0.78669953775038526</v>
      </c>
      <c r="R439" s="29">
        <f t="shared" si="52"/>
        <v>4.0202204724409452</v>
      </c>
      <c r="S439" s="30">
        <f t="shared" si="53"/>
        <v>3</v>
      </c>
      <c r="T439" s="30">
        <f t="shared" si="54"/>
        <v>2023</v>
      </c>
      <c r="U439" s="29" t="str">
        <f t="shared" si="55"/>
        <v>March</v>
      </c>
    </row>
    <row r="440" spans="1:21" ht="17.399999999999999" x14ac:dyDescent="0.3">
      <c r="A440" s="21" t="s">
        <v>2059</v>
      </c>
      <c r="B440" s="21" t="s">
        <v>2060</v>
      </c>
      <c r="C440" s="23" t="s">
        <v>3519</v>
      </c>
      <c r="D440" s="21" t="s">
        <v>3520</v>
      </c>
      <c r="E440" s="24">
        <v>45007</v>
      </c>
      <c r="F440" s="24">
        <v>45036</v>
      </c>
      <c r="G440" s="22" t="s">
        <v>16</v>
      </c>
      <c r="H440" s="25">
        <v>72907</v>
      </c>
      <c r="I440" s="25">
        <v>2252</v>
      </c>
      <c r="J440" s="26">
        <v>2242.64</v>
      </c>
      <c r="K440" s="25">
        <v>0</v>
      </c>
      <c r="L440" s="21" t="s">
        <v>17</v>
      </c>
      <c r="M440" s="22" t="s">
        <v>16</v>
      </c>
      <c r="N440" s="27">
        <f t="shared" si="48"/>
        <v>29</v>
      </c>
      <c r="O440" s="28">
        <f t="shared" si="49"/>
        <v>3.0888666383200515E-2</v>
      </c>
      <c r="P440" s="28">
        <f t="shared" si="50"/>
        <v>0</v>
      </c>
      <c r="Q440" s="26">
        <f t="shared" si="51"/>
        <v>0.99584369449378329</v>
      </c>
      <c r="R440" s="29" t="str">
        <f t="shared" si="52"/>
        <v>0</v>
      </c>
      <c r="S440" s="30">
        <f t="shared" si="53"/>
        <v>3</v>
      </c>
      <c r="T440" s="30">
        <f t="shared" si="54"/>
        <v>2023</v>
      </c>
      <c r="U440" s="29" t="str">
        <f t="shared" si="55"/>
        <v>March</v>
      </c>
    </row>
    <row r="441" spans="1:21" ht="17.399999999999999" x14ac:dyDescent="0.3">
      <c r="A441" s="21" t="s">
        <v>611</v>
      </c>
      <c r="B441" s="21" t="s">
        <v>612</v>
      </c>
      <c r="C441" s="23" t="s">
        <v>3518</v>
      </c>
      <c r="D441" s="21" t="s">
        <v>3520</v>
      </c>
      <c r="E441" s="24">
        <v>45007</v>
      </c>
      <c r="F441" s="24">
        <v>45023</v>
      </c>
      <c r="G441" s="22" t="s">
        <v>14</v>
      </c>
      <c r="H441" s="25">
        <v>6895</v>
      </c>
      <c r="I441" s="25">
        <v>176</v>
      </c>
      <c r="J441" s="26">
        <v>333.09</v>
      </c>
      <c r="K441" s="25">
        <v>10</v>
      </c>
      <c r="L441" s="21" t="s">
        <v>17</v>
      </c>
      <c r="M441" s="22" t="s">
        <v>3537</v>
      </c>
      <c r="N441" s="27">
        <f t="shared" si="48"/>
        <v>16</v>
      </c>
      <c r="O441" s="28">
        <f t="shared" si="49"/>
        <v>2.5525743292240752E-2</v>
      </c>
      <c r="P441" s="28">
        <f t="shared" si="50"/>
        <v>5.6818181818181816E-2</v>
      </c>
      <c r="Q441" s="26">
        <f t="shared" si="51"/>
        <v>1.892556818181818</v>
      </c>
      <c r="R441" s="29">
        <f t="shared" si="52"/>
        <v>33.308999999999997</v>
      </c>
      <c r="S441" s="30">
        <f t="shared" si="53"/>
        <v>3</v>
      </c>
      <c r="T441" s="30">
        <f t="shared" si="54"/>
        <v>2023</v>
      </c>
      <c r="U441" s="29" t="str">
        <f t="shared" si="55"/>
        <v>March</v>
      </c>
    </row>
    <row r="442" spans="1:21" ht="17.399999999999999" x14ac:dyDescent="0.3">
      <c r="A442" s="21" t="s">
        <v>3232</v>
      </c>
      <c r="B442" s="21" t="s">
        <v>3233</v>
      </c>
      <c r="C442" s="23" t="s">
        <v>3518</v>
      </c>
      <c r="D442" s="21" t="s">
        <v>3517</v>
      </c>
      <c r="E442" s="24">
        <v>45007</v>
      </c>
      <c r="F442" s="24">
        <v>45033</v>
      </c>
      <c r="G442" s="22" t="s">
        <v>11</v>
      </c>
      <c r="H442" s="25">
        <v>40214</v>
      </c>
      <c r="I442" s="25">
        <v>420</v>
      </c>
      <c r="J442" s="26">
        <v>831.06</v>
      </c>
      <c r="K442" s="25">
        <v>78</v>
      </c>
      <c r="L442" s="21" t="s">
        <v>21</v>
      </c>
      <c r="M442" s="22" t="s">
        <v>11</v>
      </c>
      <c r="N442" s="27">
        <f t="shared" si="48"/>
        <v>26</v>
      </c>
      <c r="O442" s="28">
        <f t="shared" si="49"/>
        <v>1.0444123936937385E-2</v>
      </c>
      <c r="P442" s="28">
        <f t="shared" si="50"/>
        <v>0.18571428571428572</v>
      </c>
      <c r="Q442" s="26">
        <f t="shared" si="51"/>
        <v>1.9787142857142856</v>
      </c>
      <c r="R442" s="29">
        <f t="shared" si="52"/>
        <v>10.654615384615385</v>
      </c>
      <c r="S442" s="30">
        <f t="shared" si="53"/>
        <v>3</v>
      </c>
      <c r="T442" s="30">
        <f t="shared" si="54"/>
        <v>2023</v>
      </c>
      <c r="U442" s="29" t="str">
        <f t="shared" si="55"/>
        <v>March</v>
      </c>
    </row>
    <row r="443" spans="1:21" ht="17.399999999999999" x14ac:dyDescent="0.3">
      <c r="A443" s="21" t="s">
        <v>1851</v>
      </c>
      <c r="B443" s="21" t="s">
        <v>1852</v>
      </c>
      <c r="C443" s="23" t="s">
        <v>3516</v>
      </c>
      <c r="D443" s="21" t="s">
        <v>3520</v>
      </c>
      <c r="E443" s="24">
        <v>45007</v>
      </c>
      <c r="F443" s="24">
        <v>45014</v>
      </c>
      <c r="G443" s="22" t="s">
        <v>16</v>
      </c>
      <c r="H443" s="25">
        <v>46587</v>
      </c>
      <c r="I443" s="25">
        <v>1987</v>
      </c>
      <c r="J443" s="26">
        <v>3205.91</v>
      </c>
      <c r="K443" s="25">
        <v>372</v>
      </c>
      <c r="L443" s="21" t="s">
        <v>21</v>
      </c>
      <c r="M443" s="22" t="s">
        <v>16</v>
      </c>
      <c r="N443" s="27">
        <f t="shared" si="48"/>
        <v>7</v>
      </c>
      <c r="O443" s="28">
        <f t="shared" si="49"/>
        <v>4.2651383433146589E-2</v>
      </c>
      <c r="P443" s="28">
        <f t="shared" si="50"/>
        <v>0.1872169099144439</v>
      </c>
      <c r="Q443" s="26">
        <f t="shared" si="51"/>
        <v>1.6134423754403622</v>
      </c>
      <c r="R443" s="29">
        <f t="shared" si="52"/>
        <v>8.6180376344086014</v>
      </c>
      <c r="S443" s="30">
        <f t="shared" si="53"/>
        <v>3</v>
      </c>
      <c r="T443" s="30">
        <f t="shared" si="54"/>
        <v>2023</v>
      </c>
      <c r="U443" s="29" t="str">
        <f t="shared" si="55"/>
        <v>March</v>
      </c>
    </row>
    <row r="444" spans="1:21" ht="17.399999999999999" x14ac:dyDescent="0.3">
      <c r="A444" s="21" t="s">
        <v>1143</v>
      </c>
      <c r="B444" s="21" t="s">
        <v>1144</v>
      </c>
      <c r="C444" s="23" t="s">
        <v>3516</v>
      </c>
      <c r="D444" s="21" t="s">
        <v>3517</v>
      </c>
      <c r="E444" s="24">
        <v>45008</v>
      </c>
      <c r="F444" s="24">
        <v>45026</v>
      </c>
      <c r="G444" s="22" t="s">
        <v>11</v>
      </c>
      <c r="H444" s="25">
        <v>85076</v>
      </c>
      <c r="I444" s="25">
        <v>1541</v>
      </c>
      <c r="J444" s="26">
        <v>1495.63</v>
      </c>
      <c r="K444" s="25">
        <v>232</v>
      </c>
      <c r="L444" s="21" t="s">
        <v>21</v>
      </c>
      <c r="M444" s="22" t="s">
        <v>11</v>
      </c>
      <c r="N444" s="27">
        <f t="shared" si="48"/>
        <v>18</v>
      </c>
      <c r="O444" s="28">
        <f t="shared" si="49"/>
        <v>1.8113216418261319E-2</v>
      </c>
      <c r="P444" s="28">
        <f t="shared" si="50"/>
        <v>0.15055158987670345</v>
      </c>
      <c r="Q444" s="26">
        <f t="shared" si="51"/>
        <v>0.97055807916937065</v>
      </c>
      <c r="R444" s="29">
        <f t="shared" si="52"/>
        <v>6.4466810344827588</v>
      </c>
      <c r="S444" s="30">
        <f t="shared" si="53"/>
        <v>3</v>
      </c>
      <c r="T444" s="30">
        <f t="shared" si="54"/>
        <v>2023</v>
      </c>
      <c r="U444" s="29" t="str">
        <f t="shared" si="55"/>
        <v>March</v>
      </c>
    </row>
    <row r="445" spans="1:21" ht="17.399999999999999" x14ac:dyDescent="0.3">
      <c r="A445" s="21" t="s">
        <v>29</v>
      </c>
      <c r="B445" s="21" t="s">
        <v>30</v>
      </c>
      <c r="C445" s="23" t="s">
        <v>3515</v>
      </c>
      <c r="D445" s="21" t="s">
        <v>3517</v>
      </c>
      <c r="E445" s="24">
        <v>45008</v>
      </c>
      <c r="F445" s="24">
        <v>45017</v>
      </c>
      <c r="G445" s="22" t="s">
        <v>31</v>
      </c>
      <c r="H445" s="25">
        <v>45131</v>
      </c>
      <c r="I445" s="25">
        <v>1179</v>
      </c>
      <c r="J445" s="26">
        <v>1046.18</v>
      </c>
      <c r="K445" s="25">
        <v>104</v>
      </c>
      <c r="L445" s="21" t="s">
        <v>21</v>
      </c>
      <c r="M445" s="22" t="s">
        <v>31</v>
      </c>
      <c r="N445" s="27">
        <f t="shared" si="48"/>
        <v>9</v>
      </c>
      <c r="O445" s="28">
        <f t="shared" si="49"/>
        <v>2.6123950278079369E-2</v>
      </c>
      <c r="P445" s="28">
        <f t="shared" si="50"/>
        <v>8.8210347752332482E-2</v>
      </c>
      <c r="Q445" s="26">
        <f t="shared" si="51"/>
        <v>0.88734520780322312</v>
      </c>
      <c r="R445" s="29">
        <f t="shared" si="52"/>
        <v>10.059423076923078</v>
      </c>
      <c r="S445" s="30">
        <f t="shared" si="53"/>
        <v>3</v>
      </c>
      <c r="T445" s="30">
        <f t="shared" si="54"/>
        <v>2023</v>
      </c>
      <c r="U445" s="29" t="str">
        <f t="shared" si="55"/>
        <v>March</v>
      </c>
    </row>
    <row r="446" spans="1:21" ht="17.399999999999999" x14ac:dyDescent="0.3">
      <c r="A446" s="21" t="s">
        <v>3491</v>
      </c>
      <c r="B446" s="22" t="s">
        <v>3660</v>
      </c>
      <c r="C446" s="23" t="s">
        <v>3515</v>
      </c>
      <c r="D446" s="22" t="s">
        <v>3545</v>
      </c>
      <c r="E446" s="24">
        <v>45008</v>
      </c>
      <c r="F446" s="24">
        <v>45012</v>
      </c>
      <c r="G446" s="22" t="s">
        <v>31</v>
      </c>
      <c r="H446" s="25">
        <v>32890</v>
      </c>
      <c r="I446" s="25">
        <v>392</v>
      </c>
      <c r="J446" s="26">
        <v>755.86</v>
      </c>
      <c r="K446" s="25">
        <v>33</v>
      </c>
      <c r="L446" s="21" t="s">
        <v>21</v>
      </c>
      <c r="M446" s="22" t="s">
        <v>31</v>
      </c>
      <c r="N446" s="27">
        <f t="shared" si="48"/>
        <v>4</v>
      </c>
      <c r="O446" s="28">
        <f t="shared" si="49"/>
        <v>1.1918516266342353E-2</v>
      </c>
      <c r="P446" s="28">
        <f t="shared" si="50"/>
        <v>8.4183673469387751E-2</v>
      </c>
      <c r="Q446" s="26">
        <f t="shared" si="51"/>
        <v>1.9282142857142857</v>
      </c>
      <c r="R446" s="29">
        <f t="shared" si="52"/>
        <v>22.904848484848486</v>
      </c>
      <c r="S446" s="30">
        <f t="shared" si="53"/>
        <v>3</v>
      </c>
      <c r="T446" s="30">
        <f t="shared" si="54"/>
        <v>2023</v>
      </c>
      <c r="U446" s="29" t="str">
        <f t="shared" si="55"/>
        <v>March</v>
      </c>
    </row>
    <row r="447" spans="1:21" ht="17.399999999999999" x14ac:dyDescent="0.3">
      <c r="A447" s="21" t="s">
        <v>2459</v>
      </c>
      <c r="B447" s="21" t="s">
        <v>2460</v>
      </c>
      <c r="C447" s="23" t="s">
        <v>3518</v>
      </c>
      <c r="D447" s="21" t="s">
        <v>3517</v>
      </c>
      <c r="E447" s="24">
        <v>45009</v>
      </c>
      <c r="F447" s="24">
        <v>45028</v>
      </c>
      <c r="G447" s="22" t="s">
        <v>14</v>
      </c>
      <c r="H447" s="25">
        <v>75532</v>
      </c>
      <c r="I447" s="25">
        <v>3262</v>
      </c>
      <c r="J447" s="26">
        <v>3472.8</v>
      </c>
      <c r="K447" s="25">
        <v>597</v>
      </c>
      <c r="L447" s="21" t="s">
        <v>21</v>
      </c>
      <c r="M447" s="22" t="s">
        <v>3537</v>
      </c>
      <c r="N447" s="27">
        <f t="shared" si="48"/>
        <v>19</v>
      </c>
      <c r="O447" s="28">
        <f t="shared" si="49"/>
        <v>4.3186993592119895E-2</v>
      </c>
      <c r="P447" s="28">
        <f t="shared" si="50"/>
        <v>0.18301655426118946</v>
      </c>
      <c r="Q447" s="26">
        <f t="shared" si="51"/>
        <v>1.0646229307173514</v>
      </c>
      <c r="R447" s="29">
        <f t="shared" si="52"/>
        <v>5.8170854271356784</v>
      </c>
      <c r="S447" s="30">
        <f t="shared" si="53"/>
        <v>3</v>
      </c>
      <c r="T447" s="30">
        <f t="shared" si="54"/>
        <v>2023</v>
      </c>
      <c r="U447" s="29" t="str">
        <f t="shared" si="55"/>
        <v>March</v>
      </c>
    </row>
    <row r="448" spans="1:21" ht="17.399999999999999" x14ac:dyDescent="0.3">
      <c r="A448" s="21" t="s">
        <v>2741</v>
      </c>
      <c r="B448" s="21" t="s">
        <v>2742</v>
      </c>
      <c r="C448" s="23" t="s">
        <v>3516</v>
      </c>
      <c r="D448" s="21" t="s">
        <v>3521</v>
      </c>
      <c r="E448" s="24">
        <v>45009</v>
      </c>
      <c r="F448" s="24">
        <v>45034</v>
      </c>
      <c r="G448" s="22" t="s">
        <v>11</v>
      </c>
      <c r="H448" s="25">
        <v>21662</v>
      </c>
      <c r="I448" s="25">
        <v>472</v>
      </c>
      <c r="J448" s="26">
        <v>602.24</v>
      </c>
      <c r="K448" s="25">
        <v>23</v>
      </c>
      <c r="L448" s="21" t="s">
        <v>17</v>
      </c>
      <c r="M448" s="22" t="s">
        <v>11</v>
      </c>
      <c r="N448" s="27">
        <f t="shared" si="48"/>
        <v>25</v>
      </c>
      <c r="O448" s="28">
        <f t="shared" si="49"/>
        <v>2.1789308466438926E-2</v>
      </c>
      <c r="P448" s="28">
        <f t="shared" si="50"/>
        <v>4.8728813559322036E-2</v>
      </c>
      <c r="Q448" s="26">
        <f t="shared" si="51"/>
        <v>1.2759322033898306</v>
      </c>
      <c r="R448" s="29">
        <f t="shared" si="52"/>
        <v>26.184347826086956</v>
      </c>
      <c r="S448" s="30">
        <f t="shared" si="53"/>
        <v>3</v>
      </c>
      <c r="T448" s="30">
        <f t="shared" si="54"/>
        <v>2023</v>
      </c>
      <c r="U448" s="29" t="str">
        <f t="shared" si="55"/>
        <v>March</v>
      </c>
    </row>
    <row r="449" spans="1:21" ht="17.399999999999999" x14ac:dyDescent="0.3">
      <c r="A449" s="21" t="s">
        <v>2045</v>
      </c>
      <c r="B449" s="22" t="s">
        <v>3661</v>
      </c>
      <c r="C449" s="23" t="s">
        <v>3519</v>
      </c>
      <c r="D449" s="22" t="s">
        <v>3545</v>
      </c>
      <c r="E449" s="24">
        <v>45010</v>
      </c>
      <c r="F449" s="24">
        <v>45024</v>
      </c>
      <c r="G449" s="22" t="s">
        <v>31</v>
      </c>
      <c r="H449" s="25">
        <v>20029</v>
      </c>
      <c r="I449" s="25">
        <v>977</v>
      </c>
      <c r="J449" s="26">
        <v>950.15</v>
      </c>
      <c r="K449" s="25">
        <v>108</v>
      </c>
      <c r="L449" s="21" t="s">
        <v>21</v>
      </c>
      <c r="M449" s="22" t="s">
        <v>31</v>
      </c>
      <c r="N449" s="27">
        <f t="shared" si="48"/>
        <v>14</v>
      </c>
      <c r="O449" s="28">
        <f t="shared" si="49"/>
        <v>4.87792700584153E-2</v>
      </c>
      <c r="P449" s="28">
        <f t="shared" si="50"/>
        <v>0.1105424769703173</v>
      </c>
      <c r="Q449" s="26">
        <f t="shared" si="51"/>
        <v>0.97251791197543502</v>
      </c>
      <c r="R449" s="29">
        <f t="shared" si="52"/>
        <v>8.7976851851851858</v>
      </c>
      <c r="S449" s="30">
        <f t="shared" si="53"/>
        <v>3</v>
      </c>
      <c r="T449" s="30">
        <f t="shared" si="54"/>
        <v>2023</v>
      </c>
      <c r="U449" s="29" t="str">
        <f t="shared" si="55"/>
        <v>March</v>
      </c>
    </row>
    <row r="450" spans="1:21" ht="17.399999999999999" x14ac:dyDescent="0.3">
      <c r="A450" s="21" t="s">
        <v>921</v>
      </c>
      <c r="B450" s="22" t="s">
        <v>3662</v>
      </c>
      <c r="C450" s="23" t="s">
        <v>3518</v>
      </c>
      <c r="D450" s="22" t="s">
        <v>3545</v>
      </c>
      <c r="E450" s="24">
        <v>45010</v>
      </c>
      <c r="F450" s="24">
        <v>45016</v>
      </c>
      <c r="G450" s="22" t="s">
        <v>11</v>
      </c>
      <c r="H450" s="25">
        <v>24049</v>
      </c>
      <c r="I450" s="25">
        <v>816</v>
      </c>
      <c r="J450" s="26">
        <v>501.72</v>
      </c>
      <c r="K450" s="25">
        <v>71</v>
      </c>
      <c r="L450" s="21" t="s">
        <v>21</v>
      </c>
      <c r="M450" s="22" t="s">
        <v>11</v>
      </c>
      <c r="N450" s="27">
        <f t="shared" ref="N450:N513" si="56">F450-E450</f>
        <v>6</v>
      </c>
      <c r="O450" s="28">
        <f t="shared" ref="O450:O513" si="57">I450/H450</f>
        <v>3.3930724770260719E-2</v>
      </c>
      <c r="P450" s="28">
        <f t="shared" ref="P450:P513" si="58">K450/I450</f>
        <v>8.7009803921568624E-2</v>
      </c>
      <c r="Q450" s="26">
        <f t="shared" ref="Q450:Q513" si="59">J450/I450</f>
        <v>0.6148529411764706</v>
      </c>
      <c r="R450" s="29">
        <f t="shared" ref="R450:R513" si="60">IFERROR(J450/K450,"0")</f>
        <v>7.0664788732394372</v>
      </c>
      <c r="S450" s="30">
        <f t="shared" ref="S450:S513" si="61">MONTH(E450)</f>
        <v>3</v>
      </c>
      <c r="T450" s="30">
        <f t="shared" ref="T450:T513" si="62">YEAR(E450)</f>
        <v>2023</v>
      </c>
      <c r="U450" s="29" t="str">
        <f t="shared" ref="U450:U513" si="63">TEXT(E450,"mmmm")</f>
        <v>March</v>
      </c>
    </row>
    <row r="451" spans="1:21" ht="17.399999999999999" x14ac:dyDescent="0.3">
      <c r="A451" s="21" t="s">
        <v>2176</v>
      </c>
      <c r="B451" s="22" t="s">
        <v>3663</v>
      </c>
      <c r="C451" s="23" t="s">
        <v>3515</v>
      </c>
      <c r="D451" s="22" t="s">
        <v>3545</v>
      </c>
      <c r="E451" s="24">
        <v>45010</v>
      </c>
      <c r="F451" s="24">
        <v>45039</v>
      </c>
      <c r="G451" s="22" t="s">
        <v>16</v>
      </c>
      <c r="H451" s="25">
        <v>58545</v>
      </c>
      <c r="I451" s="25">
        <v>821</v>
      </c>
      <c r="J451" s="26">
        <v>1405.2</v>
      </c>
      <c r="K451" s="25">
        <v>76</v>
      </c>
      <c r="L451" s="21" t="s">
        <v>21</v>
      </c>
      <c r="M451" s="22" t="s">
        <v>16</v>
      </c>
      <c r="N451" s="27">
        <f t="shared" si="56"/>
        <v>29</v>
      </c>
      <c r="O451" s="28">
        <f t="shared" si="57"/>
        <v>1.4023400802801265E-2</v>
      </c>
      <c r="P451" s="28">
        <f t="shared" si="58"/>
        <v>9.2570036540803896E-2</v>
      </c>
      <c r="Q451" s="26">
        <f t="shared" si="59"/>
        <v>1.7115712545676005</v>
      </c>
      <c r="R451" s="29">
        <f t="shared" si="60"/>
        <v>18.489473684210527</v>
      </c>
      <c r="S451" s="30">
        <f t="shared" si="61"/>
        <v>3</v>
      </c>
      <c r="T451" s="30">
        <f t="shared" si="62"/>
        <v>2023</v>
      </c>
      <c r="U451" s="29" t="str">
        <f t="shared" si="63"/>
        <v>March</v>
      </c>
    </row>
    <row r="452" spans="1:21" ht="17.399999999999999" x14ac:dyDescent="0.3">
      <c r="A452" s="21" t="s">
        <v>153</v>
      </c>
      <c r="B452" s="21" t="s">
        <v>154</v>
      </c>
      <c r="C452" s="23" t="s">
        <v>3518</v>
      </c>
      <c r="D452" s="21" t="s">
        <v>3521</v>
      </c>
      <c r="E452" s="24">
        <v>45011</v>
      </c>
      <c r="F452" s="24">
        <v>45019</v>
      </c>
      <c r="G452" s="22" t="s">
        <v>16</v>
      </c>
      <c r="H452" s="25">
        <v>90789</v>
      </c>
      <c r="I452" s="25">
        <v>4046</v>
      </c>
      <c r="J452" s="26">
        <v>5489.38</v>
      </c>
      <c r="K452" s="25">
        <v>299</v>
      </c>
      <c r="L452" s="21" t="s">
        <v>21</v>
      </c>
      <c r="M452" s="22" t="s">
        <v>16</v>
      </c>
      <c r="N452" s="27">
        <f t="shared" si="56"/>
        <v>8</v>
      </c>
      <c r="O452" s="28">
        <f t="shared" si="57"/>
        <v>4.4564870193525646E-2</v>
      </c>
      <c r="P452" s="28">
        <f t="shared" si="58"/>
        <v>7.3900148294611959E-2</v>
      </c>
      <c r="Q452" s="26">
        <f t="shared" si="59"/>
        <v>1.3567424616905586</v>
      </c>
      <c r="R452" s="29">
        <f t="shared" si="60"/>
        <v>18.35913043478261</v>
      </c>
      <c r="S452" s="30">
        <f t="shared" si="61"/>
        <v>3</v>
      </c>
      <c r="T452" s="30">
        <f t="shared" si="62"/>
        <v>2023</v>
      </c>
      <c r="U452" s="29" t="str">
        <f t="shared" si="63"/>
        <v>March</v>
      </c>
    </row>
    <row r="453" spans="1:21" ht="17.399999999999999" x14ac:dyDescent="0.3">
      <c r="A453" s="21" t="s">
        <v>1326</v>
      </c>
      <c r="B453" s="22" t="s">
        <v>3664</v>
      </c>
      <c r="C453" s="23" t="s">
        <v>3518</v>
      </c>
      <c r="D453" s="22" t="s">
        <v>3545</v>
      </c>
      <c r="E453" s="24">
        <v>45011</v>
      </c>
      <c r="F453" s="24">
        <v>45022</v>
      </c>
      <c r="G453" s="22" t="s">
        <v>31</v>
      </c>
      <c r="H453" s="25">
        <v>79859</v>
      </c>
      <c r="I453" s="25">
        <v>2387</v>
      </c>
      <c r="J453" s="26">
        <v>1411.94</v>
      </c>
      <c r="K453" s="25">
        <v>335</v>
      </c>
      <c r="L453" s="21" t="s">
        <v>17</v>
      </c>
      <c r="M453" s="22" t="s">
        <v>31</v>
      </c>
      <c r="N453" s="27">
        <f t="shared" si="56"/>
        <v>11</v>
      </c>
      <c r="O453" s="28">
        <f t="shared" si="57"/>
        <v>2.9890181444796455E-2</v>
      </c>
      <c r="P453" s="28">
        <f t="shared" si="58"/>
        <v>0.14034352744030162</v>
      </c>
      <c r="Q453" s="26">
        <f t="shared" si="59"/>
        <v>0.59151235860913287</v>
      </c>
      <c r="R453" s="29">
        <f t="shared" si="60"/>
        <v>4.2147462686567163</v>
      </c>
      <c r="S453" s="30">
        <f t="shared" si="61"/>
        <v>3</v>
      </c>
      <c r="T453" s="30">
        <f t="shared" si="62"/>
        <v>2023</v>
      </c>
      <c r="U453" s="29" t="str">
        <f t="shared" si="63"/>
        <v>March</v>
      </c>
    </row>
    <row r="454" spans="1:21" ht="17.399999999999999" x14ac:dyDescent="0.3">
      <c r="A454" s="21" t="s">
        <v>483</v>
      </c>
      <c r="B454" s="21" t="s">
        <v>484</v>
      </c>
      <c r="C454" s="23" t="s">
        <v>3516</v>
      </c>
      <c r="D454" s="21" t="s">
        <v>3520</v>
      </c>
      <c r="E454" s="24">
        <v>45011</v>
      </c>
      <c r="F454" s="24">
        <v>45032</v>
      </c>
      <c r="G454" s="22" t="s">
        <v>16</v>
      </c>
      <c r="H454" s="25">
        <v>40384</v>
      </c>
      <c r="I454" s="25">
        <v>1866</v>
      </c>
      <c r="J454" s="26">
        <v>2060.37</v>
      </c>
      <c r="K454" s="25">
        <v>278</v>
      </c>
      <c r="L454" s="21" t="s">
        <v>21</v>
      </c>
      <c r="M454" s="22" t="s">
        <v>16</v>
      </c>
      <c r="N454" s="27">
        <f t="shared" si="56"/>
        <v>21</v>
      </c>
      <c r="O454" s="28">
        <f t="shared" si="57"/>
        <v>4.6206418383518223E-2</v>
      </c>
      <c r="P454" s="28">
        <f t="shared" si="58"/>
        <v>0.14898177920685959</v>
      </c>
      <c r="Q454" s="26">
        <f t="shared" si="59"/>
        <v>1.1041639871382636</v>
      </c>
      <c r="R454" s="29">
        <f t="shared" si="60"/>
        <v>7.4114028776978413</v>
      </c>
      <c r="S454" s="30">
        <f t="shared" si="61"/>
        <v>3</v>
      </c>
      <c r="T454" s="30">
        <f t="shared" si="62"/>
        <v>2023</v>
      </c>
      <c r="U454" s="29" t="str">
        <f t="shared" si="63"/>
        <v>March</v>
      </c>
    </row>
    <row r="455" spans="1:21" ht="17.399999999999999" x14ac:dyDescent="0.3">
      <c r="A455" s="21" t="s">
        <v>2404</v>
      </c>
      <c r="B455" s="21" t="s">
        <v>2405</v>
      </c>
      <c r="C455" s="23" t="s">
        <v>3516</v>
      </c>
      <c r="D455" s="21" t="s">
        <v>3520</v>
      </c>
      <c r="E455" s="24">
        <v>45011</v>
      </c>
      <c r="F455" s="24">
        <v>45025</v>
      </c>
      <c r="G455" s="22" t="s">
        <v>3535</v>
      </c>
      <c r="H455" s="25">
        <v>77918</v>
      </c>
      <c r="I455" s="25">
        <v>1808</v>
      </c>
      <c r="J455" s="26">
        <v>1056.31</v>
      </c>
      <c r="K455" s="25">
        <v>307</v>
      </c>
      <c r="L455" s="21" t="s">
        <v>21</v>
      </c>
      <c r="M455" s="22" t="s">
        <v>3535</v>
      </c>
      <c r="N455" s="27">
        <f t="shared" si="56"/>
        <v>14</v>
      </c>
      <c r="O455" s="28">
        <f t="shared" si="57"/>
        <v>2.3203881003105831E-2</v>
      </c>
      <c r="P455" s="28">
        <f t="shared" si="58"/>
        <v>0.16980088495575221</v>
      </c>
      <c r="Q455" s="26">
        <f t="shared" si="59"/>
        <v>0.58424225663716811</v>
      </c>
      <c r="R455" s="29">
        <f t="shared" si="60"/>
        <v>3.4407491856677521</v>
      </c>
      <c r="S455" s="30">
        <f t="shared" si="61"/>
        <v>3</v>
      </c>
      <c r="T455" s="30">
        <f t="shared" si="62"/>
        <v>2023</v>
      </c>
      <c r="U455" s="29" t="str">
        <f t="shared" si="63"/>
        <v>March</v>
      </c>
    </row>
    <row r="456" spans="1:21" ht="17.399999999999999" x14ac:dyDescent="0.3">
      <c r="A456" s="21" t="s">
        <v>344</v>
      </c>
      <c r="B456" s="21" t="s">
        <v>345</v>
      </c>
      <c r="C456" s="23" t="s">
        <v>3515</v>
      </c>
      <c r="D456" s="21" t="s">
        <v>3521</v>
      </c>
      <c r="E456" s="24">
        <v>45011</v>
      </c>
      <c r="F456" s="24">
        <v>45018</v>
      </c>
      <c r="G456" s="22" t="s">
        <v>24</v>
      </c>
      <c r="H456" s="25">
        <v>6530</v>
      </c>
      <c r="I456" s="25">
        <v>83</v>
      </c>
      <c r="J456" s="26">
        <v>110.21</v>
      </c>
      <c r="K456" s="25">
        <v>15</v>
      </c>
      <c r="L456" s="21" t="s">
        <v>21</v>
      </c>
      <c r="M456" s="22" t="s">
        <v>3536</v>
      </c>
      <c r="N456" s="27">
        <f t="shared" si="56"/>
        <v>7</v>
      </c>
      <c r="O456" s="28">
        <f t="shared" si="57"/>
        <v>1.2710566615620214E-2</v>
      </c>
      <c r="P456" s="28">
        <f t="shared" si="58"/>
        <v>0.18072289156626506</v>
      </c>
      <c r="Q456" s="26">
        <f t="shared" si="59"/>
        <v>1.3278313253012048</v>
      </c>
      <c r="R456" s="29">
        <f t="shared" si="60"/>
        <v>7.3473333333333333</v>
      </c>
      <c r="S456" s="30">
        <f t="shared" si="61"/>
        <v>3</v>
      </c>
      <c r="T456" s="30">
        <f t="shared" si="62"/>
        <v>2023</v>
      </c>
      <c r="U456" s="29" t="str">
        <f t="shared" si="63"/>
        <v>March</v>
      </c>
    </row>
    <row r="457" spans="1:21" ht="17.399999999999999" x14ac:dyDescent="0.3">
      <c r="A457" s="21" t="s">
        <v>646</v>
      </c>
      <c r="B457" s="21" t="s">
        <v>647</v>
      </c>
      <c r="C457" s="23" t="s">
        <v>3515</v>
      </c>
      <c r="D457" s="21" t="s">
        <v>3520</v>
      </c>
      <c r="E457" s="24">
        <v>45011</v>
      </c>
      <c r="F457" s="24">
        <v>45021</v>
      </c>
      <c r="G457" s="22" t="s">
        <v>31</v>
      </c>
      <c r="H457" s="25">
        <v>37212</v>
      </c>
      <c r="I457" s="25">
        <v>839</v>
      </c>
      <c r="J457" s="26">
        <v>1470.43</v>
      </c>
      <c r="K457" s="25">
        <v>164</v>
      </c>
      <c r="L457" s="21" t="s">
        <v>17</v>
      </c>
      <c r="M457" s="22" t="s">
        <v>31</v>
      </c>
      <c r="N457" s="27">
        <f t="shared" si="56"/>
        <v>10</v>
      </c>
      <c r="O457" s="28">
        <f t="shared" si="57"/>
        <v>2.254649037944749E-2</v>
      </c>
      <c r="P457" s="28">
        <f t="shared" si="58"/>
        <v>0.19547079856972585</v>
      </c>
      <c r="Q457" s="26">
        <f t="shared" si="59"/>
        <v>1.7525983313468416</v>
      </c>
      <c r="R457" s="29">
        <f t="shared" si="60"/>
        <v>8.9660365853658544</v>
      </c>
      <c r="S457" s="30">
        <f t="shared" si="61"/>
        <v>3</v>
      </c>
      <c r="T457" s="30">
        <f t="shared" si="62"/>
        <v>2023</v>
      </c>
      <c r="U457" s="29" t="str">
        <f t="shared" si="63"/>
        <v>March</v>
      </c>
    </row>
    <row r="458" spans="1:21" ht="17.399999999999999" x14ac:dyDescent="0.3">
      <c r="A458" s="21" t="s">
        <v>1623</v>
      </c>
      <c r="B458" s="21" t="s">
        <v>1624</v>
      </c>
      <c r="C458" s="23" t="s">
        <v>3515</v>
      </c>
      <c r="D458" s="21" t="s">
        <v>3520</v>
      </c>
      <c r="E458" s="24">
        <v>45011</v>
      </c>
      <c r="F458" s="24">
        <v>45041</v>
      </c>
      <c r="G458" s="22" t="s">
        <v>16</v>
      </c>
      <c r="H458" s="25">
        <v>37668</v>
      </c>
      <c r="I458" s="25">
        <v>1639</v>
      </c>
      <c r="J458" s="26">
        <v>3195.76</v>
      </c>
      <c r="K458" s="25">
        <v>245</v>
      </c>
      <c r="L458" s="21" t="s">
        <v>17</v>
      </c>
      <c r="M458" s="22" t="s">
        <v>16</v>
      </c>
      <c r="N458" s="27">
        <f t="shared" si="56"/>
        <v>30</v>
      </c>
      <c r="O458" s="28">
        <f t="shared" si="57"/>
        <v>4.3511734097908039E-2</v>
      </c>
      <c r="P458" s="28">
        <f t="shared" si="58"/>
        <v>0.14948139109212935</v>
      </c>
      <c r="Q458" s="26">
        <f t="shared" si="59"/>
        <v>1.9498230628431972</v>
      </c>
      <c r="R458" s="29">
        <f t="shared" si="60"/>
        <v>13.04391836734694</v>
      </c>
      <c r="S458" s="30">
        <f t="shared" si="61"/>
        <v>3</v>
      </c>
      <c r="T458" s="30">
        <f t="shared" si="62"/>
        <v>2023</v>
      </c>
      <c r="U458" s="29" t="str">
        <f t="shared" si="63"/>
        <v>March</v>
      </c>
    </row>
    <row r="459" spans="1:21" ht="17.399999999999999" x14ac:dyDescent="0.3">
      <c r="A459" s="21" t="s">
        <v>466</v>
      </c>
      <c r="B459" s="21" t="s">
        <v>467</v>
      </c>
      <c r="C459" s="23" t="s">
        <v>3518</v>
      </c>
      <c r="D459" s="21" t="s">
        <v>3521</v>
      </c>
      <c r="E459" s="24">
        <v>45011</v>
      </c>
      <c r="F459" s="24">
        <v>45049</v>
      </c>
      <c r="G459" s="22" t="s">
        <v>31</v>
      </c>
      <c r="H459" s="25">
        <v>85896</v>
      </c>
      <c r="I459" s="25">
        <v>3181</v>
      </c>
      <c r="J459" s="26">
        <v>3576.14</v>
      </c>
      <c r="K459" s="25">
        <v>380</v>
      </c>
      <c r="L459" s="21" t="s">
        <v>17</v>
      </c>
      <c r="M459" s="22" t="s">
        <v>31</v>
      </c>
      <c r="N459" s="27">
        <f t="shared" si="56"/>
        <v>38</v>
      </c>
      <c r="O459" s="28">
        <f t="shared" si="57"/>
        <v>3.7033156375151345E-2</v>
      </c>
      <c r="P459" s="28">
        <f t="shared" si="58"/>
        <v>0.11945928953159383</v>
      </c>
      <c r="Q459" s="26">
        <f t="shared" si="59"/>
        <v>1.1242187991197736</v>
      </c>
      <c r="R459" s="29">
        <f t="shared" si="60"/>
        <v>9.4108947368421045</v>
      </c>
      <c r="S459" s="30">
        <f t="shared" si="61"/>
        <v>3</v>
      </c>
      <c r="T459" s="30">
        <f t="shared" si="62"/>
        <v>2023</v>
      </c>
      <c r="U459" s="29" t="str">
        <f t="shared" si="63"/>
        <v>March</v>
      </c>
    </row>
    <row r="460" spans="1:21" ht="17.399999999999999" x14ac:dyDescent="0.3">
      <c r="A460" s="21" t="s">
        <v>2693</v>
      </c>
      <c r="B460" s="21" t="s">
        <v>2694</v>
      </c>
      <c r="C460" s="23" t="s">
        <v>3519</v>
      </c>
      <c r="D460" s="21" t="s">
        <v>3517</v>
      </c>
      <c r="E460" s="24">
        <v>45012</v>
      </c>
      <c r="F460" s="24">
        <v>45036</v>
      </c>
      <c r="G460" s="22" t="s">
        <v>31</v>
      </c>
      <c r="H460" s="25">
        <v>9820</v>
      </c>
      <c r="I460" s="25">
        <v>109</v>
      </c>
      <c r="J460" s="26">
        <v>157.27000000000001</v>
      </c>
      <c r="K460" s="25">
        <v>7</v>
      </c>
      <c r="L460" s="21" t="s">
        <v>21</v>
      </c>
      <c r="M460" s="22" t="s">
        <v>31</v>
      </c>
      <c r="N460" s="27">
        <f t="shared" si="56"/>
        <v>24</v>
      </c>
      <c r="O460" s="28">
        <f t="shared" si="57"/>
        <v>1.1099796334012219E-2</v>
      </c>
      <c r="P460" s="28">
        <f t="shared" si="58"/>
        <v>6.4220183486238536E-2</v>
      </c>
      <c r="Q460" s="26">
        <f t="shared" si="59"/>
        <v>1.4428440366972477</v>
      </c>
      <c r="R460" s="29">
        <f t="shared" si="60"/>
        <v>22.467142857142857</v>
      </c>
      <c r="S460" s="30">
        <f t="shared" si="61"/>
        <v>3</v>
      </c>
      <c r="T460" s="30">
        <f t="shared" si="62"/>
        <v>2023</v>
      </c>
      <c r="U460" s="29" t="str">
        <f t="shared" si="63"/>
        <v>March</v>
      </c>
    </row>
    <row r="461" spans="1:21" ht="17.399999999999999" x14ac:dyDescent="0.3">
      <c r="A461" s="21" t="s">
        <v>1661</v>
      </c>
      <c r="B461" s="21" t="s">
        <v>1662</v>
      </c>
      <c r="C461" s="23" t="s">
        <v>3518</v>
      </c>
      <c r="D461" s="21" t="s">
        <v>3517</v>
      </c>
      <c r="E461" s="24">
        <v>45012</v>
      </c>
      <c r="F461" s="24">
        <v>45016</v>
      </c>
      <c r="G461" s="22" t="s">
        <v>11</v>
      </c>
      <c r="H461" s="25">
        <v>65291</v>
      </c>
      <c r="I461" s="25">
        <v>1542</v>
      </c>
      <c r="J461" s="26">
        <v>3051.17</v>
      </c>
      <c r="K461" s="25">
        <v>197</v>
      </c>
      <c r="L461" s="21" t="s">
        <v>17</v>
      </c>
      <c r="M461" s="22" t="s">
        <v>11</v>
      </c>
      <c r="N461" s="27">
        <f t="shared" si="56"/>
        <v>4</v>
      </c>
      <c r="O461" s="28">
        <f t="shared" si="57"/>
        <v>2.3617343891194804E-2</v>
      </c>
      <c r="P461" s="28">
        <f t="shared" si="58"/>
        <v>0.12775616083009078</v>
      </c>
      <c r="Q461" s="26">
        <f t="shared" si="59"/>
        <v>1.978709468223087</v>
      </c>
      <c r="R461" s="29">
        <f t="shared" si="60"/>
        <v>15.488172588832487</v>
      </c>
      <c r="S461" s="30">
        <f t="shared" si="61"/>
        <v>3</v>
      </c>
      <c r="T461" s="30">
        <f t="shared" si="62"/>
        <v>2023</v>
      </c>
      <c r="U461" s="29" t="str">
        <f t="shared" si="63"/>
        <v>March</v>
      </c>
    </row>
    <row r="462" spans="1:21" ht="17.399999999999999" x14ac:dyDescent="0.3">
      <c r="A462" s="21" t="s">
        <v>2109</v>
      </c>
      <c r="B462" s="21" t="s">
        <v>2110</v>
      </c>
      <c r="C462" s="23" t="s">
        <v>3516</v>
      </c>
      <c r="D462" s="21" t="s">
        <v>3517</v>
      </c>
      <c r="E462" s="24">
        <v>45012</v>
      </c>
      <c r="F462" s="24">
        <v>45040</v>
      </c>
      <c r="G462" s="22" t="s">
        <v>31</v>
      </c>
      <c r="H462" s="25">
        <v>57942</v>
      </c>
      <c r="I462" s="25">
        <v>650</v>
      </c>
      <c r="J462" s="26">
        <v>593.65</v>
      </c>
      <c r="K462" s="25">
        <v>84</v>
      </c>
      <c r="L462" s="21" t="s">
        <v>17</v>
      </c>
      <c r="M462" s="22" t="s">
        <v>31</v>
      </c>
      <c r="N462" s="27">
        <f t="shared" si="56"/>
        <v>28</v>
      </c>
      <c r="O462" s="28">
        <f t="shared" si="57"/>
        <v>1.1218114666390529E-2</v>
      </c>
      <c r="P462" s="28">
        <f t="shared" si="58"/>
        <v>0.12923076923076923</v>
      </c>
      <c r="Q462" s="26">
        <f t="shared" si="59"/>
        <v>0.91330769230769226</v>
      </c>
      <c r="R462" s="29">
        <f t="shared" si="60"/>
        <v>7.0672619047619047</v>
      </c>
      <c r="S462" s="30">
        <f t="shared" si="61"/>
        <v>3</v>
      </c>
      <c r="T462" s="30">
        <f t="shared" si="62"/>
        <v>2023</v>
      </c>
      <c r="U462" s="29" t="str">
        <f t="shared" si="63"/>
        <v>March</v>
      </c>
    </row>
    <row r="463" spans="1:21" ht="17.399999999999999" x14ac:dyDescent="0.3">
      <c r="A463" s="21" t="s">
        <v>2342</v>
      </c>
      <c r="B463" s="21" t="s">
        <v>2343</v>
      </c>
      <c r="C463" s="23" t="s">
        <v>3515</v>
      </c>
      <c r="D463" s="21" t="s">
        <v>3517</v>
      </c>
      <c r="E463" s="24">
        <v>45012</v>
      </c>
      <c r="F463" s="24">
        <v>45031</v>
      </c>
      <c r="G463" s="22" t="s">
        <v>11</v>
      </c>
      <c r="H463" s="25">
        <v>25160</v>
      </c>
      <c r="I463" s="25">
        <v>1116</v>
      </c>
      <c r="J463" s="26">
        <v>705.57</v>
      </c>
      <c r="K463" s="25">
        <v>127</v>
      </c>
      <c r="L463" s="21" t="s">
        <v>21</v>
      </c>
      <c r="M463" s="22" t="s">
        <v>11</v>
      </c>
      <c r="N463" s="27">
        <f t="shared" si="56"/>
        <v>19</v>
      </c>
      <c r="O463" s="28">
        <f t="shared" si="57"/>
        <v>4.4356120826709061E-2</v>
      </c>
      <c r="P463" s="28">
        <f t="shared" si="58"/>
        <v>0.11379928315412187</v>
      </c>
      <c r="Q463" s="26">
        <f t="shared" si="59"/>
        <v>0.63223118279569901</v>
      </c>
      <c r="R463" s="29">
        <f t="shared" si="60"/>
        <v>5.5556692913385834</v>
      </c>
      <c r="S463" s="30">
        <f t="shared" si="61"/>
        <v>3</v>
      </c>
      <c r="T463" s="30">
        <f t="shared" si="62"/>
        <v>2023</v>
      </c>
      <c r="U463" s="29" t="str">
        <f t="shared" si="63"/>
        <v>March</v>
      </c>
    </row>
    <row r="464" spans="1:21" ht="17.399999999999999" x14ac:dyDescent="0.3">
      <c r="A464" s="21" t="s">
        <v>2886</v>
      </c>
      <c r="B464" s="21" t="s">
        <v>2887</v>
      </c>
      <c r="C464" s="23" t="s">
        <v>3515</v>
      </c>
      <c r="D464" s="21" t="s">
        <v>3517</v>
      </c>
      <c r="E464" s="24">
        <v>45012</v>
      </c>
      <c r="F464" s="24">
        <v>45040</v>
      </c>
      <c r="G464" s="22" t="s">
        <v>3535</v>
      </c>
      <c r="H464" s="25">
        <v>39197</v>
      </c>
      <c r="I464" s="25">
        <v>1444</v>
      </c>
      <c r="J464" s="26">
        <v>1872.92</v>
      </c>
      <c r="K464" s="25">
        <v>267</v>
      </c>
      <c r="L464" s="21" t="s">
        <v>17</v>
      </c>
      <c r="M464" s="22" t="s">
        <v>3535</v>
      </c>
      <c r="N464" s="27">
        <f t="shared" si="56"/>
        <v>28</v>
      </c>
      <c r="O464" s="28">
        <f t="shared" si="57"/>
        <v>3.6839554047503636E-2</v>
      </c>
      <c r="P464" s="28">
        <f t="shared" si="58"/>
        <v>0.18490304709141275</v>
      </c>
      <c r="Q464" s="26">
        <f t="shared" si="59"/>
        <v>1.2970360110803325</v>
      </c>
      <c r="R464" s="29">
        <f t="shared" si="60"/>
        <v>7.0146816479400753</v>
      </c>
      <c r="S464" s="30">
        <f t="shared" si="61"/>
        <v>3</v>
      </c>
      <c r="T464" s="30">
        <f t="shared" si="62"/>
        <v>2023</v>
      </c>
      <c r="U464" s="29" t="str">
        <f t="shared" si="63"/>
        <v>March</v>
      </c>
    </row>
    <row r="465" spans="1:21" ht="17.399999999999999" x14ac:dyDescent="0.3">
      <c r="A465" s="21" t="s">
        <v>286</v>
      </c>
      <c r="B465" s="21" t="s">
        <v>287</v>
      </c>
      <c r="C465" s="23" t="s">
        <v>3518</v>
      </c>
      <c r="D465" s="21" t="s">
        <v>3520</v>
      </c>
      <c r="E465" s="24">
        <v>45013</v>
      </c>
      <c r="F465" s="24">
        <v>45021</v>
      </c>
      <c r="G465" s="22" t="s">
        <v>14</v>
      </c>
      <c r="H465" s="25">
        <v>63623</v>
      </c>
      <c r="I465" s="25">
        <v>1471</v>
      </c>
      <c r="J465" s="26">
        <v>908.84</v>
      </c>
      <c r="K465" s="25">
        <v>274</v>
      </c>
      <c r="L465" s="21" t="s">
        <v>21</v>
      </c>
      <c r="M465" s="22" t="s">
        <v>3537</v>
      </c>
      <c r="N465" s="27">
        <f t="shared" si="56"/>
        <v>8</v>
      </c>
      <c r="O465" s="28">
        <f t="shared" si="57"/>
        <v>2.3120569605331404E-2</v>
      </c>
      <c r="P465" s="28">
        <f t="shared" si="58"/>
        <v>0.18626784500339905</v>
      </c>
      <c r="Q465" s="26">
        <f t="shared" si="59"/>
        <v>0.61783820530251532</v>
      </c>
      <c r="R465" s="29">
        <f t="shared" si="60"/>
        <v>3.3169343065693431</v>
      </c>
      <c r="S465" s="30">
        <f t="shared" si="61"/>
        <v>3</v>
      </c>
      <c r="T465" s="30">
        <f t="shared" si="62"/>
        <v>2023</v>
      </c>
      <c r="U465" s="29" t="str">
        <f t="shared" si="63"/>
        <v>March</v>
      </c>
    </row>
    <row r="466" spans="1:21" ht="17.399999999999999" x14ac:dyDescent="0.3">
      <c r="A466" s="21" t="s">
        <v>1546</v>
      </c>
      <c r="B466" s="21" t="s">
        <v>1547</v>
      </c>
      <c r="C466" s="23" t="s">
        <v>3515</v>
      </c>
      <c r="D466" s="21" t="s">
        <v>3521</v>
      </c>
      <c r="E466" s="24">
        <v>45013</v>
      </c>
      <c r="F466" s="24">
        <v>45040</v>
      </c>
      <c r="G466" s="22" t="s">
        <v>31</v>
      </c>
      <c r="H466" s="25">
        <v>95456</v>
      </c>
      <c r="I466" s="25">
        <v>2403</v>
      </c>
      <c r="J466" s="26">
        <v>3629.86</v>
      </c>
      <c r="K466" s="25">
        <v>171</v>
      </c>
      <c r="L466" s="21" t="s">
        <v>17</v>
      </c>
      <c r="M466" s="22" t="s">
        <v>31</v>
      </c>
      <c r="N466" s="27">
        <f t="shared" si="56"/>
        <v>27</v>
      </c>
      <c r="O466" s="28">
        <f t="shared" si="57"/>
        <v>2.5173902111967818E-2</v>
      </c>
      <c r="P466" s="28">
        <f t="shared" si="58"/>
        <v>7.116104868913857E-2</v>
      </c>
      <c r="Q466" s="26">
        <f t="shared" si="59"/>
        <v>1.5105534748231377</v>
      </c>
      <c r="R466" s="29">
        <f t="shared" si="60"/>
        <v>21.227251461988306</v>
      </c>
      <c r="S466" s="30">
        <f t="shared" si="61"/>
        <v>3</v>
      </c>
      <c r="T466" s="30">
        <f t="shared" si="62"/>
        <v>2023</v>
      </c>
      <c r="U466" s="29" t="str">
        <f t="shared" si="63"/>
        <v>March</v>
      </c>
    </row>
    <row r="467" spans="1:21" ht="17.399999999999999" x14ac:dyDescent="0.3">
      <c r="A467" s="21" t="s">
        <v>3162</v>
      </c>
      <c r="B467" s="22" t="s">
        <v>3665</v>
      </c>
      <c r="C467" s="23" t="s">
        <v>3515</v>
      </c>
      <c r="D467" s="22" t="s">
        <v>3545</v>
      </c>
      <c r="E467" s="24">
        <v>45013</v>
      </c>
      <c r="F467" s="24">
        <v>45031</v>
      </c>
      <c r="G467" s="22" t="s">
        <v>24</v>
      </c>
      <c r="H467" s="25">
        <v>22195</v>
      </c>
      <c r="I467" s="25">
        <v>552</v>
      </c>
      <c r="J467" s="26">
        <v>538.79999999999995</v>
      </c>
      <c r="K467" s="25">
        <v>0</v>
      </c>
      <c r="L467" s="21" t="s">
        <v>21</v>
      </c>
      <c r="M467" s="22" t="s">
        <v>3536</v>
      </c>
      <c r="N467" s="27">
        <f t="shared" si="56"/>
        <v>18</v>
      </c>
      <c r="O467" s="28">
        <f t="shared" si="57"/>
        <v>2.4870466321243522E-2</v>
      </c>
      <c r="P467" s="28">
        <f t="shared" si="58"/>
        <v>0</v>
      </c>
      <c r="Q467" s="26">
        <f t="shared" si="59"/>
        <v>0.97608695652173905</v>
      </c>
      <c r="R467" s="29" t="str">
        <f t="shared" si="60"/>
        <v>0</v>
      </c>
      <c r="S467" s="30">
        <f t="shared" si="61"/>
        <v>3</v>
      </c>
      <c r="T467" s="30">
        <f t="shared" si="62"/>
        <v>2023</v>
      </c>
      <c r="U467" s="29" t="str">
        <f t="shared" si="63"/>
        <v>March</v>
      </c>
    </row>
    <row r="468" spans="1:21" ht="17.399999999999999" x14ac:dyDescent="0.3">
      <c r="A468" s="21" t="s">
        <v>1189</v>
      </c>
      <c r="B468" s="22" t="s">
        <v>3666</v>
      </c>
      <c r="C468" s="23" t="s">
        <v>3516</v>
      </c>
      <c r="D468" s="22" t="s">
        <v>3545</v>
      </c>
      <c r="E468" s="24">
        <v>45013</v>
      </c>
      <c r="F468" s="24">
        <v>45080</v>
      </c>
      <c r="G468" s="22" t="s">
        <v>14</v>
      </c>
      <c r="H468" s="25">
        <v>94105</v>
      </c>
      <c r="I468" s="25">
        <v>1156</v>
      </c>
      <c r="J468" s="26">
        <v>1063.08</v>
      </c>
      <c r="K468" s="25">
        <v>223</v>
      </c>
      <c r="L468" s="21" t="s">
        <v>21</v>
      </c>
      <c r="M468" s="22" t="s">
        <v>3537</v>
      </c>
      <c r="N468" s="27">
        <f t="shared" si="56"/>
        <v>67</v>
      </c>
      <c r="O468" s="28">
        <f t="shared" si="57"/>
        <v>1.2284150682747994E-2</v>
      </c>
      <c r="P468" s="28">
        <f t="shared" si="58"/>
        <v>0.19290657439446368</v>
      </c>
      <c r="Q468" s="26">
        <f t="shared" si="59"/>
        <v>0.91961937716262965</v>
      </c>
      <c r="R468" s="29">
        <f t="shared" si="60"/>
        <v>4.7671748878923763</v>
      </c>
      <c r="S468" s="30">
        <f t="shared" si="61"/>
        <v>3</v>
      </c>
      <c r="T468" s="30">
        <f t="shared" si="62"/>
        <v>2023</v>
      </c>
      <c r="U468" s="29" t="str">
        <f t="shared" si="63"/>
        <v>March</v>
      </c>
    </row>
    <row r="469" spans="1:21" ht="17.399999999999999" x14ac:dyDescent="0.3">
      <c r="A469" s="21" t="s">
        <v>1486</v>
      </c>
      <c r="B469" s="21" t="s">
        <v>1487</v>
      </c>
      <c r="C469" s="23" t="s">
        <v>3518</v>
      </c>
      <c r="D469" s="21" t="s">
        <v>3520</v>
      </c>
      <c r="E469" s="24">
        <v>45014</v>
      </c>
      <c r="F469" s="24">
        <v>45025</v>
      </c>
      <c r="G469" s="22" t="s">
        <v>11</v>
      </c>
      <c r="H469" s="25">
        <v>44125</v>
      </c>
      <c r="I469" s="25">
        <v>1209</v>
      </c>
      <c r="J469" s="26">
        <v>1607.57</v>
      </c>
      <c r="K469" s="25">
        <v>227</v>
      </c>
      <c r="L469" s="21" t="s">
        <v>21</v>
      </c>
      <c r="M469" s="22" t="s">
        <v>11</v>
      </c>
      <c r="N469" s="27">
        <f t="shared" si="56"/>
        <v>11</v>
      </c>
      <c r="O469" s="28">
        <f t="shared" si="57"/>
        <v>2.7399433427762038E-2</v>
      </c>
      <c r="P469" s="28">
        <f t="shared" si="58"/>
        <v>0.18775847808105872</v>
      </c>
      <c r="Q469" s="26">
        <f t="shared" si="59"/>
        <v>1.3296691480562448</v>
      </c>
      <c r="R469" s="29">
        <f t="shared" si="60"/>
        <v>7.081806167400881</v>
      </c>
      <c r="S469" s="30">
        <f t="shared" si="61"/>
        <v>3</v>
      </c>
      <c r="T469" s="30">
        <f t="shared" si="62"/>
        <v>2023</v>
      </c>
      <c r="U469" s="29" t="str">
        <f t="shared" si="63"/>
        <v>March</v>
      </c>
    </row>
    <row r="470" spans="1:21" ht="17.399999999999999" x14ac:dyDescent="0.3">
      <c r="A470" s="21" t="s">
        <v>2078</v>
      </c>
      <c r="B470" s="21" t="s">
        <v>2079</v>
      </c>
      <c r="C470" s="23" t="s">
        <v>3518</v>
      </c>
      <c r="D470" s="21" t="s">
        <v>3520</v>
      </c>
      <c r="E470" s="24">
        <v>45014</v>
      </c>
      <c r="F470" s="24">
        <v>45029</v>
      </c>
      <c r="G470" s="22" t="s">
        <v>16</v>
      </c>
      <c r="H470" s="25">
        <v>17478</v>
      </c>
      <c r="I470" s="25">
        <v>595</v>
      </c>
      <c r="J470" s="26">
        <v>916.91</v>
      </c>
      <c r="K470" s="25">
        <v>83</v>
      </c>
      <c r="L470" s="21" t="s">
        <v>17</v>
      </c>
      <c r="M470" s="22" t="s">
        <v>16</v>
      </c>
      <c r="N470" s="27">
        <f t="shared" si="56"/>
        <v>15</v>
      </c>
      <c r="O470" s="28">
        <f t="shared" si="57"/>
        <v>3.4042796658656595E-2</v>
      </c>
      <c r="P470" s="28">
        <f t="shared" si="58"/>
        <v>0.13949579831932774</v>
      </c>
      <c r="Q470" s="26">
        <f t="shared" si="59"/>
        <v>1.5410252100840336</v>
      </c>
      <c r="R470" s="29">
        <f t="shared" si="60"/>
        <v>11.047108433734939</v>
      </c>
      <c r="S470" s="30">
        <f t="shared" si="61"/>
        <v>3</v>
      </c>
      <c r="T470" s="30">
        <f t="shared" si="62"/>
        <v>2023</v>
      </c>
      <c r="U470" s="29" t="str">
        <f t="shared" si="63"/>
        <v>March</v>
      </c>
    </row>
    <row r="471" spans="1:21" ht="17.399999999999999" x14ac:dyDescent="0.3">
      <c r="A471" s="21" t="s">
        <v>2917</v>
      </c>
      <c r="B471" s="21" t="s">
        <v>2918</v>
      </c>
      <c r="C471" s="23" t="s">
        <v>3518</v>
      </c>
      <c r="D471" s="21" t="s">
        <v>3520</v>
      </c>
      <c r="E471" s="24">
        <v>45014</v>
      </c>
      <c r="F471" s="24">
        <v>45019</v>
      </c>
      <c r="G471" s="22" t="s">
        <v>24</v>
      </c>
      <c r="H471" s="25">
        <v>63483</v>
      </c>
      <c r="I471" s="25">
        <v>1991</v>
      </c>
      <c r="J471" s="26">
        <v>3200.04</v>
      </c>
      <c r="K471" s="25">
        <v>0</v>
      </c>
      <c r="L471" s="21" t="s">
        <v>21</v>
      </c>
      <c r="M471" s="22" t="s">
        <v>3536</v>
      </c>
      <c r="N471" s="27">
        <f t="shared" si="56"/>
        <v>5</v>
      </c>
      <c r="O471" s="28">
        <f t="shared" si="57"/>
        <v>3.136272702928343E-2</v>
      </c>
      <c r="P471" s="28">
        <f t="shared" si="58"/>
        <v>0</v>
      </c>
      <c r="Q471" s="26">
        <f t="shared" si="59"/>
        <v>1.6072526368658966</v>
      </c>
      <c r="R471" s="29" t="str">
        <f t="shared" si="60"/>
        <v>0</v>
      </c>
      <c r="S471" s="30">
        <f t="shared" si="61"/>
        <v>3</v>
      </c>
      <c r="T471" s="30">
        <f t="shared" si="62"/>
        <v>2023</v>
      </c>
      <c r="U471" s="29" t="str">
        <f t="shared" si="63"/>
        <v>March</v>
      </c>
    </row>
    <row r="472" spans="1:21" ht="17.399999999999999" x14ac:dyDescent="0.3">
      <c r="A472" s="21" t="s">
        <v>3480</v>
      </c>
      <c r="B472" s="22" t="s">
        <v>3667</v>
      </c>
      <c r="C472" s="23" t="s">
        <v>3518</v>
      </c>
      <c r="D472" s="22" t="s">
        <v>3545</v>
      </c>
      <c r="E472" s="24">
        <v>45014</v>
      </c>
      <c r="F472" s="24">
        <v>45043</v>
      </c>
      <c r="G472" s="22" t="s">
        <v>14</v>
      </c>
      <c r="H472" s="25">
        <v>73715</v>
      </c>
      <c r="I472" s="25">
        <v>3188</v>
      </c>
      <c r="J472" s="26">
        <v>1835.53</v>
      </c>
      <c r="K472" s="25">
        <v>479</v>
      </c>
      <c r="L472" s="21" t="s">
        <v>17</v>
      </c>
      <c r="M472" s="22" t="s">
        <v>3537</v>
      </c>
      <c r="N472" s="27">
        <f t="shared" si="56"/>
        <v>29</v>
      </c>
      <c r="O472" s="28">
        <f t="shared" si="57"/>
        <v>4.3247642949196231E-2</v>
      </c>
      <c r="P472" s="28">
        <f t="shared" si="58"/>
        <v>0.15025094102885822</v>
      </c>
      <c r="Q472" s="26">
        <f t="shared" si="59"/>
        <v>0.57576223337515686</v>
      </c>
      <c r="R472" s="29">
        <f t="shared" si="60"/>
        <v>3.8320041753653444</v>
      </c>
      <c r="S472" s="30">
        <f t="shared" si="61"/>
        <v>3</v>
      </c>
      <c r="T472" s="30">
        <f t="shared" si="62"/>
        <v>2023</v>
      </c>
      <c r="U472" s="29" t="str">
        <f t="shared" si="63"/>
        <v>March</v>
      </c>
    </row>
    <row r="473" spans="1:21" ht="17.399999999999999" x14ac:dyDescent="0.3">
      <c r="A473" s="21" t="s">
        <v>602</v>
      </c>
      <c r="B473" s="21" t="s">
        <v>603</v>
      </c>
      <c r="C473" s="23" t="s">
        <v>3516</v>
      </c>
      <c r="D473" s="21" t="s">
        <v>3517</v>
      </c>
      <c r="E473" s="24">
        <v>45014</v>
      </c>
      <c r="F473" s="24">
        <v>45016</v>
      </c>
      <c r="G473" s="22" t="s">
        <v>24</v>
      </c>
      <c r="H473" s="25">
        <v>80909</v>
      </c>
      <c r="I473" s="25">
        <v>3635</v>
      </c>
      <c r="J473" s="26">
        <v>6035.3</v>
      </c>
      <c r="K473" s="25">
        <v>368</v>
      </c>
      <c r="L473" s="21" t="s">
        <v>17</v>
      </c>
      <c r="M473" s="22" t="s">
        <v>3536</v>
      </c>
      <c r="N473" s="27">
        <f t="shared" si="56"/>
        <v>2</v>
      </c>
      <c r="O473" s="28">
        <f t="shared" si="57"/>
        <v>4.4927016771928958E-2</v>
      </c>
      <c r="P473" s="28">
        <f t="shared" si="58"/>
        <v>0.10123796423658872</v>
      </c>
      <c r="Q473" s="26">
        <f t="shared" si="59"/>
        <v>1.6603301237964236</v>
      </c>
      <c r="R473" s="29">
        <f t="shared" si="60"/>
        <v>16.400271739130435</v>
      </c>
      <c r="S473" s="30">
        <f t="shared" si="61"/>
        <v>3</v>
      </c>
      <c r="T473" s="30">
        <f t="shared" si="62"/>
        <v>2023</v>
      </c>
      <c r="U473" s="29" t="str">
        <f t="shared" si="63"/>
        <v>March</v>
      </c>
    </row>
    <row r="474" spans="1:21" ht="17.399999999999999" x14ac:dyDescent="0.3">
      <c r="A474" s="21" t="s">
        <v>2050</v>
      </c>
      <c r="B474" s="21" t="s">
        <v>2051</v>
      </c>
      <c r="C474" s="23" t="s">
        <v>3516</v>
      </c>
      <c r="D474" s="21" t="s">
        <v>3520</v>
      </c>
      <c r="E474" s="24">
        <v>45014</v>
      </c>
      <c r="F474" s="24">
        <v>45028</v>
      </c>
      <c r="G474" s="22" t="s">
        <v>3535</v>
      </c>
      <c r="H474" s="25">
        <v>44872</v>
      </c>
      <c r="I474" s="25">
        <v>616</v>
      </c>
      <c r="J474" s="26">
        <v>1072.6099999999999</v>
      </c>
      <c r="K474" s="25">
        <v>0</v>
      </c>
      <c r="L474" s="21" t="s">
        <v>17</v>
      </c>
      <c r="M474" s="22" t="s">
        <v>3535</v>
      </c>
      <c r="N474" s="27">
        <f t="shared" si="56"/>
        <v>14</v>
      </c>
      <c r="O474" s="28">
        <f t="shared" si="57"/>
        <v>1.3727937243715457E-2</v>
      </c>
      <c r="P474" s="28">
        <f t="shared" si="58"/>
        <v>0</v>
      </c>
      <c r="Q474" s="26">
        <f t="shared" si="59"/>
        <v>1.7412499999999997</v>
      </c>
      <c r="R474" s="29" t="str">
        <f t="shared" si="60"/>
        <v>0</v>
      </c>
      <c r="S474" s="30">
        <f t="shared" si="61"/>
        <v>3</v>
      </c>
      <c r="T474" s="30">
        <f t="shared" si="62"/>
        <v>2023</v>
      </c>
      <c r="U474" s="29" t="str">
        <f t="shared" si="63"/>
        <v>March</v>
      </c>
    </row>
    <row r="475" spans="1:21" ht="17.399999999999999" x14ac:dyDescent="0.3">
      <c r="A475" s="21" t="s">
        <v>2583</v>
      </c>
      <c r="B475" s="21" t="s">
        <v>2584</v>
      </c>
      <c r="C475" s="23" t="s">
        <v>3516</v>
      </c>
      <c r="D475" s="21" t="s">
        <v>3517</v>
      </c>
      <c r="E475" s="24">
        <v>45014</v>
      </c>
      <c r="F475" s="24">
        <v>45019</v>
      </c>
      <c r="G475" s="22" t="s">
        <v>24</v>
      </c>
      <c r="H475" s="25">
        <v>48304</v>
      </c>
      <c r="I475" s="25">
        <v>2324</v>
      </c>
      <c r="J475" s="26">
        <v>4090.23</v>
      </c>
      <c r="K475" s="25">
        <v>0</v>
      </c>
      <c r="L475" s="21" t="s">
        <v>21</v>
      </c>
      <c r="M475" s="22" t="s">
        <v>3536</v>
      </c>
      <c r="N475" s="27">
        <f t="shared" si="56"/>
        <v>5</v>
      </c>
      <c r="O475" s="28">
        <f t="shared" si="57"/>
        <v>4.8111957601854917E-2</v>
      </c>
      <c r="P475" s="28">
        <f t="shared" si="58"/>
        <v>0</v>
      </c>
      <c r="Q475" s="26">
        <f t="shared" si="59"/>
        <v>1.7599956970740103</v>
      </c>
      <c r="R475" s="29" t="str">
        <f t="shared" si="60"/>
        <v>0</v>
      </c>
      <c r="S475" s="30">
        <f t="shared" si="61"/>
        <v>3</v>
      </c>
      <c r="T475" s="30">
        <f t="shared" si="62"/>
        <v>2023</v>
      </c>
      <c r="U475" s="29" t="str">
        <f t="shared" si="63"/>
        <v>March</v>
      </c>
    </row>
    <row r="476" spans="1:21" ht="17.399999999999999" x14ac:dyDescent="0.3">
      <c r="A476" s="21" t="s">
        <v>3116</v>
      </c>
      <c r="B476" s="22" t="s">
        <v>3668</v>
      </c>
      <c r="C476" s="23" t="s">
        <v>3518</v>
      </c>
      <c r="D476" s="22" t="s">
        <v>3545</v>
      </c>
      <c r="E476" s="24">
        <v>45015</v>
      </c>
      <c r="F476" s="24">
        <v>45020</v>
      </c>
      <c r="G476" s="22" t="s">
        <v>14</v>
      </c>
      <c r="H476" s="25">
        <v>88272</v>
      </c>
      <c r="I476" s="25">
        <v>1180</v>
      </c>
      <c r="J476" s="26">
        <v>1202.77</v>
      </c>
      <c r="K476" s="25">
        <v>235</v>
      </c>
      <c r="L476" s="21" t="s">
        <v>21</v>
      </c>
      <c r="M476" s="22" t="s">
        <v>3537</v>
      </c>
      <c r="N476" s="27">
        <f t="shared" si="56"/>
        <v>5</v>
      </c>
      <c r="O476" s="28">
        <f t="shared" si="57"/>
        <v>1.3367772340039876E-2</v>
      </c>
      <c r="P476" s="28">
        <f t="shared" si="58"/>
        <v>0.19915254237288135</v>
      </c>
      <c r="Q476" s="26">
        <f t="shared" si="59"/>
        <v>1.0192966101694916</v>
      </c>
      <c r="R476" s="29">
        <f t="shared" si="60"/>
        <v>5.118170212765957</v>
      </c>
      <c r="S476" s="30">
        <f t="shared" si="61"/>
        <v>3</v>
      </c>
      <c r="T476" s="30">
        <f t="shared" si="62"/>
        <v>2023</v>
      </c>
      <c r="U476" s="29" t="str">
        <f t="shared" si="63"/>
        <v>March</v>
      </c>
    </row>
    <row r="477" spans="1:21" ht="17.399999999999999" x14ac:dyDescent="0.3">
      <c r="A477" s="21" t="s">
        <v>2487</v>
      </c>
      <c r="B477" s="21" t="s">
        <v>2488</v>
      </c>
      <c r="C477" s="23" t="s">
        <v>3516</v>
      </c>
      <c r="D477" s="21" t="s">
        <v>3521</v>
      </c>
      <c r="E477" s="24">
        <v>45015</v>
      </c>
      <c r="F477" s="24">
        <v>45039</v>
      </c>
      <c r="G477" s="22" t="s">
        <v>24</v>
      </c>
      <c r="H477" s="25">
        <v>49756</v>
      </c>
      <c r="I477" s="25">
        <v>1553</v>
      </c>
      <c r="J477" s="26">
        <v>1493.29</v>
      </c>
      <c r="K477" s="25">
        <v>242</v>
      </c>
      <c r="L477" s="21" t="s">
        <v>21</v>
      </c>
      <c r="M477" s="22" t="s">
        <v>3536</v>
      </c>
      <c r="N477" s="27">
        <f t="shared" si="56"/>
        <v>24</v>
      </c>
      <c r="O477" s="28">
        <f t="shared" si="57"/>
        <v>3.1212316102580594E-2</v>
      </c>
      <c r="P477" s="28">
        <f t="shared" si="58"/>
        <v>0.15582743077913716</v>
      </c>
      <c r="Q477" s="26">
        <f t="shared" si="59"/>
        <v>0.9615518351577591</v>
      </c>
      <c r="R477" s="29">
        <f t="shared" si="60"/>
        <v>6.1706198347107435</v>
      </c>
      <c r="S477" s="30">
        <f t="shared" si="61"/>
        <v>3</v>
      </c>
      <c r="T477" s="30">
        <f t="shared" si="62"/>
        <v>2023</v>
      </c>
      <c r="U477" s="29" t="str">
        <f t="shared" si="63"/>
        <v>March</v>
      </c>
    </row>
    <row r="478" spans="1:21" ht="17.399999999999999" x14ac:dyDescent="0.3">
      <c r="A478" s="21" t="s">
        <v>1978</v>
      </c>
      <c r="B478" s="22" t="s">
        <v>3669</v>
      </c>
      <c r="C478" s="23" t="s">
        <v>3515</v>
      </c>
      <c r="D478" s="22" t="s">
        <v>3545</v>
      </c>
      <c r="E478" s="24">
        <v>45015</v>
      </c>
      <c r="F478" s="24">
        <v>45043</v>
      </c>
      <c r="G478" s="22" t="s">
        <v>14</v>
      </c>
      <c r="H478" s="25">
        <v>68728</v>
      </c>
      <c r="I478" s="25">
        <v>2960</v>
      </c>
      <c r="J478" s="26">
        <v>4198.5</v>
      </c>
      <c r="K478" s="25">
        <v>591</v>
      </c>
      <c r="L478" s="21" t="s">
        <v>21</v>
      </c>
      <c r="M478" s="22" t="s">
        <v>3537</v>
      </c>
      <c r="N478" s="27">
        <f t="shared" si="56"/>
        <v>28</v>
      </c>
      <c r="O478" s="28">
        <f t="shared" si="57"/>
        <v>4.3068327319287628E-2</v>
      </c>
      <c r="P478" s="28">
        <f t="shared" si="58"/>
        <v>0.19966216216216215</v>
      </c>
      <c r="Q478" s="26">
        <f t="shared" si="59"/>
        <v>1.4184121621621621</v>
      </c>
      <c r="R478" s="29">
        <f t="shared" si="60"/>
        <v>7.1040609137055837</v>
      </c>
      <c r="S478" s="30">
        <f t="shared" si="61"/>
        <v>3</v>
      </c>
      <c r="T478" s="30">
        <f t="shared" si="62"/>
        <v>2023</v>
      </c>
      <c r="U478" s="29" t="str">
        <f t="shared" si="63"/>
        <v>March</v>
      </c>
    </row>
    <row r="479" spans="1:21" ht="17.399999999999999" x14ac:dyDescent="0.3">
      <c r="A479" s="21" t="s">
        <v>499</v>
      </c>
      <c r="B479" s="21" t="s">
        <v>500</v>
      </c>
      <c r="C479" s="23" t="s">
        <v>3519</v>
      </c>
      <c r="D479" s="21" t="s">
        <v>3520</v>
      </c>
      <c r="E479" s="24">
        <v>45016</v>
      </c>
      <c r="F479" s="24">
        <v>45018</v>
      </c>
      <c r="G479" s="22" t="s">
        <v>16</v>
      </c>
      <c r="H479" s="25">
        <v>91735</v>
      </c>
      <c r="I479" s="25">
        <v>2540</v>
      </c>
      <c r="J479" s="26">
        <v>3139.81</v>
      </c>
      <c r="K479" s="25">
        <v>131</v>
      </c>
      <c r="L479" s="21" t="s">
        <v>21</v>
      </c>
      <c r="M479" s="22" t="s">
        <v>16</v>
      </c>
      <c r="N479" s="27">
        <f t="shared" si="56"/>
        <v>2</v>
      </c>
      <c r="O479" s="28">
        <f t="shared" si="57"/>
        <v>2.7688450427862867E-2</v>
      </c>
      <c r="P479" s="28">
        <f t="shared" si="58"/>
        <v>5.1574803149606302E-2</v>
      </c>
      <c r="Q479" s="26">
        <f t="shared" si="59"/>
        <v>1.2361456692913386</v>
      </c>
      <c r="R479" s="29">
        <f t="shared" si="60"/>
        <v>23.968015267175574</v>
      </c>
      <c r="S479" s="30">
        <f t="shared" si="61"/>
        <v>3</v>
      </c>
      <c r="T479" s="30">
        <f t="shared" si="62"/>
        <v>2023</v>
      </c>
      <c r="U479" s="29" t="str">
        <f t="shared" si="63"/>
        <v>March</v>
      </c>
    </row>
    <row r="480" spans="1:21" ht="17.399999999999999" x14ac:dyDescent="0.3">
      <c r="A480" s="21" t="s">
        <v>712</v>
      </c>
      <c r="B480" s="22" t="s">
        <v>3670</v>
      </c>
      <c r="C480" s="23" t="s">
        <v>3518</v>
      </c>
      <c r="D480" s="22" t="s">
        <v>3545</v>
      </c>
      <c r="E480" s="24">
        <v>45016</v>
      </c>
      <c r="F480" s="24">
        <v>45036</v>
      </c>
      <c r="G480" s="22" t="s">
        <v>31</v>
      </c>
      <c r="H480" s="25">
        <v>79069</v>
      </c>
      <c r="I480" s="25">
        <v>3266</v>
      </c>
      <c r="J480" s="26">
        <v>4283.37</v>
      </c>
      <c r="K480" s="25">
        <v>414</v>
      </c>
      <c r="L480" s="21" t="s">
        <v>17</v>
      </c>
      <c r="M480" s="22" t="s">
        <v>31</v>
      </c>
      <c r="N480" s="27">
        <f t="shared" si="56"/>
        <v>20</v>
      </c>
      <c r="O480" s="28">
        <f t="shared" si="57"/>
        <v>4.1305695025863488E-2</v>
      </c>
      <c r="P480" s="28">
        <f t="shared" si="58"/>
        <v>0.12676056338028169</v>
      </c>
      <c r="Q480" s="26">
        <f t="shared" si="59"/>
        <v>1.3115033680342927</v>
      </c>
      <c r="R480" s="29">
        <f t="shared" si="60"/>
        <v>10.346304347826086</v>
      </c>
      <c r="S480" s="30">
        <f t="shared" si="61"/>
        <v>3</v>
      </c>
      <c r="T480" s="30">
        <f t="shared" si="62"/>
        <v>2023</v>
      </c>
      <c r="U480" s="29" t="str">
        <f t="shared" si="63"/>
        <v>March</v>
      </c>
    </row>
    <row r="481" spans="1:21" ht="17.399999999999999" x14ac:dyDescent="0.3">
      <c r="A481" s="21" t="s">
        <v>2326</v>
      </c>
      <c r="B481" s="21" t="s">
        <v>2327</v>
      </c>
      <c r="C481" s="23" t="s">
        <v>3516</v>
      </c>
      <c r="D481" s="21" t="s">
        <v>3521</v>
      </c>
      <c r="E481" s="24">
        <v>45016</v>
      </c>
      <c r="F481" s="24">
        <v>45025</v>
      </c>
      <c r="G481" s="22" t="s">
        <v>31</v>
      </c>
      <c r="H481" s="25">
        <v>31678</v>
      </c>
      <c r="I481" s="25">
        <v>1583</v>
      </c>
      <c r="J481" s="26">
        <v>3134.09</v>
      </c>
      <c r="K481" s="25">
        <v>100</v>
      </c>
      <c r="L481" s="21" t="s">
        <v>17</v>
      </c>
      <c r="M481" s="22" t="s">
        <v>31</v>
      </c>
      <c r="N481" s="27">
        <f t="shared" si="56"/>
        <v>9</v>
      </c>
      <c r="O481" s="28">
        <f t="shared" si="57"/>
        <v>4.997158911547446E-2</v>
      </c>
      <c r="P481" s="28">
        <f t="shared" si="58"/>
        <v>6.3171193935565376E-2</v>
      </c>
      <c r="Q481" s="26">
        <f t="shared" si="59"/>
        <v>1.9798420720151613</v>
      </c>
      <c r="R481" s="29">
        <f t="shared" si="60"/>
        <v>31.340900000000001</v>
      </c>
      <c r="S481" s="30">
        <f t="shared" si="61"/>
        <v>3</v>
      </c>
      <c r="T481" s="30">
        <f t="shared" si="62"/>
        <v>2023</v>
      </c>
      <c r="U481" s="29" t="str">
        <f t="shared" si="63"/>
        <v>March</v>
      </c>
    </row>
    <row r="482" spans="1:21" ht="17.399999999999999" x14ac:dyDescent="0.3">
      <c r="A482" s="21" t="s">
        <v>2756</v>
      </c>
      <c r="B482" s="21" t="s">
        <v>2757</v>
      </c>
      <c r="C482" s="23" t="s">
        <v>3516</v>
      </c>
      <c r="D482" s="21" t="s">
        <v>3521</v>
      </c>
      <c r="E482" s="24">
        <v>45016</v>
      </c>
      <c r="F482" s="24">
        <v>45018</v>
      </c>
      <c r="G482" s="22" t="s">
        <v>24</v>
      </c>
      <c r="H482" s="25">
        <v>8564</v>
      </c>
      <c r="I482" s="25">
        <v>262</v>
      </c>
      <c r="J482" s="26">
        <v>210.44</v>
      </c>
      <c r="K482" s="25">
        <v>32</v>
      </c>
      <c r="L482" s="21" t="s">
        <v>17</v>
      </c>
      <c r="M482" s="22" t="s">
        <v>3536</v>
      </c>
      <c r="N482" s="27">
        <f t="shared" si="56"/>
        <v>2</v>
      </c>
      <c r="O482" s="28">
        <f t="shared" si="57"/>
        <v>3.0593180756655767E-2</v>
      </c>
      <c r="P482" s="28">
        <f t="shared" si="58"/>
        <v>0.12213740458015267</v>
      </c>
      <c r="Q482" s="26">
        <f t="shared" si="59"/>
        <v>0.80320610687022898</v>
      </c>
      <c r="R482" s="29">
        <f t="shared" si="60"/>
        <v>6.5762499999999999</v>
      </c>
      <c r="S482" s="30">
        <f t="shared" si="61"/>
        <v>3</v>
      </c>
      <c r="T482" s="30">
        <f t="shared" si="62"/>
        <v>2023</v>
      </c>
      <c r="U482" s="29" t="str">
        <f t="shared" si="63"/>
        <v>March</v>
      </c>
    </row>
    <row r="483" spans="1:21" ht="17.399999999999999" x14ac:dyDescent="0.3">
      <c r="A483" s="21" t="s">
        <v>2835</v>
      </c>
      <c r="B483" s="21" t="s">
        <v>2836</v>
      </c>
      <c r="C483" s="23" t="s">
        <v>3516</v>
      </c>
      <c r="D483" s="21" t="s">
        <v>3521</v>
      </c>
      <c r="E483" s="24">
        <v>45016</v>
      </c>
      <c r="F483" s="24">
        <v>45042</v>
      </c>
      <c r="G483" s="22" t="s">
        <v>31</v>
      </c>
      <c r="H483" s="25">
        <v>56619</v>
      </c>
      <c r="I483" s="25">
        <v>1175</v>
      </c>
      <c r="J483" s="26">
        <v>1114.9000000000001</v>
      </c>
      <c r="K483" s="25">
        <v>126</v>
      </c>
      <c r="L483" s="21" t="s">
        <v>21</v>
      </c>
      <c r="M483" s="22" t="s">
        <v>31</v>
      </c>
      <c r="N483" s="27">
        <f t="shared" si="56"/>
        <v>26</v>
      </c>
      <c r="O483" s="28">
        <f t="shared" si="57"/>
        <v>2.0752750843356472E-2</v>
      </c>
      <c r="P483" s="28">
        <f t="shared" si="58"/>
        <v>0.10723404255319149</v>
      </c>
      <c r="Q483" s="26">
        <f t="shared" si="59"/>
        <v>0.94885106382978734</v>
      </c>
      <c r="R483" s="29">
        <f t="shared" si="60"/>
        <v>8.8484126984126998</v>
      </c>
      <c r="S483" s="30">
        <f t="shared" si="61"/>
        <v>3</v>
      </c>
      <c r="T483" s="30">
        <f t="shared" si="62"/>
        <v>2023</v>
      </c>
      <c r="U483" s="29" t="str">
        <f t="shared" si="63"/>
        <v>March</v>
      </c>
    </row>
    <row r="484" spans="1:21" ht="17.399999999999999" x14ac:dyDescent="0.3">
      <c r="A484" s="21" t="s">
        <v>3385</v>
      </c>
      <c r="B484" s="22" t="s">
        <v>3671</v>
      </c>
      <c r="C484" s="23" t="s">
        <v>3516</v>
      </c>
      <c r="D484" s="22" t="s">
        <v>3545</v>
      </c>
      <c r="E484" s="24">
        <v>45016</v>
      </c>
      <c r="F484" s="24">
        <v>45044</v>
      </c>
      <c r="G484" s="22" t="s">
        <v>14</v>
      </c>
      <c r="H484" s="25">
        <v>62681</v>
      </c>
      <c r="I484" s="25">
        <v>2328</v>
      </c>
      <c r="J484" s="26">
        <v>4216.0600000000004</v>
      </c>
      <c r="K484" s="25">
        <v>390</v>
      </c>
      <c r="L484" s="21" t="s">
        <v>21</v>
      </c>
      <c r="M484" s="22" t="s">
        <v>3537</v>
      </c>
      <c r="N484" s="27">
        <f t="shared" si="56"/>
        <v>28</v>
      </c>
      <c r="O484" s="28">
        <f t="shared" si="57"/>
        <v>3.7140441282047194E-2</v>
      </c>
      <c r="P484" s="28">
        <f t="shared" si="58"/>
        <v>0.16752577319587628</v>
      </c>
      <c r="Q484" s="26">
        <f t="shared" si="59"/>
        <v>1.8110223367697595</v>
      </c>
      <c r="R484" s="29">
        <f t="shared" si="60"/>
        <v>10.810410256410258</v>
      </c>
      <c r="S484" s="30">
        <f t="shared" si="61"/>
        <v>3</v>
      </c>
      <c r="T484" s="30">
        <f t="shared" si="62"/>
        <v>2023</v>
      </c>
      <c r="U484" s="29" t="str">
        <f t="shared" si="63"/>
        <v>March</v>
      </c>
    </row>
    <row r="485" spans="1:21" ht="17.399999999999999" x14ac:dyDescent="0.3">
      <c r="A485" s="21" t="s">
        <v>2012</v>
      </c>
      <c r="B485" s="21" t="s">
        <v>2013</v>
      </c>
      <c r="C485" s="23" t="s">
        <v>3515</v>
      </c>
      <c r="D485" s="21" t="s">
        <v>3520</v>
      </c>
      <c r="E485" s="24">
        <v>45016</v>
      </c>
      <c r="F485" s="24">
        <v>45036</v>
      </c>
      <c r="G485" s="22" t="s">
        <v>16</v>
      </c>
      <c r="H485" s="25">
        <v>72324</v>
      </c>
      <c r="I485" s="25">
        <v>2837</v>
      </c>
      <c r="J485" s="26">
        <v>5648.81</v>
      </c>
      <c r="K485" s="25">
        <v>504</v>
      </c>
      <c r="L485" s="21" t="s">
        <v>21</v>
      </c>
      <c r="M485" s="22" t="s">
        <v>16</v>
      </c>
      <c r="N485" s="27">
        <f t="shared" si="56"/>
        <v>20</v>
      </c>
      <c r="O485" s="28">
        <f t="shared" si="57"/>
        <v>3.9226259609534873E-2</v>
      </c>
      <c r="P485" s="28">
        <f t="shared" si="58"/>
        <v>0.17765244977088473</v>
      </c>
      <c r="Q485" s="26">
        <f t="shared" si="59"/>
        <v>1.9911209023616498</v>
      </c>
      <c r="R485" s="29">
        <f t="shared" si="60"/>
        <v>11.20795634920635</v>
      </c>
      <c r="S485" s="30">
        <f t="shared" si="61"/>
        <v>3</v>
      </c>
      <c r="T485" s="30">
        <f t="shared" si="62"/>
        <v>2023</v>
      </c>
      <c r="U485" s="29" t="str">
        <f t="shared" si="63"/>
        <v>March</v>
      </c>
    </row>
    <row r="486" spans="1:21" ht="17.399999999999999" x14ac:dyDescent="0.3">
      <c r="A486" s="21" t="s">
        <v>850</v>
      </c>
      <c r="B486" s="21" t="s">
        <v>851</v>
      </c>
      <c r="C486" s="23" t="s">
        <v>3518</v>
      </c>
      <c r="D486" s="21" t="s">
        <v>3517</v>
      </c>
      <c r="E486" s="24">
        <v>45017</v>
      </c>
      <c r="F486" s="24">
        <v>45024</v>
      </c>
      <c r="G486" s="22" t="s">
        <v>14</v>
      </c>
      <c r="H486" s="25">
        <v>47175</v>
      </c>
      <c r="I486" s="25">
        <v>670</v>
      </c>
      <c r="J486" s="26">
        <v>1128.44</v>
      </c>
      <c r="K486" s="25">
        <v>39</v>
      </c>
      <c r="L486" s="21" t="s">
        <v>21</v>
      </c>
      <c r="M486" s="22" t="s">
        <v>3537</v>
      </c>
      <c r="N486" s="27">
        <f t="shared" si="56"/>
        <v>7</v>
      </c>
      <c r="O486" s="28">
        <f t="shared" si="57"/>
        <v>1.4202437731849496E-2</v>
      </c>
      <c r="P486" s="28">
        <f t="shared" si="58"/>
        <v>5.8208955223880594E-2</v>
      </c>
      <c r="Q486" s="26">
        <f t="shared" si="59"/>
        <v>1.6842388059701494</v>
      </c>
      <c r="R486" s="29">
        <f t="shared" si="60"/>
        <v>28.934358974358975</v>
      </c>
      <c r="S486" s="30">
        <f t="shared" si="61"/>
        <v>4</v>
      </c>
      <c r="T486" s="30">
        <f t="shared" si="62"/>
        <v>2023</v>
      </c>
      <c r="U486" s="29" t="str">
        <f t="shared" si="63"/>
        <v>April</v>
      </c>
    </row>
    <row r="487" spans="1:21" ht="17.399999999999999" x14ac:dyDescent="0.3">
      <c r="A487" s="21" t="s">
        <v>3336</v>
      </c>
      <c r="B487" s="22" t="s">
        <v>3672</v>
      </c>
      <c r="C487" s="23" t="s">
        <v>3518</v>
      </c>
      <c r="D487" s="22" t="s">
        <v>3545</v>
      </c>
      <c r="E487" s="24">
        <v>45017</v>
      </c>
      <c r="F487" s="24">
        <v>45020</v>
      </c>
      <c r="G487" s="22" t="s">
        <v>16</v>
      </c>
      <c r="H487" s="25">
        <v>27143</v>
      </c>
      <c r="I487" s="25">
        <v>536</v>
      </c>
      <c r="J487" s="26">
        <v>738.58</v>
      </c>
      <c r="K487" s="25">
        <v>98</v>
      </c>
      <c r="L487" s="21" t="s">
        <v>21</v>
      </c>
      <c r="M487" s="22" t="s">
        <v>16</v>
      </c>
      <c r="N487" s="27">
        <f t="shared" si="56"/>
        <v>3</v>
      </c>
      <c r="O487" s="28">
        <f t="shared" si="57"/>
        <v>1.9747264488081642E-2</v>
      </c>
      <c r="P487" s="28">
        <f t="shared" si="58"/>
        <v>0.18283582089552239</v>
      </c>
      <c r="Q487" s="26">
        <f t="shared" si="59"/>
        <v>1.3779477611940298</v>
      </c>
      <c r="R487" s="29">
        <f t="shared" si="60"/>
        <v>7.5365306122448983</v>
      </c>
      <c r="S487" s="30">
        <f t="shared" si="61"/>
        <v>4</v>
      </c>
      <c r="T487" s="30">
        <f t="shared" si="62"/>
        <v>2023</v>
      </c>
      <c r="U487" s="29" t="str">
        <f t="shared" si="63"/>
        <v>April</v>
      </c>
    </row>
    <row r="488" spans="1:21" ht="17.399999999999999" x14ac:dyDescent="0.3">
      <c r="A488" s="21" t="s">
        <v>1993</v>
      </c>
      <c r="B488" s="21" t="s">
        <v>1994</v>
      </c>
      <c r="C488" s="23" t="s">
        <v>3515</v>
      </c>
      <c r="D488" s="21" t="s">
        <v>3520</v>
      </c>
      <c r="E488" s="24">
        <v>45017</v>
      </c>
      <c r="F488" s="24">
        <v>45029</v>
      </c>
      <c r="G488" s="22" t="s">
        <v>31</v>
      </c>
      <c r="H488" s="25">
        <v>68506</v>
      </c>
      <c r="I488" s="25">
        <v>2282</v>
      </c>
      <c r="J488" s="26">
        <v>1761.34</v>
      </c>
      <c r="K488" s="25">
        <v>319</v>
      </c>
      <c r="L488" s="21" t="s">
        <v>21</v>
      </c>
      <c r="M488" s="22" t="s">
        <v>31</v>
      </c>
      <c r="N488" s="27">
        <f t="shared" si="56"/>
        <v>12</v>
      </c>
      <c r="O488" s="28">
        <f t="shared" si="57"/>
        <v>3.3310950865617611E-2</v>
      </c>
      <c r="P488" s="28">
        <f t="shared" si="58"/>
        <v>0.13978965819456618</v>
      </c>
      <c r="Q488" s="26">
        <f t="shared" si="59"/>
        <v>0.77184049079754602</v>
      </c>
      <c r="R488" s="29">
        <f t="shared" si="60"/>
        <v>5.5214420062695924</v>
      </c>
      <c r="S488" s="30">
        <f t="shared" si="61"/>
        <v>4</v>
      </c>
      <c r="T488" s="30">
        <f t="shared" si="62"/>
        <v>2023</v>
      </c>
      <c r="U488" s="29" t="str">
        <f t="shared" si="63"/>
        <v>April</v>
      </c>
    </row>
    <row r="489" spans="1:21" ht="17.399999999999999" x14ac:dyDescent="0.3">
      <c r="A489" s="21" t="s">
        <v>251</v>
      </c>
      <c r="B489" s="21" t="s">
        <v>252</v>
      </c>
      <c r="C489" s="23" t="s">
        <v>3516</v>
      </c>
      <c r="D489" s="21" t="s">
        <v>3521</v>
      </c>
      <c r="E489" s="24">
        <v>45018</v>
      </c>
      <c r="F489" s="24">
        <v>45047</v>
      </c>
      <c r="G489" s="22" t="s">
        <v>31</v>
      </c>
      <c r="H489" s="25">
        <v>83948</v>
      </c>
      <c r="I489" s="25">
        <v>2870</v>
      </c>
      <c r="J489" s="26">
        <v>2313.94</v>
      </c>
      <c r="K489" s="25">
        <v>258</v>
      </c>
      <c r="L489" s="21" t="s">
        <v>21</v>
      </c>
      <c r="M489" s="22" t="s">
        <v>31</v>
      </c>
      <c r="N489" s="27">
        <f t="shared" si="56"/>
        <v>29</v>
      </c>
      <c r="O489" s="28">
        <f t="shared" si="57"/>
        <v>3.4187830561776336E-2</v>
      </c>
      <c r="P489" s="28">
        <f t="shared" si="58"/>
        <v>8.9895470383275264E-2</v>
      </c>
      <c r="Q489" s="26">
        <f t="shared" si="59"/>
        <v>0.80625087108013938</v>
      </c>
      <c r="R489" s="29">
        <f t="shared" si="60"/>
        <v>8.9687596899224804</v>
      </c>
      <c r="S489" s="30">
        <f t="shared" si="61"/>
        <v>4</v>
      </c>
      <c r="T489" s="30">
        <f t="shared" si="62"/>
        <v>2023</v>
      </c>
      <c r="U489" s="29" t="str">
        <f t="shared" si="63"/>
        <v>April</v>
      </c>
    </row>
    <row r="490" spans="1:21" ht="17.399999999999999" x14ac:dyDescent="0.3">
      <c r="A490" s="21" t="s">
        <v>2445</v>
      </c>
      <c r="B490" s="21" t="s">
        <v>2446</v>
      </c>
      <c r="C490" s="23" t="s">
        <v>3516</v>
      </c>
      <c r="D490" s="21" t="s">
        <v>3517</v>
      </c>
      <c r="E490" s="24">
        <v>45018</v>
      </c>
      <c r="F490" s="24">
        <v>45048</v>
      </c>
      <c r="G490" s="22" t="s">
        <v>14</v>
      </c>
      <c r="H490" s="25">
        <v>36367</v>
      </c>
      <c r="I490" s="25">
        <v>1297</v>
      </c>
      <c r="J490" s="26">
        <v>738.12</v>
      </c>
      <c r="K490" s="25">
        <v>107</v>
      </c>
      <c r="L490" s="21" t="s">
        <v>17</v>
      </c>
      <c r="M490" s="22" t="s">
        <v>3537</v>
      </c>
      <c r="N490" s="27">
        <f t="shared" si="56"/>
        <v>30</v>
      </c>
      <c r="O490" s="28">
        <f t="shared" si="57"/>
        <v>3.5664201061401821E-2</v>
      </c>
      <c r="P490" s="28">
        <f t="shared" si="58"/>
        <v>8.2498072474942175E-2</v>
      </c>
      <c r="Q490" s="26">
        <f t="shared" si="59"/>
        <v>0.56909791827293754</v>
      </c>
      <c r="R490" s="29">
        <f t="shared" si="60"/>
        <v>6.8983177570093455</v>
      </c>
      <c r="S490" s="30">
        <f t="shared" si="61"/>
        <v>4</v>
      </c>
      <c r="T490" s="30">
        <f t="shared" si="62"/>
        <v>2023</v>
      </c>
      <c r="U490" s="29" t="str">
        <f t="shared" si="63"/>
        <v>April</v>
      </c>
    </row>
    <row r="491" spans="1:21" ht="17.399999999999999" x14ac:dyDescent="0.3">
      <c r="A491" s="21" t="s">
        <v>2680</v>
      </c>
      <c r="B491" s="21" t="s">
        <v>2681</v>
      </c>
      <c r="C491" s="23" t="s">
        <v>3518</v>
      </c>
      <c r="D491" s="21" t="s">
        <v>3520</v>
      </c>
      <c r="E491" s="24">
        <v>45019</v>
      </c>
      <c r="F491" s="24">
        <v>45038</v>
      </c>
      <c r="G491" s="22" t="s">
        <v>24</v>
      </c>
      <c r="H491" s="25">
        <v>88833</v>
      </c>
      <c r="I491" s="25">
        <v>2261</v>
      </c>
      <c r="J491" s="26">
        <v>2838.76</v>
      </c>
      <c r="K491" s="25">
        <v>285</v>
      </c>
      <c r="L491" s="21" t="s">
        <v>21</v>
      </c>
      <c r="M491" s="22" t="s">
        <v>3536</v>
      </c>
      <c r="N491" s="27">
        <f t="shared" si="56"/>
        <v>19</v>
      </c>
      <c r="O491" s="28">
        <f t="shared" si="57"/>
        <v>2.5452253104139226E-2</v>
      </c>
      <c r="P491" s="28">
        <f t="shared" si="58"/>
        <v>0.12605042016806722</v>
      </c>
      <c r="Q491" s="26">
        <f t="shared" si="59"/>
        <v>1.2555329500221142</v>
      </c>
      <c r="R491" s="29">
        <f t="shared" si="60"/>
        <v>9.9605614035087733</v>
      </c>
      <c r="S491" s="30">
        <f t="shared" si="61"/>
        <v>4</v>
      </c>
      <c r="T491" s="30">
        <f t="shared" si="62"/>
        <v>2023</v>
      </c>
      <c r="U491" s="29" t="str">
        <f t="shared" si="63"/>
        <v>April</v>
      </c>
    </row>
    <row r="492" spans="1:21" ht="17.399999999999999" x14ac:dyDescent="0.3">
      <c r="A492" s="21" t="s">
        <v>2249</v>
      </c>
      <c r="B492" s="21" t="s">
        <v>2250</v>
      </c>
      <c r="C492" s="23" t="s">
        <v>3515</v>
      </c>
      <c r="D492" s="21" t="s">
        <v>3517</v>
      </c>
      <c r="E492" s="24">
        <v>45019</v>
      </c>
      <c r="F492" s="24">
        <v>45025</v>
      </c>
      <c r="G492" s="22" t="s">
        <v>31</v>
      </c>
      <c r="H492" s="25">
        <v>2759</v>
      </c>
      <c r="I492" s="25">
        <v>124</v>
      </c>
      <c r="J492" s="26">
        <v>63.27</v>
      </c>
      <c r="K492" s="25">
        <v>22</v>
      </c>
      <c r="L492" s="21" t="s">
        <v>21</v>
      </c>
      <c r="M492" s="22" t="s">
        <v>31</v>
      </c>
      <c r="N492" s="27">
        <f t="shared" si="56"/>
        <v>6</v>
      </c>
      <c r="O492" s="28">
        <f t="shared" si="57"/>
        <v>4.49438202247191E-2</v>
      </c>
      <c r="P492" s="28">
        <f t="shared" si="58"/>
        <v>0.17741935483870969</v>
      </c>
      <c r="Q492" s="26">
        <f t="shared" si="59"/>
        <v>0.51024193548387098</v>
      </c>
      <c r="R492" s="29">
        <f t="shared" si="60"/>
        <v>2.875909090909091</v>
      </c>
      <c r="S492" s="30">
        <f t="shared" si="61"/>
        <v>4</v>
      </c>
      <c r="T492" s="30">
        <f t="shared" si="62"/>
        <v>2023</v>
      </c>
      <c r="U492" s="29" t="str">
        <f t="shared" si="63"/>
        <v>April</v>
      </c>
    </row>
    <row r="493" spans="1:21" ht="17.399999999999999" x14ac:dyDescent="0.3">
      <c r="A493" s="21" t="s">
        <v>352</v>
      </c>
      <c r="B493" s="22" t="s">
        <v>3673</v>
      </c>
      <c r="C493" s="23" t="s">
        <v>3518</v>
      </c>
      <c r="D493" s="22" t="s">
        <v>3545</v>
      </c>
      <c r="E493" s="24">
        <v>45020</v>
      </c>
      <c r="F493" s="24">
        <v>45030</v>
      </c>
      <c r="G493" s="22" t="s">
        <v>14</v>
      </c>
      <c r="H493" s="25">
        <v>99098</v>
      </c>
      <c r="I493" s="25">
        <v>1772</v>
      </c>
      <c r="J493" s="26">
        <v>2148.42</v>
      </c>
      <c r="K493" s="25">
        <v>221</v>
      </c>
      <c r="L493" s="21" t="s">
        <v>21</v>
      </c>
      <c r="M493" s="22" t="s">
        <v>3537</v>
      </c>
      <c r="N493" s="27">
        <f t="shared" si="56"/>
        <v>10</v>
      </c>
      <c r="O493" s="28">
        <f t="shared" si="57"/>
        <v>1.7881289228844174E-2</v>
      </c>
      <c r="P493" s="28">
        <f t="shared" si="58"/>
        <v>0.12471783295711061</v>
      </c>
      <c r="Q493" s="26">
        <f t="shared" si="59"/>
        <v>1.2124266365688487</v>
      </c>
      <c r="R493" s="29">
        <f t="shared" si="60"/>
        <v>9.7213574660633491</v>
      </c>
      <c r="S493" s="30">
        <f t="shared" si="61"/>
        <v>4</v>
      </c>
      <c r="T493" s="30">
        <f t="shared" si="62"/>
        <v>2023</v>
      </c>
      <c r="U493" s="29" t="str">
        <f t="shared" si="63"/>
        <v>April</v>
      </c>
    </row>
    <row r="494" spans="1:21" ht="17.399999999999999" x14ac:dyDescent="0.3">
      <c r="A494" s="21" t="s">
        <v>1004</v>
      </c>
      <c r="B494" s="21" t="s">
        <v>1005</v>
      </c>
      <c r="C494" s="23" t="s">
        <v>3518</v>
      </c>
      <c r="D494" s="21" t="s">
        <v>3517</v>
      </c>
      <c r="E494" s="24">
        <v>45020</v>
      </c>
      <c r="F494" s="24">
        <v>45028</v>
      </c>
      <c r="G494" s="22" t="s">
        <v>11</v>
      </c>
      <c r="H494" s="25">
        <v>95297</v>
      </c>
      <c r="I494" s="25">
        <v>3080</v>
      </c>
      <c r="J494" s="26">
        <v>3686.51</v>
      </c>
      <c r="K494" s="25">
        <v>214</v>
      </c>
      <c r="L494" s="21" t="s">
        <v>21</v>
      </c>
      <c r="M494" s="22" t="s">
        <v>11</v>
      </c>
      <c r="N494" s="27">
        <f t="shared" si="56"/>
        <v>8</v>
      </c>
      <c r="O494" s="28">
        <f t="shared" si="57"/>
        <v>3.2320010073769376E-2</v>
      </c>
      <c r="P494" s="28">
        <f t="shared" si="58"/>
        <v>6.9480519480519476E-2</v>
      </c>
      <c r="Q494" s="26">
        <f t="shared" si="59"/>
        <v>1.1969188311688312</v>
      </c>
      <c r="R494" s="29">
        <f t="shared" si="60"/>
        <v>17.226682242990655</v>
      </c>
      <c r="S494" s="30">
        <f t="shared" si="61"/>
        <v>4</v>
      </c>
      <c r="T494" s="30">
        <f t="shared" si="62"/>
        <v>2023</v>
      </c>
      <c r="U494" s="29" t="str">
        <f t="shared" si="63"/>
        <v>April</v>
      </c>
    </row>
    <row r="495" spans="1:21" ht="17.399999999999999" x14ac:dyDescent="0.3">
      <c r="A495" s="21" t="s">
        <v>2691</v>
      </c>
      <c r="B495" s="21" t="s">
        <v>2692</v>
      </c>
      <c r="C495" s="23" t="s">
        <v>3516</v>
      </c>
      <c r="D495" s="21" t="s">
        <v>3520</v>
      </c>
      <c r="E495" s="24">
        <v>45020</v>
      </c>
      <c r="F495" s="24">
        <v>45034</v>
      </c>
      <c r="G495" s="22" t="s">
        <v>16</v>
      </c>
      <c r="H495" s="25">
        <v>38198</v>
      </c>
      <c r="I495" s="25">
        <v>1870</v>
      </c>
      <c r="J495" s="26">
        <v>3089.16</v>
      </c>
      <c r="K495" s="25">
        <v>262</v>
      </c>
      <c r="L495" s="21" t="s">
        <v>21</v>
      </c>
      <c r="M495" s="22" t="s">
        <v>16</v>
      </c>
      <c r="N495" s="27">
        <f t="shared" si="56"/>
        <v>14</v>
      </c>
      <c r="O495" s="28">
        <f t="shared" si="57"/>
        <v>4.8955442693334732E-2</v>
      </c>
      <c r="P495" s="28">
        <f t="shared" si="58"/>
        <v>0.14010695187165775</v>
      </c>
      <c r="Q495" s="26">
        <f t="shared" si="59"/>
        <v>1.6519572192513368</v>
      </c>
      <c r="R495" s="29">
        <f t="shared" si="60"/>
        <v>11.790687022900762</v>
      </c>
      <c r="S495" s="30">
        <f t="shared" si="61"/>
        <v>4</v>
      </c>
      <c r="T495" s="30">
        <f t="shared" si="62"/>
        <v>2023</v>
      </c>
      <c r="U495" s="29" t="str">
        <f t="shared" si="63"/>
        <v>April</v>
      </c>
    </row>
    <row r="496" spans="1:21" ht="17.399999999999999" x14ac:dyDescent="0.3">
      <c r="A496" s="21" t="s">
        <v>2810</v>
      </c>
      <c r="B496" s="22" t="s">
        <v>3674</v>
      </c>
      <c r="C496" s="23" t="s">
        <v>3515</v>
      </c>
      <c r="D496" s="22" t="s">
        <v>3545</v>
      </c>
      <c r="E496" s="24">
        <v>45020</v>
      </c>
      <c r="F496" s="24">
        <v>45046</v>
      </c>
      <c r="G496" s="22" t="s">
        <v>31</v>
      </c>
      <c r="H496" s="25">
        <v>59606</v>
      </c>
      <c r="I496" s="25">
        <v>894</v>
      </c>
      <c r="J496" s="26">
        <v>520.1</v>
      </c>
      <c r="K496" s="25">
        <v>162</v>
      </c>
      <c r="L496" s="21" t="s">
        <v>17</v>
      </c>
      <c r="M496" s="22" t="s">
        <v>31</v>
      </c>
      <c r="N496" s="27">
        <f t="shared" si="56"/>
        <v>26</v>
      </c>
      <c r="O496" s="28">
        <f t="shared" si="57"/>
        <v>1.4998490084890783E-2</v>
      </c>
      <c r="P496" s="28">
        <f t="shared" si="58"/>
        <v>0.18120805369127516</v>
      </c>
      <c r="Q496" s="26">
        <f t="shared" si="59"/>
        <v>0.58176733780760626</v>
      </c>
      <c r="R496" s="29">
        <f t="shared" si="60"/>
        <v>3.2104938271604939</v>
      </c>
      <c r="S496" s="30">
        <f t="shared" si="61"/>
        <v>4</v>
      </c>
      <c r="T496" s="30">
        <f t="shared" si="62"/>
        <v>2023</v>
      </c>
      <c r="U496" s="29" t="str">
        <f t="shared" si="63"/>
        <v>April</v>
      </c>
    </row>
    <row r="497" spans="1:21" ht="17.399999999999999" x14ac:dyDescent="0.3">
      <c r="A497" s="21" t="s">
        <v>2959</v>
      </c>
      <c r="B497" s="22" t="s">
        <v>3675</v>
      </c>
      <c r="C497" s="23" t="s">
        <v>3515</v>
      </c>
      <c r="D497" s="22" t="s">
        <v>3545</v>
      </c>
      <c r="E497" s="24">
        <v>45020</v>
      </c>
      <c r="F497" s="24">
        <v>45025</v>
      </c>
      <c r="G497" s="22" t="s">
        <v>16</v>
      </c>
      <c r="H497" s="25">
        <v>44642</v>
      </c>
      <c r="I497" s="25">
        <v>737</v>
      </c>
      <c r="J497" s="26">
        <v>671.54</v>
      </c>
      <c r="K497" s="25">
        <v>111</v>
      </c>
      <c r="L497" s="21" t="s">
        <v>21</v>
      </c>
      <c r="M497" s="22" t="s">
        <v>16</v>
      </c>
      <c r="N497" s="27">
        <f t="shared" si="56"/>
        <v>5</v>
      </c>
      <c r="O497" s="28">
        <f t="shared" si="57"/>
        <v>1.650911697504592E-2</v>
      </c>
      <c r="P497" s="28">
        <f t="shared" si="58"/>
        <v>0.15061058344640435</v>
      </c>
      <c r="Q497" s="26">
        <f t="shared" si="59"/>
        <v>0.91118046132971497</v>
      </c>
      <c r="R497" s="29">
        <f t="shared" si="60"/>
        <v>6.0499099099099096</v>
      </c>
      <c r="S497" s="30">
        <f t="shared" si="61"/>
        <v>4</v>
      </c>
      <c r="T497" s="30">
        <f t="shared" si="62"/>
        <v>2023</v>
      </c>
      <c r="U497" s="29" t="str">
        <f t="shared" si="63"/>
        <v>April</v>
      </c>
    </row>
    <row r="498" spans="1:21" ht="17.399999999999999" x14ac:dyDescent="0.3">
      <c r="A498" s="21" t="s">
        <v>3474</v>
      </c>
      <c r="B498" s="21" t="s">
        <v>3475</v>
      </c>
      <c r="C498" s="23" t="s">
        <v>3515</v>
      </c>
      <c r="D498" s="21" t="s">
        <v>3517</v>
      </c>
      <c r="E498" s="24">
        <v>45020</v>
      </c>
      <c r="F498" s="24">
        <v>45048</v>
      </c>
      <c r="G498" s="22" t="s">
        <v>31</v>
      </c>
      <c r="H498" s="25">
        <v>37877</v>
      </c>
      <c r="I498" s="25">
        <v>908</v>
      </c>
      <c r="J498" s="26">
        <v>1741.6</v>
      </c>
      <c r="K498" s="25">
        <v>150</v>
      </c>
      <c r="L498" s="21" t="s">
        <v>21</v>
      </c>
      <c r="M498" s="22" t="s">
        <v>31</v>
      </c>
      <c r="N498" s="27">
        <f t="shared" si="56"/>
        <v>28</v>
      </c>
      <c r="O498" s="28">
        <f t="shared" si="57"/>
        <v>2.3972331494046518E-2</v>
      </c>
      <c r="P498" s="28">
        <f t="shared" si="58"/>
        <v>0.16519823788546256</v>
      </c>
      <c r="Q498" s="26">
        <f t="shared" si="59"/>
        <v>1.9180616740088106</v>
      </c>
      <c r="R498" s="29">
        <f t="shared" si="60"/>
        <v>11.610666666666667</v>
      </c>
      <c r="S498" s="30">
        <f t="shared" si="61"/>
        <v>4</v>
      </c>
      <c r="T498" s="30">
        <f t="shared" si="62"/>
        <v>2023</v>
      </c>
      <c r="U498" s="29" t="str">
        <f t="shared" si="63"/>
        <v>April</v>
      </c>
    </row>
    <row r="499" spans="1:21" ht="17.399999999999999" x14ac:dyDescent="0.3">
      <c r="A499" s="21" t="s">
        <v>843</v>
      </c>
      <c r="B499" s="21" t="s">
        <v>844</v>
      </c>
      <c r="C499" s="23" t="s">
        <v>3518</v>
      </c>
      <c r="D499" s="21" t="s">
        <v>3520</v>
      </c>
      <c r="E499" s="24">
        <v>45021</v>
      </c>
      <c r="F499" s="24">
        <v>45026</v>
      </c>
      <c r="G499" s="22" t="s">
        <v>3535</v>
      </c>
      <c r="H499" s="25">
        <v>75740</v>
      </c>
      <c r="I499" s="25">
        <v>872</v>
      </c>
      <c r="J499" s="26">
        <v>1242.96</v>
      </c>
      <c r="K499" s="25">
        <v>144</v>
      </c>
      <c r="L499" s="21" t="s">
        <v>21</v>
      </c>
      <c r="M499" s="22" t="s">
        <v>3535</v>
      </c>
      <c r="N499" s="27">
        <f t="shared" si="56"/>
        <v>5</v>
      </c>
      <c r="O499" s="28">
        <f t="shared" si="57"/>
        <v>1.1513071032479534E-2</v>
      </c>
      <c r="P499" s="28">
        <f t="shared" si="58"/>
        <v>0.16513761467889909</v>
      </c>
      <c r="Q499" s="26">
        <f t="shared" si="59"/>
        <v>1.4254128440366973</v>
      </c>
      <c r="R499" s="29">
        <f t="shared" si="60"/>
        <v>8.6316666666666677</v>
      </c>
      <c r="S499" s="30">
        <f t="shared" si="61"/>
        <v>4</v>
      </c>
      <c r="T499" s="30">
        <f t="shared" si="62"/>
        <v>2023</v>
      </c>
      <c r="U499" s="29" t="str">
        <f t="shared" si="63"/>
        <v>April</v>
      </c>
    </row>
    <row r="500" spans="1:21" ht="17.399999999999999" x14ac:dyDescent="0.3">
      <c r="A500" s="21" t="s">
        <v>1060</v>
      </c>
      <c r="B500" s="21" t="s">
        <v>1061</v>
      </c>
      <c r="C500" s="23" t="s">
        <v>3519</v>
      </c>
      <c r="D500" s="21" t="s">
        <v>3520</v>
      </c>
      <c r="E500" s="24">
        <v>45022</v>
      </c>
      <c r="F500" s="24">
        <v>45051</v>
      </c>
      <c r="G500" s="22" t="s">
        <v>14</v>
      </c>
      <c r="H500" s="25">
        <v>35911</v>
      </c>
      <c r="I500" s="25">
        <v>557</v>
      </c>
      <c r="J500" s="26">
        <v>994.68</v>
      </c>
      <c r="K500" s="25">
        <v>57</v>
      </c>
      <c r="L500" s="21" t="s">
        <v>17</v>
      </c>
      <c r="M500" s="22" t="s">
        <v>3537</v>
      </c>
      <c r="N500" s="27">
        <f t="shared" si="56"/>
        <v>29</v>
      </c>
      <c r="O500" s="28">
        <f t="shared" si="57"/>
        <v>1.5510567792598368E-2</v>
      </c>
      <c r="P500" s="28">
        <f t="shared" si="58"/>
        <v>0.10233393177737882</v>
      </c>
      <c r="Q500" s="26">
        <f t="shared" si="59"/>
        <v>1.7857809694793536</v>
      </c>
      <c r="R500" s="29">
        <f t="shared" si="60"/>
        <v>17.450526315789475</v>
      </c>
      <c r="S500" s="30">
        <f t="shared" si="61"/>
        <v>4</v>
      </c>
      <c r="T500" s="30">
        <f t="shared" si="62"/>
        <v>2023</v>
      </c>
      <c r="U500" s="29" t="str">
        <f t="shared" si="63"/>
        <v>April</v>
      </c>
    </row>
    <row r="501" spans="1:21" ht="17.399999999999999" x14ac:dyDescent="0.3">
      <c r="A501" s="21" t="s">
        <v>1947</v>
      </c>
      <c r="B501" s="21" t="s">
        <v>1948</v>
      </c>
      <c r="C501" s="23" t="s">
        <v>3515</v>
      </c>
      <c r="D501" s="21" t="s">
        <v>3517</v>
      </c>
      <c r="E501" s="24">
        <v>45022</v>
      </c>
      <c r="F501" s="24">
        <v>45039</v>
      </c>
      <c r="G501" s="22" t="s">
        <v>31</v>
      </c>
      <c r="H501" s="25">
        <v>21611</v>
      </c>
      <c r="I501" s="25">
        <v>536</v>
      </c>
      <c r="J501" s="26">
        <v>404.28</v>
      </c>
      <c r="K501" s="25">
        <v>0</v>
      </c>
      <c r="L501" s="21" t="s">
        <v>17</v>
      </c>
      <c r="M501" s="22" t="s">
        <v>31</v>
      </c>
      <c r="N501" s="27">
        <f t="shared" si="56"/>
        <v>17</v>
      </c>
      <c r="O501" s="28">
        <f t="shared" si="57"/>
        <v>2.4802184072925827E-2</v>
      </c>
      <c r="P501" s="28">
        <f t="shared" si="58"/>
        <v>0</v>
      </c>
      <c r="Q501" s="26">
        <f t="shared" si="59"/>
        <v>0.75425373134328355</v>
      </c>
      <c r="R501" s="29" t="str">
        <f t="shared" si="60"/>
        <v>0</v>
      </c>
      <c r="S501" s="30">
        <f t="shared" si="61"/>
        <v>4</v>
      </c>
      <c r="T501" s="30">
        <f t="shared" si="62"/>
        <v>2023</v>
      </c>
      <c r="U501" s="29" t="str">
        <f t="shared" si="63"/>
        <v>April</v>
      </c>
    </row>
    <row r="502" spans="1:21" ht="17.399999999999999" x14ac:dyDescent="0.3">
      <c r="A502" s="21" t="s">
        <v>2667</v>
      </c>
      <c r="B502" s="21" t="s">
        <v>2668</v>
      </c>
      <c r="C502" s="23" t="s">
        <v>3515</v>
      </c>
      <c r="D502" s="21" t="s">
        <v>3517</v>
      </c>
      <c r="E502" s="24">
        <v>45022</v>
      </c>
      <c r="F502" s="24">
        <v>45043</v>
      </c>
      <c r="G502" s="22" t="s">
        <v>24</v>
      </c>
      <c r="H502" s="25">
        <v>63552</v>
      </c>
      <c r="I502" s="25">
        <v>2250</v>
      </c>
      <c r="J502" s="26">
        <v>1833.4</v>
      </c>
      <c r="K502" s="25">
        <v>310</v>
      </c>
      <c r="L502" s="21" t="s">
        <v>17</v>
      </c>
      <c r="M502" s="22" t="s">
        <v>3536</v>
      </c>
      <c r="N502" s="27">
        <f t="shared" si="56"/>
        <v>21</v>
      </c>
      <c r="O502" s="28">
        <f t="shared" si="57"/>
        <v>3.5404078549848943E-2</v>
      </c>
      <c r="P502" s="28">
        <f t="shared" si="58"/>
        <v>0.13777777777777778</v>
      </c>
      <c r="Q502" s="26">
        <f t="shared" si="59"/>
        <v>0.81484444444444448</v>
      </c>
      <c r="R502" s="29">
        <f t="shared" si="60"/>
        <v>5.9141935483870967</v>
      </c>
      <c r="S502" s="30">
        <f t="shared" si="61"/>
        <v>4</v>
      </c>
      <c r="T502" s="30">
        <f t="shared" si="62"/>
        <v>2023</v>
      </c>
      <c r="U502" s="29" t="str">
        <f t="shared" si="63"/>
        <v>April</v>
      </c>
    </row>
    <row r="503" spans="1:21" ht="17.399999999999999" x14ac:dyDescent="0.3">
      <c r="A503" s="21" t="s">
        <v>1438</v>
      </c>
      <c r="B503" s="21" t="s">
        <v>1439</v>
      </c>
      <c r="C503" s="23" t="s">
        <v>3516</v>
      </c>
      <c r="D503" s="21" t="s">
        <v>3517</v>
      </c>
      <c r="E503" s="24">
        <v>45022</v>
      </c>
      <c r="F503" s="24">
        <v>45027</v>
      </c>
      <c r="G503" s="22" t="s">
        <v>3535</v>
      </c>
      <c r="H503" s="25">
        <v>99142</v>
      </c>
      <c r="I503" s="25">
        <v>3715</v>
      </c>
      <c r="J503" s="26">
        <v>7008.09</v>
      </c>
      <c r="K503" s="25">
        <v>676</v>
      </c>
      <c r="L503" s="21" t="s">
        <v>21</v>
      </c>
      <c r="M503" s="22" t="s">
        <v>3535</v>
      </c>
      <c r="N503" s="27">
        <f t="shared" si="56"/>
        <v>5</v>
      </c>
      <c r="O503" s="28">
        <f t="shared" si="57"/>
        <v>3.7471505517338764E-2</v>
      </c>
      <c r="P503" s="28">
        <f t="shared" si="58"/>
        <v>0.1819650067294751</v>
      </c>
      <c r="Q503" s="26">
        <f t="shared" si="59"/>
        <v>1.8864306864064604</v>
      </c>
      <c r="R503" s="29">
        <f t="shared" si="60"/>
        <v>10.366997041420118</v>
      </c>
      <c r="S503" s="30">
        <f t="shared" si="61"/>
        <v>4</v>
      </c>
      <c r="T503" s="30">
        <f t="shared" si="62"/>
        <v>2023</v>
      </c>
      <c r="U503" s="29" t="str">
        <f t="shared" si="63"/>
        <v>April</v>
      </c>
    </row>
    <row r="504" spans="1:21" ht="17.399999999999999" x14ac:dyDescent="0.3">
      <c r="A504" s="21" t="s">
        <v>557</v>
      </c>
      <c r="B504" s="22" t="s">
        <v>3676</v>
      </c>
      <c r="C504" s="23" t="s">
        <v>3516</v>
      </c>
      <c r="D504" s="22" t="s">
        <v>3545</v>
      </c>
      <c r="E504" s="24">
        <v>45023</v>
      </c>
      <c r="F504" s="24">
        <v>45044</v>
      </c>
      <c r="G504" s="22" t="s">
        <v>31</v>
      </c>
      <c r="H504" s="25">
        <v>22357</v>
      </c>
      <c r="I504" s="25">
        <v>1094</v>
      </c>
      <c r="J504" s="26">
        <v>2103.4899999999998</v>
      </c>
      <c r="K504" s="25">
        <v>119</v>
      </c>
      <c r="L504" s="21" t="s">
        <v>21</v>
      </c>
      <c r="M504" s="22" t="s">
        <v>31</v>
      </c>
      <c r="N504" s="27">
        <f t="shared" si="56"/>
        <v>21</v>
      </c>
      <c r="O504" s="28">
        <f t="shared" si="57"/>
        <v>4.8933220020575215E-2</v>
      </c>
      <c r="P504" s="28">
        <f t="shared" si="58"/>
        <v>0.10877513711151737</v>
      </c>
      <c r="Q504" s="26">
        <f t="shared" si="59"/>
        <v>1.9227513711151736</v>
      </c>
      <c r="R504" s="29">
        <f t="shared" si="60"/>
        <v>17.676386554621846</v>
      </c>
      <c r="S504" s="30">
        <f t="shared" si="61"/>
        <v>4</v>
      </c>
      <c r="T504" s="30">
        <f t="shared" si="62"/>
        <v>2023</v>
      </c>
      <c r="U504" s="29" t="str">
        <f t="shared" si="63"/>
        <v>April</v>
      </c>
    </row>
    <row r="505" spans="1:21" ht="17.399999999999999" x14ac:dyDescent="0.3">
      <c r="A505" s="21" t="s">
        <v>1791</v>
      </c>
      <c r="B505" s="21" t="s">
        <v>1792</v>
      </c>
      <c r="C505" s="23" t="s">
        <v>3516</v>
      </c>
      <c r="D505" s="21" t="s">
        <v>3521</v>
      </c>
      <c r="E505" s="24">
        <v>45023</v>
      </c>
      <c r="F505" s="24">
        <v>45036</v>
      </c>
      <c r="G505" s="22" t="s">
        <v>14</v>
      </c>
      <c r="H505" s="25">
        <v>57138</v>
      </c>
      <c r="I505" s="25">
        <v>2085</v>
      </c>
      <c r="J505" s="26">
        <v>1634.48</v>
      </c>
      <c r="K505" s="25">
        <v>0</v>
      </c>
      <c r="L505" s="21" t="s">
        <v>21</v>
      </c>
      <c r="M505" s="22" t="s">
        <v>3537</v>
      </c>
      <c r="N505" s="27">
        <f t="shared" si="56"/>
        <v>13</v>
      </c>
      <c r="O505" s="28">
        <f t="shared" si="57"/>
        <v>3.6490601701144598E-2</v>
      </c>
      <c r="P505" s="28">
        <f t="shared" si="58"/>
        <v>0</v>
      </c>
      <c r="Q505" s="26">
        <f t="shared" si="59"/>
        <v>0.7839232613908873</v>
      </c>
      <c r="R505" s="29" t="str">
        <f t="shared" si="60"/>
        <v>0</v>
      </c>
      <c r="S505" s="30">
        <f t="shared" si="61"/>
        <v>4</v>
      </c>
      <c r="T505" s="30">
        <f t="shared" si="62"/>
        <v>2023</v>
      </c>
      <c r="U505" s="29" t="str">
        <f t="shared" si="63"/>
        <v>April</v>
      </c>
    </row>
    <row r="506" spans="1:21" ht="17.399999999999999" x14ac:dyDescent="0.3">
      <c r="A506" s="21" t="s">
        <v>1363</v>
      </c>
      <c r="B506" s="21" t="s">
        <v>1364</v>
      </c>
      <c r="C506" s="23" t="s">
        <v>3515</v>
      </c>
      <c r="D506" s="21" t="s">
        <v>3520</v>
      </c>
      <c r="E506" s="24">
        <v>45023</v>
      </c>
      <c r="F506" s="24">
        <v>45038</v>
      </c>
      <c r="G506" s="22" t="s">
        <v>3535</v>
      </c>
      <c r="H506" s="25">
        <v>98007</v>
      </c>
      <c r="I506" s="25">
        <v>2537</v>
      </c>
      <c r="J506" s="26">
        <v>3937.61</v>
      </c>
      <c r="K506" s="25">
        <v>379</v>
      </c>
      <c r="L506" s="21" t="s">
        <v>21</v>
      </c>
      <c r="M506" s="22" t="s">
        <v>3535</v>
      </c>
      <c r="N506" s="27">
        <f t="shared" si="56"/>
        <v>15</v>
      </c>
      <c r="O506" s="28">
        <f t="shared" si="57"/>
        <v>2.5885906108747334E-2</v>
      </c>
      <c r="P506" s="28">
        <f t="shared" si="58"/>
        <v>0.14938904217579818</v>
      </c>
      <c r="Q506" s="26">
        <f t="shared" si="59"/>
        <v>1.5520733149389043</v>
      </c>
      <c r="R506" s="29">
        <f t="shared" si="60"/>
        <v>10.389472295514512</v>
      </c>
      <c r="S506" s="30">
        <f t="shared" si="61"/>
        <v>4</v>
      </c>
      <c r="T506" s="30">
        <f t="shared" si="62"/>
        <v>2023</v>
      </c>
      <c r="U506" s="29" t="str">
        <f t="shared" si="63"/>
        <v>April</v>
      </c>
    </row>
    <row r="507" spans="1:21" ht="17.399999999999999" x14ac:dyDescent="0.3">
      <c r="A507" s="21" t="s">
        <v>2408</v>
      </c>
      <c r="B507" s="21" t="s">
        <v>2409</v>
      </c>
      <c r="C507" s="23" t="s">
        <v>3515</v>
      </c>
      <c r="D507" s="21" t="s">
        <v>3520</v>
      </c>
      <c r="E507" s="24">
        <v>45023</v>
      </c>
      <c r="F507" s="24">
        <v>45025</v>
      </c>
      <c r="G507" s="22" t="s">
        <v>24</v>
      </c>
      <c r="H507" s="25">
        <v>34572</v>
      </c>
      <c r="I507" s="25">
        <v>714</v>
      </c>
      <c r="J507" s="26">
        <v>922.02</v>
      </c>
      <c r="K507" s="25">
        <v>80</v>
      </c>
      <c r="L507" s="21" t="s">
        <v>17</v>
      </c>
      <c r="M507" s="22" t="s">
        <v>3536</v>
      </c>
      <c r="N507" s="27">
        <f t="shared" si="56"/>
        <v>2</v>
      </c>
      <c r="O507" s="28">
        <f t="shared" si="57"/>
        <v>2.0652551197500868E-2</v>
      </c>
      <c r="P507" s="28">
        <f t="shared" si="58"/>
        <v>0.11204481792717087</v>
      </c>
      <c r="Q507" s="26">
        <f t="shared" si="59"/>
        <v>1.291344537815126</v>
      </c>
      <c r="R507" s="29">
        <f t="shared" si="60"/>
        <v>11.52525</v>
      </c>
      <c r="S507" s="30">
        <f t="shared" si="61"/>
        <v>4</v>
      </c>
      <c r="T507" s="30">
        <f t="shared" si="62"/>
        <v>2023</v>
      </c>
      <c r="U507" s="29" t="str">
        <f t="shared" si="63"/>
        <v>April</v>
      </c>
    </row>
    <row r="508" spans="1:21" ht="17.399999999999999" x14ac:dyDescent="0.3">
      <c r="A508" s="21" t="s">
        <v>3240</v>
      </c>
      <c r="B508" s="22" t="s">
        <v>3677</v>
      </c>
      <c r="C508" s="23" t="s">
        <v>3515</v>
      </c>
      <c r="D508" s="22" t="s">
        <v>3545</v>
      </c>
      <c r="E508" s="24">
        <v>45023</v>
      </c>
      <c r="F508" s="24">
        <v>45038</v>
      </c>
      <c r="G508" s="22" t="s">
        <v>14</v>
      </c>
      <c r="H508" s="25">
        <v>64416</v>
      </c>
      <c r="I508" s="25">
        <v>2670</v>
      </c>
      <c r="J508" s="26">
        <v>2865.44</v>
      </c>
      <c r="K508" s="25">
        <v>173</v>
      </c>
      <c r="L508" s="21" t="s">
        <v>17</v>
      </c>
      <c r="M508" s="22" t="s">
        <v>3537</v>
      </c>
      <c r="N508" s="27">
        <f t="shared" si="56"/>
        <v>15</v>
      </c>
      <c r="O508" s="28">
        <f t="shared" si="57"/>
        <v>4.1449329359165427E-2</v>
      </c>
      <c r="P508" s="28">
        <f t="shared" si="58"/>
        <v>6.4794007490636699E-2</v>
      </c>
      <c r="Q508" s="26">
        <f t="shared" si="59"/>
        <v>1.0731985018726593</v>
      </c>
      <c r="R508" s="29">
        <f t="shared" si="60"/>
        <v>16.563236994219654</v>
      </c>
      <c r="S508" s="30">
        <f t="shared" si="61"/>
        <v>4</v>
      </c>
      <c r="T508" s="30">
        <f t="shared" si="62"/>
        <v>2023</v>
      </c>
      <c r="U508" s="29" t="str">
        <f t="shared" si="63"/>
        <v>April</v>
      </c>
    </row>
    <row r="509" spans="1:21" ht="17.399999999999999" x14ac:dyDescent="0.3">
      <c r="A509" s="21" t="s">
        <v>2878</v>
      </c>
      <c r="B509" s="22" t="s">
        <v>3678</v>
      </c>
      <c r="C509" s="23" t="s">
        <v>3519</v>
      </c>
      <c r="D509" s="22" t="s">
        <v>3545</v>
      </c>
      <c r="E509" s="24">
        <v>45023</v>
      </c>
      <c r="F509" s="24">
        <v>45028</v>
      </c>
      <c r="G509" s="22" t="s">
        <v>3535</v>
      </c>
      <c r="H509" s="25">
        <v>81435</v>
      </c>
      <c r="I509" s="25">
        <v>1509</v>
      </c>
      <c r="J509" s="26">
        <v>2104.5300000000002</v>
      </c>
      <c r="K509" s="25">
        <v>294</v>
      </c>
      <c r="L509" s="21" t="s">
        <v>17</v>
      </c>
      <c r="M509" s="22" t="s">
        <v>3535</v>
      </c>
      <c r="N509" s="27">
        <f t="shared" si="56"/>
        <v>5</v>
      </c>
      <c r="O509" s="28">
        <f t="shared" si="57"/>
        <v>1.8530116043470251E-2</v>
      </c>
      <c r="P509" s="28">
        <f t="shared" si="58"/>
        <v>0.19483101391650098</v>
      </c>
      <c r="Q509" s="26">
        <f t="shared" si="59"/>
        <v>1.3946520874751491</v>
      </c>
      <c r="R509" s="29">
        <f t="shared" si="60"/>
        <v>7.1582653061224493</v>
      </c>
      <c r="S509" s="30">
        <f t="shared" si="61"/>
        <v>4</v>
      </c>
      <c r="T509" s="30">
        <f t="shared" si="62"/>
        <v>2023</v>
      </c>
      <c r="U509" s="29" t="str">
        <f t="shared" si="63"/>
        <v>April</v>
      </c>
    </row>
    <row r="510" spans="1:21" ht="17.399999999999999" x14ac:dyDescent="0.3">
      <c r="A510" s="21" t="s">
        <v>695</v>
      </c>
      <c r="B510" s="21" t="s">
        <v>696</v>
      </c>
      <c r="C510" s="23" t="s">
        <v>3518</v>
      </c>
      <c r="D510" s="21" t="s">
        <v>3521</v>
      </c>
      <c r="E510" s="24">
        <v>45024</v>
      </c>
      <c r="F510" s="24">
        <v>45051</v>
      </c>
      <c r="G510" s="22" t="s">
        <v>3535</v>
      </c>
      <c r="H510" s="25">
        <v>5014</v>
      </c>
      <c r="I510" s="25">
        <v>163</v>
      </c>
      <c r="J510" s="26">
        <v>214.27</v>
      </c>
      <c r="K510" s="25">
        <v>21</v>
      </c>
      <c r="L510" s="21" t="s">
        <v>21</v>
      </c>
      <c r="M510" s="22" t="s">
        <v>3535</v>
      </c>
      <c r="N510" s="27">
        <f t="shared" si="56"/>
        <v>27</v>
      </c>
      <c r="O510" s="28">
        <f t="shared" si="57"/>
        <v>3.2508974870362986E-2</v>
      </c>
      <c r="P510" s="28">
        <f t="shared" si="58"/>
        <v>0.12883435582822086</v>
      </c>
      <c r="Q510" s="26">
        <f t="shared" si="59"/>
        <v>1.3145398773006136</v>
      </c>
      <c r="R510" s="29">
        <f t="shared" si="60"/>
        <v>10.203333333333333</v>
      </c>
      <c r="S510" s="30">
        <f t="shared" si="61"/>
        <v>4</v>
      </c>
      <c r="T510" s="30">
        <f t="shared" si="62"/>
        <v>2023</v>
      </c>
      <c r="U510" s="29" t="str">
        <f t="shared" si="63"/>
        <v>April</v>
      </c>
    </row>
    <row r="511" spans="1:21" ht="17.399999999999999" x14ac:dyDescent="0.3">
      <c r="A511" s="21" t="s">
        <v>1409</v>
      </c>
      <c r="B511" s="21" t="s">
        <v>1410</v>
      </c>
      <c r="C511" s="23" t="s">
        <v>3518</v>
      </c>
      <c r="D511" s="21" t="s">
        <v>3521</v>
      </c>
      <c r="E511" s="24">
        <v>45024</v>
      </c>
      <c r="F511" s="24">
        <v>45042</v>
      </c>
      <c r="G511" s="22" t="s">
        <v>16</v>
      </c>
      <c r="H511" s="25">
        <v>21309</v>
      </c>
      <c r="I511" s="25">
        <v>912</v>
      </c>
      <c r="J511" s="26">
        <v>630.4</v>
      </c>
      <c r="K511" s="25">
        <v>170</v>
      </c>
      <c r="L511" s="21" t="s">
        <v>21</v>
      </c>
      <c r="M511" s="22" t="s">
        <v>16</v>
      </c>
      <c r="N511" s="27">
        <f t="shared" si="56"/>
        <v>18</v>
      </c>
      <c r="O511" s="28">
        <f t="shared" si="57"/>
        <v>4.279881740109813E-2</v>
      </c>
      <c r="P511" s="28">
        <f t="shared" si="58"/>
        <v>0.18640350877192982</v>
      </c>
      <c r="Q511" s="26">
        <f t="shared" si="59"/>
        <v>0.69122807017543852</v>
      </c>
      <c r="R511" s="29">
        <f t="shared" si="60"/>
        <v>3.7082352941176469</v>
      </c>
      <c r="S511" s="30">
        <f t="shared" si="61"/>
        <v>4</v>
      </c>
      <c r="T511" s="30">
        <f t="shared" si="62"/>
        <v>2023</v>
      </c>
      <c r="U511" s="29" t="str">
        <f t="shared" si="63"/>
        <v>April</v>
      </c>
    </row>
    <row r="512" spans="1:21" ht="17.399999999999999" x14ac:dyDescent="0.3">
      <c r="A512" s="21" t="s">
        <v>3040</v>
      </c>
      <c r="B512" s="21" t="s">
        <v>3041</v>
      </c>
      <c r="C512" s="23" t="s">
        <v>3518</v>
      </c>
      <c r="D512" s="21" t="s">
        <v>3517</v>
      </c>
      <c r="E512" s="24">
        <v>45024</v>
      </c>
      <c r="F512" s="24">
        <v>45038</v>
      </c>
      <c r="G512" s="22" t="s">
        <v>31</v>
      </c>
      <c r="H512" s="25">
        <v>27292</v>
      </c>
      <c r="I512" s="25">
        <v>922</v>
      </c>
      <c r="J512" s="26">
        <v>1498.19</v>
      </c>
      <c r="K512" s="25">
        <v>109</v>
      </c>
      <c r="L512" s="21" t="s">
        <v>21</v>
      </c>
      <c r="M512" s="22" t="s">
        <v>31</v>
      </c>
      <c r="N512" s="27">
        <f t="shared" si="56"/>
        <v>14</v>
      </c>
      <c r="O512" s="28">
        <f t="shared" si="57"/>
        <v>3.3782793492598565E-2</v>
      </c>
      <c r="P512" s="28">
        <f t="shared" si="58"/>
        <v>0.11822125813449023</v>
      </c>
      <c r="Q512" s="26">
        <f t="shared" si="59"/>
        <v>1.6249349240780913</v>
      </c>
      <c r="R512" s="29">
        <f t="shared" si="60"/>
        <v>13.744862385321101</v>
      </c>
      <c r="S512" s="30">
        <f t="shared" si="61"/>
        <v>4</v>
      </c>
      <c r="T512" s="30">
        <f t="shared" si="62"/>
        <v>2023</v>
      </c>
      <c r="U512" s="29" t="str">
        <f t="shared" si="63"/>
        <v>April</v>
      </c>
    </row>
    <row r="513" spans="1:21" ht="17.399999999999999" x14ac:dyDescent="0.3">
      <c r="A513" s="21" t="s">
        <v>160</v>
      </c>
      <c r="B513" s="21" t="s">
        <v>161</v>
      </c>
      <c r="C513" s="23" t="s">
        <v>3515</v>
      </c>
      <c r="D513" s="21" t="s">
        <v>3521</v>
      </c>
      <c r="E513" s="24">
        <v>45024</v>
      </c>
      <c r="F513" s="24">
        <v>45032</v>
      </c>
      <c r="G513" s="22" t="s">
        <v>16</v>
      </c>
      <c r="H513" s="25">
        <v>25300</v>
      </c>
      <c r="I513" s="25">
        <v>1251</v>
      </c>
      <c r="J513" s="26">
        <v>2298.8000000000002</v>
      </c>
      <c r="K513" s="25">
        <v>105</v>
      </c>
      <c r="L513" s="21" t="s">
        <v>21</v>
      </c>
      <c r="M513" s="22" t="s">
        <v>16</v>
      </c>
      <c r="N513" s="27">
        <f t="shared" si="56"/>
        <v>8</v>
      </c>
      <c r="O513" s="28">
        <f t="shared" si="57"/>
        <v>4.9446640316205534E-2</v>
      </c>
      <c r="P513" s="28">
        <f t="shared" si="58"/>
        <v>8.3932853717026384E-2</v>
      </c>
      <c r="Q513" s="26">
        <f t="shared" si="59"/>
        <v>1.8375699440447644</v>
      </c>
      <c r="R513" s="29">
        <f t="shared" si="60"/>
        <v>21.893333333333334</v>
      </c>
      <c r="S513" s="30">
        <f t="shared" si="61"/>
        <v>4</v>
      </c>
      <c r="T513" s="30">
        <f t="shared" si="62"/>
        <v>2023</v>
      </c>
      <c r="U513" s="29" t="str">
        <f t="shared" si="63"/>
        <v>April</v>
      </c>
    </row>
    <row r="514" spans="1:21" ht="17.399999999999999" x14ac:dyDescent="0.3">
      <c r="A514" s="21" t="s">
        <v>2811</v>
      </c>
      <c r="B514" s="21" t="s">
        <v>2812</v>
      </c>
      <c r="C514" s="23" t="s">
        <v>3515</v>
      </c>
      <c r="D514" s="21" t="s">
        <v>3517</v>
      </c>
      <c r="E514" s="24">
        <v>45024</v>
      </c>
      <c r="F514" s="24">
        <v>45050</v>
      </c>
      <c r="G514" s="22" t="s">
        <v>31</v>
      </c>
      <c r="H514" s="25">
        <v>11616</v>
      </c>
      <c r="I514" s="25">
        <v>272</v>
      </c>
      <c r="J514" s="26">
        <v>264.13</v>
      </c>
      <c r="K514" s="25">
        <v>36</v>
      </c>
      <c r="L514" s="21" t="s">
        <v>17</v>
      </c>
      <c r="M514" s="22" t="s">
        <v>31</v>
      </c>
      <c r="N514" s="27">
        <f t="shared" ref="N514:N577" si="64">F514-E514</f>
        <v>26</v>
      </c>
      <c r="O514" s="28">
        <f t="shared" ref="O514:O577" si="65">I514/H514</f>
        <v>2.3415977961432508E-2</v>
      </c>
      <c r="P514" s="28">
        <f t="shared" ref="P514:P577" si="66">K514/I514</f>
        <v>0.13235294117647059</v>
      </c>
      <c r="Q514" s="26">
        <f t="shared" ref="Q514:Q577" si="67">J514/I514</f>
        <v>0.97106617647058824</v>
      </c>
      <c r="R514" s="29">
        <f t="shared" ref="R514:R577" si="68">IFERROR(J514/K514,"0")</f>
        <v>7.3369444444444447</v>
      </c>
      <c r="S514" s="30">
        <f t="shared" ref="S514:S577" si="69">MONTH(E514)</f>
        <v>4</v>
      </c>
      <c r="T514" s="30">
        <f t="shared" ref="T514:T577" si="70">YEAR(E514)</f>
        <v>2023</v>
      </c>
      <c r="U514" s="29" t="str">
        <f t="shared" ref="U514:U577" si="71">TEXT(E514,"mmmm")</f>
        <v>April</v>
      </c>
    </row>
    <row r="515" spans="1:21" ht="17.399999999999999" x14ac:dyDescent="0.3">
      <c r="A515" s="21" t="s">
        <v>45</v>
      </c>
      <c r="B515" s="22" t="s">
        <v>3679</v>
      </c>
      <c r="C515" s="23" t="s">
        <v>3519</v>
      </c>
      <c r="D515" s="22" t="s">
        <v>3545</v>
      </c>
      <c r="E515" s="24">
        <v>45025</v>
      </c>
      <c r="F515" s="24">
        <v>45200</v>
      </c>
      <c r="G515" s="22" t="s">
        <v>16</v>
      </c>
      <c r="H515" s="25">
        <v>63955</v>
      </c>
      <c r="I515" s="25">
        <v>2804</v>
      </c>
      <c r="J515" s="26">
        <v>3147.37</v>
      </c>
      <c r="K515" s="25">
        <v>536</v>
      </c>
      <c r="L515" s="21" t="s">
        <v>17</v>
      </c>
      <c r="M515" s="22" t="s">
        <v>16</v>
      </c>
      <c r="N515" s="27">
        <f t="shared" si="64"/>
        <v>175</v>
      </c>
      <c r="O515" s="28">
        <f t="shared" si="65"/>
        <v>4.3843327339535609E-2</v>
      </c>
      <c r="P515" s="28">
        <f t="shared" si="66"/>
        <v>0.19115549215406563</v>
      </c>
      <c r="Q515" s="26">
        <f t="shared" si="67"/>
        <v>1.1224572039942937</v>
      </c>
      <c r="R515" s="29">
        <f t="shared" si="68"/>
        <v>5.8719589552238807</v>
      </c>
      <c r="S515" s="30">
        <f t="shared" si="69"/>
        <v>4</v>
      </c>
      <c r="T515" s="30">
        <f t="shared" si="70"/>
        <v>2023</v>
      </c>
      <c r="U515" s="29" t="str">
        <f t="shared" si="71"/>
        <v>April</v>
      </c>
    </row>
    <row r="516" spans="1:21" ht="17.399999999999999" x14ac:dyDescent="0.3">
      <c r="A516" s="21" t="s">
        <v>426</v>
      </c>
      <c r="B516" s="21" t="s">
        <v>427</v>
      </c>
      <c r="C516" s="23" t="s">
        <v>3516</v>
      </c>
      <c r="D516" s="21" t="s">
        <v>3517</v>
      </c>
      <c r="E516" s="24">
        <v>45025</v>
      </c>
      <c r="F516" s="24">
        <v>45040</v>
      </c>
      <c r="G516" s="22" t="s">
        <v>14</v>
      </c>
      <c r="H516" s="25">
        <v>66733</v>
      </c>
      <c r="I516" s="25">
        <v>2621</v>
      </c>
      <c r="J516" s="26">
        <v>2740.82</v>
      </c>
      <c r="K516" s="25">
        <v>0</v>
      </c>
      <c r="L516" s="21" t="s">
        <v>17</v>
      </c>
      <c r="M516" s="22" t="s">
        <v>3537</v>
      </c>
      <c r="N516" s="27">
        <f t="shared" si="64"/>
        <v>15</v>
      </c>
      <c r="O516" s="28">
        <f t="shared" si="65"/>
        <v>3.9275920459143153E-2</v>
      </c>
      <c r="P516" s="28">
        <f t="shared" si="66"/>
        <v>0</v>
      </c>
      <c r="Q516" s="26">
        <f t="shared" si="67"/>
        <v>1.0457153758107594</v>
      </c>
      <c r="R516" s="29" t="str">
        <f t="shared" si="68"/>
        <v>0</v>
      </c>
      <c r="S516" s="30">
        <f t="shared" si="69"/>
        <v>4</v>
      </c>
      <c r="T516" s="30">
        <f t="shared" si="70"/>
        <v>2023</v>
      </c>
      <c r="U516" s="29" t="str">
        <f t="shared" si="71"/>
        <v>April</v>
      </c>
    </row>
    <row r="517" spans="1:21" ht="17.399999999999999" x14ac:dyDescent="0.3">
      <c r="A517" s="21" t="s">
        <v>2164</v>
      </c>
      <c r="B517" s="21" t="s">
        <v>2165</v>
      </c>
      <c r="C517" s="23" t="s">
        <v>3516</v>
      </c>
      <c r="D517" s="21" t="s">
        <v>3520</v>
      </c>
      <c r="E517" s="24">
        <v>45025</v>
      </c>
      <c r="F517" s="24">
        <v>45053</v>
      </c>
      <c r="G517" s="22" t="s">
        <v>3535</v>
      </c>
      <c r="H517" s="25">
        <v>40282</v>
      </c>
      <c r="I517" s="25">
        <v>442</v>
      </c>
      <c r="J517" s="26">
        <v>425.74</v>
      </c>
      <c r="K517" s="25">
        <v>71</v>
      </c>
      <c r="L517" s="21" t="s">
        <v>21</v>
      </c>
      <c r="M517" s="22" t="s">
        <v>3535</v>
      </c>
      <c r="N517" s="27">
        <f t="shared" si="64"/>
        <v>28</v>
      </c>
      <c r="O517" s="28">
        <f t="shared" si="65"/>
        <v>1.0972642867782136E-2</v>
      </c>
      <c r="P517" s="28">
        <f t="shared" si="66"/>
        <v>0.16063348416289594</v>
      </c>
      <c r="Q517" s="26">
        <f t="shared" si="67"/>
        <v>0.96321266968325792</v>
      </c>
      <c r="R517" s="29">
        <f t="shared" si="68"/>
        <v>5.9963380281690144</v>
      </c>
      <c r="S517" s="30">
        <f t="shared" si="69"/>
        <v>4</v>
      </c>
      <c r="T517" s="30">
        <f t="shared" si="70"/>
        <v>2023</v>
      </c>
      <c r="U517" s="29" t="str">
        <f t="shared" si="71"/>
        <v>April</v>
      </c>
    </row>
    <row r="518" spans="1:21" ht="17.399999999999999" x14ac:dyDescent="0.3">
      <c r="A518" s="21" t="s">
        <v>1280</v>
      </c>
      <c r="B518" s="21" t="s">
        <v>1281</v>
      </c>
      <c r="C518" s="23" t="s">
        <v>3515</v>
      </c>
      <c r="D518" s="21" t="s">
        <v>3517</v>
      </c>
      <c r="E518" s="24">
        <v>45025</v>
      </c>
      <c r="F518" s="24">
        <v>45028</v>
      </c>
      <c r="G518" s="22" t="s">
        <v>24</v>
      </c>
      <c r="H518" s="25">
        <v>83848</v>
      </c>
      <c r="I518" s="25">
        <v>3131</v>
      </c>
      <c r="J518" s="26">
        <v>4561.41</v>
      </c>
      <c r="K518" s="25">
        <v>177</v>
      </c>
      <c r="L518" s="21" t="s">
        <v>21</v>
      </c>
      <c r="M518" s="22" t="s">
        <v>3536</v>
      </c>
      <c r="N518" s="27">
        <f t="shared" si="64"/>
        <v>3</v>
      </c>
      <c r="O518" s="28">
        <f t="shared" si="65"/>
        <v>3.7341379639347388E-2</v>
      </c>
      <c r="P518" s="28">
        <f t="shared" si="66"/>
        <v>5.6531459597572657E-2</v>
      </c>
      <c r="Q518" s="26">
        <f t="shared" si="67"/>
        <v>1.4568540402427339</v>
      </c>
      <c r="R518" s="29">
        <f t="shared" si="68"/>
        <v>25.770677966101694</v>
      </c>
      <c r="S518" s="30">
        <f t="shared" si="69"/>
        <v>4</v>
      </c>
      <c r="T518" s="30">
        <f t="shared" si="70"/>
        <v>2023</v>
      </c>
      <c r="U518" s="29" t="str">
        <f t="shared" si="71"/>
        <v>April</v>
      </c>
    </row>
    <row r="519" spans="1:21" ht="17.399999999999999" x14ac:dyDescent="0.3">
      <c r="A519" s="21" t="s">
        <v>2597</v>
      </c>
      <c r="B519" s="22" t="s">
        <v>3680</v>
      </c>
      <c r="C519" s="23" t="s">
        <v>3518</v>
      </c>
      <c r="D519" s="22" t="s">
        <v>3545</v>
      </c>
      <c r="E519" s="24">
        <v>45026</v>
      </c>
      <c r="F519" s="24">
        <v>45037</v>
      </c>
      <c r="G519" s="22" t="s">
        <v>24</v>
      </c>
      <c r="H519" s="25">
        <v>35008</v>
      </c>
      <c r="I519" s="25">
        <v>368</v>
      </c>
      <c r="J519" s="26">
        <v>689.53</v>
      </c>
      <c r="K519" s="25">
        <v>28</v>
      </c>
      <c r="L519" s="21" t="s">
        <v>17</v>
      </c>
      <c r="M519" s="22" t="s">
        <v>3536</v>
      </c>
      <c r="N519" s="27">
        <f t="shared" si="64"/>
        <v>11</v>
      </c>
      <c r="O519" s="28">
        <f t="shared" si="65"/>
        <v>1.0511882998171846E-2</v>
      </c>
      <c r="P519" s="28">
        <f t="shared" si="66"/>
        <v>7.6086956521739135E-2</v>
      </c>
      <c r="Q519" s="26">
        <f t="shared" si="67"/>
        <v>1.8737228260869565</v>
      </c>
      <c r="R519" s="29">
        <f t="shared" si="68"/>
        <v>24.626071428571429</v>
      </c>
      <c r="S519" s="30">
        <f t="shared" si="69"/>
        <v>4</v>
      </c>
      <c r="T519" s="30">
        <f t="shared" si="70"/>
        <v>2023</v>
      </c>
      <c r="U519" s="29" t="str">
        <f t="shared" si="71"/>
        <v>April</v>
      </c>
    </row>
    <row r="520" spans="1:21" ht="17.399999999999999" x14ac:dyDescent="0.3">
      <c r="A520" s="21" t="s">
        <v>1666</v>
      </c>
      <c r="B520" s="21" t="s">
        <v>1667</v>
      </c>
      <c r="C520" s="23" t="s">
        <v>3516</v>
      </c>
      <c r="D520" s="21" t="s">
        <v>3520</v>
      </c>
      <c r="E520" s="24">
        <v>45026</v>
      </c>
      <c r="F520" s="24">
        <v>45053</v>
      </c>
      <c r="G520" s="22" t="s">
        <v>11</v>
      </c>
      <c r="H520" s="25">
        <v>80714</v>
      </c>
      <c r="I520" s="25">
        <v>3868</v>
      </c>
      <c r="J520" s="26">
        <v>5510.52</v>
      </c>
      <c r="K520" s="25">
        <v>717</v>
      </c>
      <c r="L520" s="21" t="s">
        <v>17</v>
      </c>
      <c r="M520" s="22" t="s">
        <v>11</v>
      </c>
      <c r="N520" s="27">
        <f t="shared" si="64"/>
        <v>27</v>
      </c>
      <c r="O520" s="28">
        <f t="shared" si="65"/>
        <v>4.7922293530242584E-2</v>
      </c>
      <c r="P520" s="28">
        <f t="shared" si="66"/>
        <v>0.18536711478800413</v>
      </c>
      <c r="Q520" s="26">
        <f t="shared" si="67"/>
        <v>1.42464322647363</v>
      </c>
      <c r="R520" s="29">
        <f t="shared" si="68"/>
        <v>7.6855230125523022</v>
      </c>
      <c r="S520" s="30">
        <f t="shared" si="69"/>
        <v>4</v>
      </c>
      <c r="T520" s="30">
        <f t="shared" si="70"/>
        <v>2023</v>
      </c>
      <c r="U520" s="29" t="str">
        <f t="shared" si="71"/>
        <v>April</v>
      </c>
    </row>
    <row r="521" spans="1:21" ht="17.399999999999999" x14ac:dyDescent="0.3">
      <c r="A521" s="21" t="s">
        <v>295</v>
      </c>
      <c r="B521" s="22" t="s">
        <v>3681</v>
      </c>
      <c r="C521" s="23" t="s">
        <v>3515</v>
      </c>
      <c r="D521" s="22" t="s">
        <v>3545</v>
      </c>
      <c r="E521" s="24">
        <v>45026</v>
      </c>
      <c r="F521" s="24">
        <v>45053</v>
      </c>
      <c r="G521" s="22" t="s">
        <v>31</v>
      </c>
      <c r="H521" s="25">
        <v>65044</v>
      </c>
      <c r="I521" s="25">
        <v>2202</v>
      </c>
      <c r="J521" s="26">
        <v>1863.31</v>
      </c>
      <c r="K521" s="25">
        <v>261</v>
      </c>
      <c r="L521" s="21" t="s">
        <v>17</v>
      </c>
      <c r="M521" s="22" t="s">
        <v>31</v>
      </c>
      <c r="N521" s="27">
        <f t="shared" si="64"/>
        <v>27</v>
      </c>
      <c r="O521" s="28">
        <f t="shared" si="65"/>
        <v>3.3854006518664291E-2</v>
      </c>
      <c r="P521" s="28">
        <f t="shared" si="66"/>
        <v>0.11852861035422343</v>
      </c>
      <c r="Q521" s="26">
        <f t="shared" si="67"/>
        <v>0.84618982742960946</v>
      </c>
      <c r="R521" s="29">
        <f t="shared" si="68"/>
        <v>7.1391187739463602</v>
      </c>
      <c r="S521" s="30">
        <f t="shared" si="69"/>
        <v>4</v>
      </c>
      <c r="T521" s="30">
        <f t="shared" si="70"/>
        <v>2023</v>
      </c>
      <c r="U521" s="29" t="str">
        <f t="shared" si="71"/>
        <v>April</v>
      </c>
    </row>
    <row r="522" spans="1:21" ht="17.399999999999999" x14ac:dyDescent="0.3">
      <c r="A522" s="21" t="s">
        <v>433</v>
      </c>
      <c r="B522" s="21" t="s">
        <v>434</v>
      </c>
      <c r="C522" s="23" t="s">
        <v>3515</v>
      </c>
      <c r="D522" s="21" t="s">
        <v>3521</v>
      </c>
      <c r="E522" s="24">
        <v>45026</v>
      </c>
      <c r="F522" s="24">
        <v>45031</v>
      </c>
      <c r="G522" s="22" t="s">
        <v>11</v>
      </c>
      <c r="H522" s="25">
        <v>23671</v>
      </c>
      <c r="I522" s="25">
        <v>962</v>
      </c>
      <c r="J522" s="26">
        <v>1912.13</v>
      </c>
      <c r="K522" s="25">
        <v>80</v>
      </c>
      <c r="L522" s="21" t="s">
        <v>21</v>
      </c>
      <c r="M522" s="22" t="s">
        <v>11</v>
      </c>
      <c r="N522" s="27">
        <f t="shared" si="64"/>
        <v>5</v>
      </c>
      <c r="O522" s="28">
        <f t="shared" si="65"/>
        <v>4.0640446115499981E-2</v>
      </c>
      <c r="P522" s="28">
        <f t="shared" si="66"/>
        <v>8.3160083160083165E-2</v>
      </c>
      <c r="Q522" s="26">
        <f t="shared" si="67"/>
        <v>1.9876611226611227</v>
      </c>
      <c r="R522" s="29">
        <f t="shared" si="68"/>
        <v>23.901625000000003</v>
      </c>
      <c r="S522" s="30">
        <f t="shared" si="69"/>
        <v>4</v>
      </c>
      <c r="T522" s="30">
        <f t="shared" si="70"/>
        <v>2023</v>
      </c>
      <c r="U522" s="29" t="str">
        <f t="shared" si="71"/>
        <v>April</v>
      </c>
    </row>
    <row r="523" spans="1:21" ht="17.399999999999999" x14ac:dyDescent="0.3">
      <c r="A523" s="21" t="s">
        <v>2483</v>
      </c>
      <c r="B523" s="21" t="s">
        <v>2484</v>
      </c>
      <c r="C523" s="23" t="s">
        <v>3515</v>
      </c>
      <c r="D523" s="21" t="s">
        <v>3520</v>
      </c>
      <c r="E523" s="24">
        <v>45026</v>
      </c>
      <c r="F523" s="24">
        <v>45029</v>
      </c>
      <c r="G523" s="22" t="s">
        <v>14</v>
      </c>
      <c r="H523" s="25">
        <v>79411</v>
      </c>
      <c r="I523" s="25">
        <v>3939</v>
      </c>
      <c r="J523" s="26">
        <v>3339.33</v>
      </c>
      <c r="K523" s="25">
        <v>288</v>
      </c>
      <c r="L523" s="21" t="s">
        <v>21</v>
      </c>
      <c r="M523" s="22" t="s">
        <v>3537</v>
      </c>
      <c r="N523" s="27">
        <f t="shared" si="64"/>
        <v>3</v>
      </c>
      <c r="O523" s="28">
        <f t="shared" si="65"/>
        <v>4.9602699877850674E-2</v>
      </c>
      <c r="P523" s="28">
        <f t="shared" si="66"/>
        <v>7.311500380807312E-2</v>
      </c>
      <c r="Q523" s="26">
        <f t="shared" si="67"/>
        <v>0.84776085300837778</v>
      </c>
      <c r="R523" s="29">
        <f t="shared" si="68"/>
        <v>11.594895833333332</v>
      </c>
      <c r="S523" s="30">
        <f t="shared" si="69"/>
        <v>4</v>
      </c>
      <c r="T523" s="30">
        <f t="shared" si="70"/>
        <v>2023</v>
      </c>
      <c r="U523" s="29" t="str">
        <f t="shared" si="71"/>
        <v>April</v>
      </c>
    </row>
    <row r="524" spans="1:21" ht="17.399999999999999" x14ac:dyDescent="0.3">
      <c r="A524" s="21" t="s">
        <v>3366</v>
      </c>
      <c r="B524" s="21" t="s">
        <v>3367</v>
      </c>
      <c r="C524" s="23" t="s">
        <v>3515</v>
      </c>
      <c r="D524" s="21" t="s">
        <v>3521</v>
      </c>
      <c r="E524" s="24">
        <v>45026</v>
      </c>
      <c r="F524" s="24">
        <v>45030</v>
      </c>
      <c r="G524" s="22" t="s">
        <v>31</v>
      </c>
      <c r="H524" s="25">
        <v>53269</v>
      </c>
      <c r="I524" s="25">
        <v>579</v>
      </c>
      <c r="J524" s="26">
        <v>545.66</v>
      </c>
      <c r="K524" s="25">
        <v>56</v>
      </c>
      <c r="L524" s="21" t="s">
        <v>21</v>
      </c>
      <c r="M524" s="22" t="s">
        <v>31</v>
      </c>
      <c r="N524" s="27">
        <f t="shared" si="64"/>
        <v>4</v>
      </c>
      <c r="O524" s="28">
        <f t="shared" si="65"/>
        <v>1.0869361166907582E-2</v>
      </c>
      <c r="P524" s="28">
        <f t="shared" si="66"/>
        <v>9.6718480138169263E-2</v>
      </c>
      <c r="Q524" s="26">
        <f t="shared" si="67"/>
        <v>0.94241796200345418</v>
      </c>
      <c r="R524" s="29">
        <f t="shared" si="68"/>
        <v>9.7439285714285706</v>
      </c>
      <c r="S524" s="30">
        <f t="shared" si="69"/>
        <v>4</v>
      </c>
      <c r="T524" s="30">
        <f t="shared" si="70"/>
        <v>2023</v>
      </c>
      <c r="U524" s="29" t="str">
        <f t="shared" si="71"/>
        <v>April</v>
      </c>
    </row>
    <row r="525" spans="1:21" ht="17.399999999999999" x14ac:dyDescent="0.3">
      <c r="A525" s="21" t="s">
        <v>1880</v>
      </c>
      <c r="B525" s="22" t="s">
        <v>3682</v>
      </c>
      <c r="C525" s="23" t="s">
        <v>3519</v>
      </c>
      <c r="D525" s="22" t="s">
        <v>3545</v>
      </c>
      <c r="E525" s="24">
        <v>45027</v>
      </c>
      <c r="F525" s="24">
        <v>45036</v>
      </c>
      <c r="G525" s="22" t="s">
        <v>14</v>
      </c>
      <c r="H525" s="25">
        <v>3219</v>
      </c>
      <c r="I525" s="25">
        <v>33</v>
      </c>
      <c r="J525" s="26">
        <v>29.28</v>
      </c>
      <c r="K525" s="25">
        <v>4</v>
      </c>
      <c r="L525" s="21" t="s">
        <v>21</v>
      </c>
      <c r="M525" s="22" t="s">
        <v>3537</v>
      </c>
      <c r="N525" s="27">
        <f t="shared" si="64"/>
        <v>9</v>
      </c>
      <c r="O525" s="28">
        <f t="shared" si="65"/>
        <v>1.0251630941286114E-2</v>
      </c>
      <c r="P525" s="28">
        <f t="shared" si="66"/>
        <v>0.12121212121212122</v>
      </c>
      <c r="Q525" s="26">
        <f t="shared" si="67"/>
        <v>0.88727272727272732</v>
      </c>
      <c r="R525" s="29">
        <f t="shared" si="68"/>
        <v>7.32</v>
      </c>
      <c r="S525" s="30">
        <f t="shared" si="69"/>
        <v>4</v>
      </c>
      <c r="T525" s="30">
        <f t="shared" si="70"/>
        <v>2023</v>
      </c>
      <c r="U525" s="29" t="str">
        <f t="shared" si="71"/>
        <v>April</v>
      </c>
    </row>
    <row r="526" spans="1:21" ht="17.399999999999999" x14ac:dyDescent="0.3">
      <c r="A526" s="21" t="s">
        <v>2645</v>
      </c>
      <c r="B526" s="21" t="s">
        <v>2646</v>
      </c>
      <c r="C526" s="23" t="s">
        <v>3519</v>
      </c>
      <c r="D526" s="21" t="s">
        <v>3517</v>
      </c>
      <c r="E526" s="24">
        <v>45027</v>
      </c>
      <c r="F526" s="24">
        <v>45032</v>
      </c>
      <c r="G526" s="22" t="s">
        <v>14</v>
      </c>
      <c r="H526" s="25">
        <v>45623</v>
      </c>
      <c r="I526" s="25">
        <v>1395</v>
      </c>
      <c r="J526" s="26">
        <v>1936.72</v>
      </c>
      <c r="K526" s="25">
        <v>82</v>
      </c>
      <c r="L526" s="21" t="s">
        <v>17</v>
      </c>
      <c r="M526" s="22" t="s">
        <v>3537</v>
      </c>
      <c r="N526" s="27">
        <f t="shared" si="64"/>
        <v>5</v>
      </c>
      <c r="O526" s="28">
        <f t="shared" si="65"/>
        <v>3.0576682813493194E-2</v>
      </c>
      <c r="P526" s="28">
        <f t="shared" si="66"/>
        <v>5.8781362007168457E-2</v>
      </c>
      <c r="Q526" s="26">
        <f t="shared" si="67"/>
        <v>1.3883297491039426</v>
      </c>
      <c r="R526" s="29">
        <f t="shared" si="68"/>
        <v>23.618536585365852</v>
      </c>
      <c r="S526" s="30">
        <f t="shared" si="69"/>
        <v>4</v>
      </c>
      <c r="T526" s="30">
        <f t="shared" si="70"/>
        <v>2023</v>
      </c>
      <c r="U526" s="29" t="str">
        <f t="shared" si="71"/>
        <v>April</v>
      </c>
    </row>
    <row r="527" spans="1:21" ht="17.399999999999999" x14ac:dyDescent="0.3">
      <c r="A527" s="21" t="s">
        <v>291</v>
      </c>
      <c r="B527" s="22" t="s">
        <v>3683</v>
      </c>
      <c r="C527" s="23" t="s">
        <v>3519</v>
      </c>
      <c r="D527" s="22" t="s">
        <v>3545</v>
      </c>
      <c r="E527" s="24">
        <v>45028</v>
      </c>
      <c r="F527" s="24">
        <v>45265</v>
      </c>
      <c r="G527" s="22" t="s">
        <v>31</v>
      </c>
      <c r="H527" s="25">
        <v>94426</v>
      </c>
      <c r="I527" s="25">
        <v>3072</v>
      </c>
      <c r="J527" s="26">
        <v>4273.53</v>
      </c>
      <c r="K527" s="25">
        <v>201</v>
      </c>
      <c r="L527" s="21" t="s">
        <v>21</v>
      </c>
      <c r="M527" s="22" t="s">
        <v>31</v>
      </c>
      <c r="N527" s="27">
        <f t="shared" si="64"/>
        <v>237</v>
      </c>
      <c r="O527" s="28">
        <f t="shared" si="65"/>
        <v>3.2533412407599605E-2</v>
      </c>
      <c r="P527" s="28">
        <f t="shared" si="66"/>
        <v>6.54296875E-2</v>
      </c>
      <c r="Q527" s="26">
        <f t="shared" si="67"/>
        <v>1.391123046875</v>
      </c>
      <c r="R527" s="29">
        <f t="shared" si="68"/>
        <v>21.261343283582089</v>
      </c>
      <c r="S527" s="30">
        <f t="shared" si="69"/>
        <v>4</v>
      </c>
      <c r="T527" s="30">
        <f t="shared" si="70"/>
        <v>2023</v>
      </c>
      <c r="U527" s="29" t="str">
        <f t="shared" si="71"/>
        <v>April</v>
      </c>
    </row>
    <row r="528" spans="1:21" ht="17.399999999999999" x14ac:dyDescent="0.3">
      <c r="A528" s="21" t="s">
        <v>3460</v>
      </c>
      <c r="B528" s="21" t="s">
        <v>3461</v>
      </c>
      <c r="C528" s="23" t="s">
        <v>3516</v>
      </c>
      <c r="D528" s="21" t="s">
        <v>3521</v>
      </c>
      <c r="E528" s="24">
        <v>45028</v>
      </c>
      <c r="F528" s="24">
        <v>45056</v>
      </c>
      <c r="G528" s="22" t="s">
        <v>24</v>
      </c>
      <c r="H528" s="25">
        <v>82941</v>
      </c>
      <c r="I528" s="25">
        <v>1061</v>
      </c>
      <c r="J528" s="26">
        <v>1790.96</v>
      </c>
      <c r="K528" s="25">
        <v>64</v>
      </c>
      <c r="L528" s="21" t="s">
        <v>17</v>
      </c>
      <c r="M528" s="22" t="s">
        <v>3536</v>
      </c>
      <c r="N528" s="27">
        <f t="shared" si="64"/>
        <v>28</v>
      </c>
      <c r="O528" s="28">
        <f t="shared" si="65"/>
        <v>1.2792225799061984E-2</v>
      </c>
      <c r="P528" s="28">
        <f t="shared" si="66"/>
        <v>6.0320452403393024E-2</v>
      </c>
      <c r="Q528" s="26">
        <f t="shared" si="67"/>
        <v>1.6879924599434497</v>
      </c>
      <c r="R528" s="29">
        <f t="shared" si="68"/>
        <v>27.983750000000001</v>
      </c>
      <c r="S528" s="30">
        <f t="shared" si="69"/>
        <v>4</v>
      </c>
      <c r="T528" s="30">
        <f t="shared" si="70"/>
        <v>2023</v>
      </c>
      <c r="U528" s="29" t="str">
        <f t="shared" si="71"/>
        <v>April</v>
      </c>
    </row>
    <row r="529" spans="1:21" ht="17.399999999999999" x14ac:dyDescent="0.3">
      <c r="A529" s="21" t="s">
        <v>95</v>
      </c>
      <c r="B529" s="21" t="s">
        <v>96</v>
      </c>
      <c r="C529" s="23" t="s">
        <v>3515</v>
      </c>
      <c r="D529" s="21" t="s">
        <v>3517</v>
      </c>
      <c r="E529" s="24">
        <v>45028</v>
      </c>
      <c r="F529" s="24">
        <v>45035</v>
      </c>
      <c r="G529" s="22" t="s">
        <v>31</v>
      </c>
      <c r="H529" s="25">
        <v>9792</v>
      </c>
      <c r="I529" s="25">
        <v>136</v>
      </c>
      <c r="J529" s="26">
        <v>235.62</v>
      </c>
      <c r="K529" s="25">
        <v>13</v>
      </c>
      <c r="L529" s="21" t="s">
        <v>21</v>
      </c>
      <c r="M529" s="22" t="s">
        <v>31</v>
      </c>
      <c r="N529" s="27">
        <f t="shared" si="64"/>
        <v>7</v>
      </c>
      <c r="O529" s="28">
        <f t="shared" si="65"/>
        <v>1.3888888888888888E-2</v>
      </c>
      <c r="P529" s="28">
        <f t="shared" si="66"/>
        <v>9.5588235294117641E-2</v>
      </c>
      <c r="Q529" s="26">
        <f t="shared" si="67"/>
        <v>1.7324999999999999</v>
      </c>
      <c r="R529" s="29">
        <f t="shared" si="68"/>
        <v>18.124615384615385</v>
      </c>
      <c r="S529" s="30">
        <f t="shared" si="69"/>
        <v>4</v>
      </c>
      <c r="T529" s="30">
        <f t="shared" si="70"/>
        <v>2023</v>
      </c>
      <c r="U529" s="29" t="str">
        <f t="shared" si="71"/>
        <v>April</v>
      </c>
    </row>
    <row r="530" spans="1:21" ht="17.399999999999999" x14ac:dyDescent="0.3">
      <c r="A530" s="21" t="s">
        <v>478</v>
      </c>
      <c r="B530" s="21" t="s">
        <v>479</v>
      </c>
      <c r="C530" s="23" t="s">
        <v>3515</v>
      </c>
      <c r="D530" s="21" t="s">
        <v>3520</v>
      </c>
      <c r="E530" s="24">
        <v>45028</v>
      </c>
      <c r="F530" s="24">
        <v>45055</v>
      </c>
      <c r="G530" s="22" t="s">
        <v>31</v>
      </c>
      <c r="H530" s="25">
        <v>2802</v>
      </c>
      <c r="I530" s="25">
        <v>119</v>
      </c>
      <c r="J530" s="26">
        <v>190.92</v>
      </c>
      <c r="K530" s="25">
        <v>11</v>
      </c>
      <c r="L530" s="21" t="s">
        <v>21</v>
      </c>
      <c r="M530" s="22" t="s">
        <v>31</v>
      </c>
      <c r="N530" s="27">
        <f t="shared" si="64"/>
        <v>27</v>
      </c>
      <c r="O530" s="28">
        <f t="shared" si="65"/>
        <v>4.246966452533904E-2</v>
      </c>
      <c r="P530" s="28">
        <f t="shared" si="66"/>
        <v>9.2436974789915971E-2</v>
      </c>
      <c r="Q530" s="26">
        <f t="shared" si="67"/>
        <v>1.6043697478991596</v>
      </c>
      <c r="R530" s="29">
        <f t="shared" si="68"/>
        <v>17.356363636363636</v>
      </c>
      <c r="S530" s="30">
        <f t="shared" si="69"/>
        <v>4</v>
      </c>
      <c r="T530" s="30">
        <f t="shared" si="70"/>
        <v>2023</v>
      </c>
      <c r="U530" s="29" t="str">
        <f t="shared" si="71"/>
        <v>April</v>
      </c>
    </row>
    <row r="531" spans="1:21" ht="17.399999999999999" x14ac:dyDescent="0.3">
      <c r="A531" s="21" t="s">
        <v>2591</v>
      </c>
      <c r="B531" s="21" t="s">
        <v>2592</v>
      </c>
      <c r="C531" s="23" t="s">
        <v>3515</v>
      </c>
      <c r="D531" s="21" t="s">
        <v>3520</v>
      </c>
      <c r="E531" s="24">
        <v>45028</v>
      </c>
      <c r="F531" s="24">
        <v>45057</v>
      </c>
      <c r="G531" s="22" t="s">
        <v>24</v>
      </c>
      <c r="H531" s="25">
        <v>36111</v>
      </c>
      <c r="I531" s="25">
        <v>1689</v>
      </c>
      <c r="J531" s="26">
        <v>1641.61</v>
      </c>
      <c r="K531" s="25">
        <v>150</v>
      </c>
      <c r="L531" s="21" t="s">
        <v>21</v>
      </c>
      <c r="M531" s="22" t="s">
        <v>3536</v>
      </c>
      <c r="N531" s="27">
        <f t="shared" si="64"/>
        <v>29</v>
      </c>
      <c r="O531" s="28">
        <f t="shared" si="65"/>
        <v>4.6772451607543411E-2</v>
      </c>
      <c r="P531" s="28">
        <f t="shared" si="66"/>
        <v>8.8809946714031973E-2</v>
      </c>
      <c r="Q531" s="26">
        <f t="shared" si="67"/>
        <v>0.97194197750148015</v>
      </c>
      <c r="R531" s="29">
        <f t="shared" si="68"/>
        <v>10.944066666666666</v>
      </c>
      <c r="S531" s="30">
        <f t="shared" si="69"/>
        <v>4</v>
      </c>
      <c r="T531" s="30">
        <f t="shared" si="70"/>
        <v>2023</v>
      </c>
      <c r="U531" s="29" t="str">
        <f t="shared" si="71"/>
        <v>April</v>
      </c>
    </row>
    <row r="532" spans="1:21" ht="17.399999999999999" x14ac:dyDescent="0.3">
      <c r="A532" s="21" t="s">
        <v>2795</v>
      </c>
      <c r="B532" s="21" t="s">
        <v>2796</v>
      </c>
      <c r="C532" s="23" t="s">
        <v>3515</v>
      </c>
      <c r="D532" s="21" t="s">
        <v>3520</v>
      </c>
      <c r="E532" s="24">
        <v>45028</v>
      </c>
      <c r="F532" s="24">
        <v>45173</v>
      </c>
      <c r="G532" s="22" t="s">
        <v>16</v>
      </c>
      <c r="H532" s="25">
        <v>52184</v>
      </c>
      <c r="I532" s="25">
        <v>1859</v>
      </c>
      <c r="J532" s="26">
        <v>2600.85</v>
      </c>
      <c r="K532" s="25">
        <v>303</v>
      </c>
      <c r="L532" s="21" t="s">
        <v>21</v>
      </c>
      <c r="M532" s="22" t="s">
        <v>16</v>
      </c>
      <c r="N532" s="27">
        <f t="shared" si="64"/>
        <v>145</v>
      </c>
      <c r="O532" s="28">
        <f t="shared" si="65"/>
        <v>3.5623946037099494E-2</v>
      </c>
      <c r="P532" s="28">
        <f t="shared" si="66"/>
        <v>0.16299085529854759</v>
      </c>
      <c r="Q532" s="26">
        <f t="shared" si="67"/>
        <v>1.3990586336740183</v>
      </c>
      <c r="R532" s="29">
        <f t="shared" si="68"/>
        <v>8.5836633663366335</v>
      </c>
      <c r="S532" s="30">
        <f t="shared" si="69"/>
        <v>4</v>
      </c>
      <c r="T532" s="30">
        <f t="shared" si="70"/>
        <v>2023</v>
      </c>
      <c r="U532" s="29" t="str">
        <f t="shared" si="71"/>
        <v>April</v>
      </c>
    </row>
    <row r="533" spans="1:21" ht="17.399999999999999" x14ac:dyDescent="0.3">
      <c r="A533" s="21" t="s">
        <v>643</v>
      </c>
      <c r="B533" s="22" t="s">
        <v>3684</v>
      </c>
      <c r="C533" s="23" t="s">
        <v>3519</v>
      </c>
      <c r="D533" s="22" t="s">
        <v>3545</v>
      </c>
      <c r="E533" s="24">
        <v>45029</v>
      </c>
      <c r="F533" s="24">
        <v>45046</v>
      </c>
      <c r="G533" s="22" t="s">
        <v>24</v>
      </c>
      <c r="H533" s="25">
        <v>44484</v>
      </c>
      <c r="I533" s="25">
        <v>1468</v>
      </c>
      <c r="J533" s="26">
        <v>1959.32</v>
      </c>
      <c r="K533" s="25">
        <v>76</v>
      </c>
      <c r="L533" s="21" t="s">
        <v>17</v>
      </c>
      <c r="M533" s="22" t="s">
        <v>3536</v>
      </c>
      <c r="N533" s="27">
        <f t="shared" si="64"/>
        <v>17</v>
      </c>
      <c r="O533" s="28">
        <f t="shared" si="65"/>
        <v>3.3000629439798576E-2</v>
      </c>
      <c r="P533" s="28">
        <f t="shared" si="66"/>
        <v>5.1771117166212535E-2</v>
      </c>
      <c r="Q533" s="26">
        <f t="shared" si="67"/>
        <v>1.3346866485013624</v>
      </c>
      <c r="R533" s="29">
        <f t="shared" si="68"/>
        <v>25.780526315789473</v>
      </c>
      <c r="S533" s="30">
        <f t="shared" si="69"/>
        <v>4</v>
      </c>
      <c r="T533" s="30">
        <f t="shared" si="70"/>
        <v>2023</v>
      </c>
      <c r="U533" s="29" t="str">
        <f t="shared" si="71"/>
        <v>April</v>
      </c>
    </row>
    <row r="534" spans="1:21" ht="17.399999999999999" x14ac:dyDescent="0.3">
      <c r="A534" s="21" t="s">
        <v>2771</v>
      </c>
      <c r="B534" s="21" t="s">
        <v>2772</v>
      </c>
      <c r="C534" s="23" t="s">
        <v>3519</v>
      </c>
      <c r="D534" s="21" t="s">
        <v>3520</v>
      </c>
      <c r="E534" s="24">
        <v>45029</v>
      </c>
      <c r="F534" s="24">
        <v>45039</v>
      </c>
      <c r="G534" s="22" t="s">
        <v>31</v>
      </c>
      <c r="H534" s="25">
        <v>67081</v>
      </c>
      <c r="I534" s="25">
        <v>2255</v>
      </c>
      <c r="J534" s="26">
        <v>3875.19</v>
      </c>
      <c r="K534" s="25">
        <v>325</v>
      </c>
      <c r="L534" s="21" t="s">
        <v>17</v>
      </c>
      <c r="M534" s="22" t="s">
        <v>31</v>
      </c>
      <c r="N534" s="27">
        <f t="shared" si="64"/>
        <v>10</v>
      </c>
      <c r="O534" s="28">
        <f t="shared" si="65"/>
        <v>3.3616076087118557E-2</v>
      </c>
      <c r="P534" s="28">
        <f t="shared" si="66"/>
        <v>0.14412416851441243</v>
      </c>
      <c r="Q534" s="26">
        <f t="shared" si="67"/>
        <v>1.7184878048780488</v>
      </c>
      <c r="R534" s="29">
        <f t="shared" si="68"/>
        <v>11.923661538461539</v>
      </c>
      <c r="S534" s="30">
        <f t="shared" si="69"/>
        <v>4</v>
      </c>
      <c r="T534" s="30">
        <f t="shared" si="70"/>
        <v>2023</v>
      </c>
      <c r="U534" s="29" t="str">
        <f t="shared" si="71"/>
        <v>April</v>
      </c>
    </row>
    <row r="535" spans="1:21" ht="17.399999999999999" x14ac:dyDescent="0.3">
      <c r="A535" s="21" t="s">
        <v>1009</v>
      </c>
      <c r="B535" s="22" t="s">
        <v>3685</v>
      </c>
      <c r="C535" s="23" t="s">
        <v>3518</v>
      </c>
      <c r="D535" s="22" t="s">
        <v>3545</v>
      </c>
      <c r="E535" s="24">
        <v>45029</v>
      </c>
      <c r="F535" s="24">
        <v>45058</v>
      </c>
      <c r="G535" s="22" t="s">
        <v>16</v>
      </c>
      <c r="H535" s="25">
        <v>16305</v>
      </c>
      <c r="I535" s="25">
        <v>737</v>
      </c>
      <c r="J535" s="26">
        <v>684.34</v>
      </c>
      <c r="K535" s="25">
        <v>136</v>
      </c>
      <c r="L535" s="21" t="s">
        <v>21</v>
      </c>
      <c r="M535" s="22" t="s">
        <v>16</v>
      </c>
      <c r="N535" s="27">
        <f t="shared" si="64"/>
        <v>29</v>
      </c>
      <c r="O535" s="28">
        <f t="shared" si="65"/>
        <v>4.5200858632321372E-2</v>
      </c>
      <c r="P535" s="28">
        <f t="shared" si="66"/>
        <v>0.18453188602442333</v>
      </c>
      <c r="Q535" s="26">
        <f t="shared" si="67"/>
        <v>0.9285481682496608</v>
      </c>
      <c r="R535" s="29">
        <f t="shared" si="68"/>
        <v>5.0319117647058826</v>
      </c>
      <c r="S535" s="30">
        <f t="shared" si="69"/>
        <v>4</v>
      </c>
      <c r="T535" s="30">
        <f t="shared" si="70"/>
        <v>2023</v>
      </c>
      <c r="U535" s="29" t="str">
        <f t="shared" si="71"/>
        <v>April</v>
      </c>
    </row>
    <row r="536" spans="1:21" ht="17.399999999999999" x14ac:dyDescent="0.3">
      <c r="A536" s="21" t="s">
        <v>1068</v>
      </c>
      <c r="B536" s="21" t="s">
        <v>1069</v>
      </c>
      <c r="C536" s="23" t="s">
        <v>3518</v>
      </c>
      <c r="D536" s="21" t="s">
        <v>3517</v>
      </c>
      <c r="E536" s="24">
        <v>45029</v>
      </c>
      <c r="F536" s="24">
        <v>45054</v>
      </c>
      <c r="G536" s="22" t="s">
        <v>24</v>
      </c>
      <c r="H536" s="25">
        <v>33479</v>
      </c>
      <c r="I536" s="25">
        <v>373</v>
      </c>
      <c r="J536" s="26">
        <v>400.37</v>
      </c>
      <c r="K536" s="25">
        <v>35</v>
      </c>
      <c r="L536" s="21" t="s">
        <v>17</v>
      </c>
      <c r="M536" s="22" t="s">
        <v>3536</v>
      </c>
      <c r="N536" s="27">
        <f t="shared" si="64"/>
        <v>25</v>
      </c>
      <c r="O536" s="28">
        <f t="shared" si="65"/>
        <v>1.1141312464530003E-2</v>
      </c>
      <c r="P536" s="28">
        <f t="shared" si="66"/>
        <v>9.3833780160857902E-2</v>
      </c>
      <c r="Q536" s="26">
        <f t="shared" si="67"/>
        <v>1.0733780160857909</v>
      </c>
      <c r="R536" s="29">
        <f t="shared" si="68"/>
        <v>11.439142857142857</v>
      </c>
      <c r="S536" s="30">
        <f t="shared" si="69"/>
        <v>4</v>
      </c>
      <c r="T536" s="30">
        <f t="shared" si="70"/>
        <v>2023</v>
      </c>
      <c r="U536" s="29" t="str">
        <f t="shared" si="71"/>
        <v>April</v>
      </c>
    </row>
    <row r="537" spans="1:21" ht="17.399999999999999" x14ac:dyDescent="0.3">
      <c r="A537" s="21" t="s">
        <v>2245</v>
      </c>
      <c r="B537" s="21" t="s">
        <v>2246</v>
      </c>
      <c r="C537" s="23" t="s">
        <v>3518</v>
      </c>
      <c r="D537" s="21" t="s">
        <v>3517</v>
      </c>
      <c r="E537" s="24">
        <v>45029</v>
      </c>
      <c r="F537" s="24">
        <v>45048</v>
      </c>
      <c r="G537" s="22" t="s">
        <v>24</v>
      </c>
      <c r="H537" s="25">
        <v>21806</v>
      </c>
      <c r="I537" s="25">
        <v>568</v>
      </c>
      <c r="J537" s="26">
        <v>825.93</v>
      </c>
      <c r="K537" s="25">
        <v>30</v>
      </c>
      <c r="L537" s="21" t="s">
        <v>21</v>
      </c>
      <c r="M537" s="22" t="s">
        <v>3536</v>
      </c>
      <c r="N537" s="27">
        <f t="shared" si="64"/>
        <v>19</v>
      </c>
      <c r="O537" s="28">
        <f t="shared" si="65"/>
        <v>2.6047876731174906E-2</v>
      </c>
      <c r="P537" s="28">
        <f t="shared" si="66"/>
        <v>5.2816901408450703E-2</v>
      </c>
      <c r="Q537" s="26">
        <f t="shared" si="67"/>
        <v>1.4541021126760563</v>
      </c>
      <c r="R537" s="29">
        <f t="shared" si="68"/>
        <v>27.530999999999999</v>
      </c>
      <c r="S537" s="30">
        <f t="shared" si="69"/>
        <v>4</v>
      </c>
      <c r="T537" s="30">
        <f t="shared" si="70"/>
        <v>2023</v>
      </c>
      <c r="U537" s="29" t="str">
        <f t="shared" si="71"/>
        <v>April</v>
      </c>
    </row>
    <row r="538" spans="1:21" ht="17.399999999999999" x14ac:dyDescent="0.3">
      <c r="A538" s="21" t="s">
        <v>3438</v>
      </c>
      <c r="B538" s="21" t="s">
        <v>3439</v>
      </c>
      <c r="C538" s="23" t="s">
        <v>3518</v>
      </c>
      <c r="D538" s="21" t="s">
        <v>3517</v>
      </c>
      <c r="E538" s="24">
        <v>45029</v>
      </c>
      <c r="F538" s="24">
        <v>45030</v>
      </c>
      <c r="G538" s="22" t="s">
        <v>3535</v>
      </c>
      <c r="H538" s="25">
        <v>91827</v>
      </c>
      <c r="I538" s="25">
        <v>1072</v>
      </c>
      <c r="J538" s="26">
        <v>1558.54</v>
      </c>
      <c r="K538" s="25">
        <v>208</v>
      </c>
      <c r="L538" s="21" t="s">
        <v>21</v>
      </c>
      <c r="M538" s="22" t="s">
        <v>3535</v>
      </c>
      <c r="N538" s="27">
        <f t="shared" si="64"/>
        <v>1</v>
      </c>
      <c r="O538" s="28">
        <f t="shared" si="65"/>
        <v>1.1674126346281595E-2</v>
      </c>
      <c r="P538" s="28">
        <f t="shared" si="66"/>
        <v>0.19402985074626866</v>
      </c>
      <c r="Q538" s="26">
        <f t="shared" si="67"/>
        <v>1.4538619402985073</v>
      </c>
      <c r="R538" s="29">
        <f t="shared" si="68"/>
        <v>7.4929807692307691</v>
      </c>
      <c r="S538" s="30">
        <f t="shared" si="69"/>
        <v>4</v>
      </c>
      <c r="T538" s="30">
        <f t="shared" si="70"/>
        <v>2023</v>
      </c>
      <c r="U538" s="29" t="str">
        <f t="shared" si="71"/>
        <v>April</v>
      </c>
    </row>
    <row r="539" spans="1:21" ht="17.399999999999999" x14ac:dyDescent="0.3">
      <c r="A539" s="21" t="s">
        <v>938</v>
      </c>
      <c r="B539" s="21" t="s">
        <v>939</v>
      </c>
      <c r="C539" s="23" t="s">
        <v>3516</v>
      </c>
      <c r="D539" s="21" t="s">
        <v>3520</v>
      </c>
      <c r="E539" s="24">
        <v>45029</v>
      </c>
      <c r="F539" s="24">
        <v>45041</v>
      </c>
      <c r="G539" s="22" t="s">
        <v>24</v>
      </c>
      <c r="H539" s="25">
        <v>42975</v>
      </c>
      <c r="I539" s="25">
        <v>451</v>
      </c>
      <c r="J539" s="26">
        <v>797.05</v>
      </c>
      <c r="K539" s="25">
        <v>0</v>
      </c>
      <c r="L539" s="21" t="s">
        <v>21</v>
      </c>
      <c r="M539" s="22" t="s">
        <v>3536</v>
      </c>
      <c r="N539" s="27">
        <f t="shared" si="64"/>
        <v>12</v>
      </c>
      <c r="O539" s="28">
        <f t="shared" si="65"/>
        <v>1.0494473531122745E-2</v>
      </c>
      <c r="P539" s="28">
        <f t="shared" si="66"/>
        <v>0</v>
      </c>
      <c r="Q539" s="26">
        <f t="shared" si="67"/>
        <v>1.7672949002217293</v>
      </c>
      <c r="R539" s="29" t="str">
        <f t="shared" si="68"/>
        <v>0</v>
      </c>
      <c r="S539" s="30">
        <f t="shared" si="69"/>
        <v>4</v>
      </c>
      <c r="T539" s="30">
        <f t="shared" si="70"/>
        <v>2023</v>
      </c>
      <c r="U539" s="29" t="str">
        <f t="shared" si="71"/>
        <v>April</v>
      </c>
    </row>
    <row r="540" spans="1:21" ht="17.399999999999999" x14ac:dyDescent="0.3">
      <c r="A540" s="21" t="s">
        <v>1573</v>
      </c>
      <c r="B540" s="21" t="s">
        <v>1574</v>
      </c>
      <c r="C540" s="23" t="s">
        <v>3516</v>
      </c>
      <c r="D540" s="21" t="s">
        <v>3520</v>
      </c>
      <c r="E540" s="24">
        <v>45029</v>
      </c>
      <c r="F540" s="24">
        <v>45047</v>
      </c>
      <c r="G540" s="22" t="s">
        <v>31</v>
      </c>
      <c r="H540" s="25">
        <v>93705</v>
      </c>
      <c r="I540" s="25">
        <v>3558</v>
      </c>
      <c r="J540" s="26">
        <v>6985.1</v>
      </c>
      <c r="K540" s="25">
        <v>652</v>
      </c>
      <c r="L540" s="21" t="s">
        <v>21</v>
      </c>
      <c r="M540" s="22" t="s">
        <v>31</v>
      </c>
      <c r="N540" s="27">
        <f t="shared" si="64"/>
        <v>18</v>
      </c>
      <c r="O540" s="28">
        <f t="shared" si="65"/>
        <v>3.7970225708340001E-2</v>
      </c>
      <c r="P540" s="28">
        <f t="shared" si="66"/>
        <v>0.18324901630129287</v>
      </c>
      <c r="Q540" s="26">
        <f t="shared" si="67"/>
        <v>1.9632096683530074</v>
      </c>
      <c r="R540" s="29">
        <f t="shared" si="68"/>
        <v>10.71334355828221</v>
      </c>
      <c r="S540" s="30">
        <f t="shared" si="69"/>
        <v>4</v>
      </c>
      <c r="T540" s="30">
        <f t="shared" si="70"/>
        <v>2023</v>
      </c>
      <c r="U540" s="29" t="str">
        <f t="shared" si="71"/>
        <v>April</v>
      </c>
    </row>
    <row r="541" spans="1:21" ht="17.399999999999999" x14ac:dyDescent="0.3">
      <c r="A541" s="21" t="s">
        <v>3337</v>
      </c>
      <c r="B541" s="21" t="s">
        <v>3338</v>
      </c>
      <c r="C541" s="23" t="s">
        <v>3516</v>
      </c>
      <c r="D541" s="21" t="s">
        <v>3520</v>
      </c>
      <c r="E541" s="24">
        <v>45029</v>
      </c>
      <c r="F541" s="24">
        <v>45111</v>
      </c>
      <c r="G541" s="22" t="s">
        <v>14</v>
      </c>
      <c r="H541" s="25">
        <v>7154</v>
      </c>
      <c r="I541" s="25">
        <v>148</v>
      </c>
      <c r="J541" s="26">
        <v>130.91999999999999</v>
      </c>
      <c r="K541" s="25">
        <v>15</v>
      </c>
      <c r="L541" s="21" t="s">
        <v>21</v>
      </c>
      <c r="M541" s="22" t="s">
        <v>3537</v>
      </c>
      <c r="N541" s="27">
        <f t="shared" si="64"/>
        <v>82</v>
      </c>
      <c r="O541" s="28">
        <f t="shared" si="65"/>
        <v>2.0687727145652781E-2</v>
      </c>
      <c r="P541" s="28">
        <f t="shared" si="66"/>
        <v>0.10135135135135136</v>
      </c>
      <c r="Q541" s="26">
        <f t="shared" si="67"/>
        <v>0.88459459459459455</v>
      </c>
      <c r="R541" s="29">
        <f t="shared" si="68"/>
        <v>8.7279999999999998</v>
      </c>
      <c r="S541" s="30">
        <f t="shared" si="69"/>
        <v>4</v>
      </c>
      <c r="T541" s="30">
        <f t="shared" si="70"/>
        <v>2023</v>
      </c>
      <c r="U541" s="29" t="str">
        <f t="shared" si="71"/>
        <v>April</v>
      </c>
    </row>
    <row r="542" spans="1:21" ht="17.399999999999999" x14ac:dyDescent="0.3">
      <c r="A542" s="21" t="s">
        <v>1910</v>
      </c>
      <c r="B542" s="22" t="s">
        <v>3686</v>
      </c>
      <c r="C542" s="23" t="s">
        <v>3518</v>
      </c>
      <c r="D542" s="22" t="s">
        <v>3545</v>
      </c>
      <c r="E542" s="24">
        <v>45030</v>
      </c>
      <c r="F542" s="24">
        <v>45046</v>
      </c>
      <c r="G542" s="22" t="s">
        <v>24</v>
      </c>
      <c r="H542" s="25">
        <v>13219</v>
      </c>
      <c r="I542" s="25">
        <v>447</v>
      </c>
      <c r="J542" s="26">
        <v>334.85</v>
      </c>
      <c r="K542" s="25">
        <v>61</v>
      </c>
      <c r="L542" s="21" t="s">
        <v>21</v>
      </c>
      <c r="M542" s="22" t="s">
        <v>3536</v>
      </c>
      <c r="N542" s="27">
        <f t="shared" si="64"/>
        <v>16</v>
      </c>
      <c r="O542" s="28">
        <f t="shared" si="65"/>
        <v>3.3814963310386567E-2</v>
      </c>
      <c r="P542" s="28">
        <f t="shared" si="66"/>
        <v>0.13646532438478748</v>
      </c>
      <c r="Q542" s="26">
        <f t="shared" si="67"/>
        <v>0.7491051454138703</v>
      </c>
      <c r="R542" s="29">
        <f t="shared" si="68"/>
        <v>5.4893442622950825</v>
      </c>
      <c r="S542" s="30">
        <f t="shared" si="69"/>
        <v>4</v>
      </c>
      <c r="T542" s="30">
        <f t="shared" si="70"/>
        <v>2023</v>
      </c>
      <c r="U542" s="29" t="str">
        <f t="shared" si="71"/>
        <v>April</v>
      </c>
    </row>
    <row r="543" spans="1:21" ht="17.399999999999999" x14ac:dyDescent="0.3">
      <c r="A543" s="21" t="s">
        <v>2758</v>
      </c>
      <c r="B543" s="21" t="s">
        <v>2759</v>
      </c>
      <c r="C543" s="23" t="s">
        <v>3518</v>
      </c>
      <c r="D543" s="21" t="s">
        <v>3517</v>
      </c>
      <c r="E543" s="24">
        <v>45030</v>
      </c>
      <c r="F543" s="24">
        <v>45039</v>
      </c>
      <c r="G543" s="22" t="s">
        <v>14</v>
      </c>
      <c r="H543" s="25">
        <v>28345</v>
      </c>
      <c r="I543" s="25">
        <v>808</v>
      </c>
      <c r="J543" s="26">
        <v>1065.1300000000001</v>
      </c>
      <c r="K543" s="25">
        <v>53</v>
      </c>
      <c r="L543" s="21" t="s">
        <v>21</v>
      </c>
      <c r="M543" s="22" t="s">
        <v>3537</v>
      </c>
      <c r="N543" s="27">
        <f t="shared" si="64"/>
        <v>9</v>
      </c>
      <c r="O543" s="28">
        <f t="shared" si="65"/>
        <v>2.8505909331451754E-2</v>
      </c>
      <c r="P543" s="28">
        <f t="shared" si="66"/>
        <v>6.5594059405940597E-2</v>
      </c>
      <c r="Q543" s="26">
        <f t="shared" si="67"/>
        <v>1.3182301980198021</v>
      </c>
      <c r="R543" s="29">
        <f t="shared" si="68"/>
        <v>20.09679245283019</v>
      </c>
      <c r="S543" s="30">
        <f t="shared" si="69"/>
        <v>4</v>
      </c>
      <c r="T543" s="30">
        <f t="shared" si="70"/>
        <v>2023</v>
      </c>
      <c r="U543" s="29" t="str">
        <f t="shared" si="71"/>
        <v>April</v>
      </c>
    </row>
    <row r="544" spans="1:21" ht="17.399999999999999" x14ac:dyDescent="0.3">
      <c r="A544" s="21" t="s">
        <v>3417</v>
      </c>
      <c r="B544" s="21" t="s">
        <v>3418</v>
      </c>
      <c r="C544" s="23" t="s">
        <v>3518</v>
      </c>
      <c r="D544" s="21" t="s">
        <v>3521</v>
      </c>
      <c r="E544" s="24">
        <v>45030</v>
      </c>
      <c r="F544" s="24">
        <v>45057</v>
      </c>
      <c r="G544" s="22" t="s">
        <v>24</v>
      </c>
      <c r="H544" s="25">
        <v>66641</v>
      </c>
      <c r="I544" s="25">
        <v>1005</v>
      </c>
      <c r="J544" s="26">
        <v>1069.0999999999999</v>
      </c>
      <c r="K544" s="25">
        <v>165</v>
      </c>
      <c r="L544" s="21" t="s">
        <v>17</v>
      </c>
      <c r="M544" s="22" t="s">
        <v>3536</v>
      </c>
      <c r="N544" s="27">
        <f t="shared" si="64"/>
        <v>27</v>
      </c>
      <c r="O544" s="28">
        <f t="shared" si="65"/>
        <v>1.5080806110352486E-2</v>
      </c>
      <c r="P544" s="28">
        <f t="shared" si="66"/>
        <v>0.16417910447761194</v>
      </c>
      <c r="Q544" s="26">
        <f t="shared" si="67"/>
        <v>1.0637810945273631</v>
      </c>
      <c r="R544" s="29">
        <f t="shared" si="68"/>
        <v>6.4793939393939386</v>
      </c>
      <c r="S544" s="30">
        <f t="shared" si="69"/>
        <v>4</v>
      </c>
      <c r="T544" s="30">
        <f t="shared" si="70"/>
        <v>2023</v>
      </c>
      <c r="U544" s="29" t="str">
        <f t="shared" si="71"/>
        <v>April</v>
      </c>
    </row>
    <row r="545" spans="1:21" ht="17.399999999999999" x14ac:dyDescent="0.3">
      <c r="A545" s="21" t="s">
        <v>2699</v>
      </c>
      <c r="B545" s="21" t="s">
        <v>2700</v>
      </c>
      <c r="C545" s="23" t="s">
        <v>3516</v>
      </c>
      <c r="D545" s="21" t="s">
        <v>3520</v>
      </c>
      <c r="E545" s="24">
        <v>45030</v>
      </c>
      <c r="F545" s="24">
        <v>45044</v>
      </c>
      <c r="G545" s="22" t="s">
        <v>14</v>
      </c>
      <c r="H545" s="25">
        <v>12122</v>
      </c>
      <c r="I545" s="25">
        <v>232</v>
      </c>
      <c r="J545" s="26">
        <v>300.83</v>
      </c>
      <c r="K545" s="25">
        <v>46</v>
      </c>
      <c r="L545" s="21" t="s">
        <v>21</v>
      </c>
      <c r="M545" s="22" t="s">
        <v>3537</v>
      </c>
      <c r="N545" s="27">
        <f t="shared" si="64"/>
        <v>14</v>
      </c>
      <c r="O545" s="28">
        <f t="shared" si="65"/>
        <v>1.9138755980861243E-2</v>
      </c>
      <c r="P545" s="28">
        <f t="shared" si="66"/>
        <v>0.19827586206896552</v>
      </c>
      <c r="Q545" s="26">
        <f t="shared" si="67"/>
        <v>1.2966810344827586</v>
      </c>
      <c r="R545" s="29">
        <f t="shared" si="68"/>
        <v>6.5397826086956519</v>
      </c>
      <c r="S545" s="30">
        <f t="shared" si="69"/>
        <v>4</v>
      </c>
      <c r="T545" s="30">
        <f t="shared" si="70"/>
        <v>2023</v>
      </c>
      <c r="U545" s="29" t="str">
        <f t="shared" si="71"/>
        <v>April</v>
      </c>
    </row>
    <row r="546" spans="1:21" ht="17.399999999999999" x14ac:dyDescent="0.3">
      <c r="A546" s="21" t="s">
        <v>1008</v>
      </c>
      <c r="B546" s="22" t="s">
        <v>3687</v>
      </c>
      <c r="C546" s="23" t="s">
        <v>3515</v>
      </c>
      <c r="D546" s="22" t="s">
        <v>3545</v>
      </c>
      <c r="E546" s="24">
        <v>45030</v>
      </c>
      <c r="F546" s="24">
        <v>45058</v>
      </c>
      <c r="G546" s="22" t="s">
        <v>11</v>
      </c>
      <c r="H546" s="25">
        <v>89668</v>
      </c>
      <c r="I546" s="25">
        <v>3556</v>
      </c>
      <c r="J546" s="26">
        <v>3466.67</v>
      </c>
      <c r="K546" s="25">
        <v>641</v>
      </c>
      <c r="L546" s="21" t="s">
        <v>17</v>
      </c>
      <c r="M546" s="22" t="s">
        <v>11</v>
      </c>
      <c r="N546" s="27">
        <f t="shared" si="64"/>
        <v>28</v>
      </c>
      <c r="O546" s="28">
        <f t="shared" si="65"/>
        <v>3.9657402863897934E-2</v>
      </c>
      <c r="P546" s="28">
        <f t="shared" si="66"/>
        <v>0.18025871766029247</v>
      </c>
      <c r="Q546" s="26">
        <f t="shared" si="67"/>
        <v>0.97487907761529813</v>
      </c>
      <c r="R546" s="29">
        <f t="shared" si="68"/>
        <v>5.4082215288611541</v>
      </c>
      <c r="S546" s="30">
        <f t="shared" si="69"/>
        <v>4</v>
      </c>
      <c r="T546" s="30">
        <f t="shared" si="70"/>
        <v>2023</v>
      </c>
      <c r="U546" s="29" t="str">
        <f t="shared" si="71"/>
        <v>April</v>
      </c>
    </row>
    <row r="547" spans="1:21" ht="17.399999999999999" x14ac:dyDescent="0.3">
      <c r="A547" s="21" t="s">
        <v>2815</v>
      </c>
      <c r="B547" s="21" t="s">
        <v>2816</v>
      </c>
      <c r="C547" s="23" t="s">
        <v>3515</v>
      </c>
      <c r="D547" s="21" t="s">
        <v>3520</v>
      </c>
      <c r="E547" s="24">
        <v>45030</v>
      </c>
      <c r="F547" s="24">
        <v>45058</v>
      </c>
      <c r="G547" s="22" t="s">
        <v>14</v>
      </c>
      <c r="H547" s="25">
        <v>25574</v>
      </c>
      <c r="I547" s="25">
        <v>670</v>
      </c>
      <c r="J547" s="26">
        <v>552.66</v>
      </c>
      <c r="K547" s="25">
        <v>0</v>
      </c>
      <c r="L547" s="21" t="s">
        <v>21</v>
      </c>
      <c r="M547" s="22" t="s">
        <v>3537</v>
      </c>
      <c r="N547" s="27">
        <f t="shared" si="64"/>
        <v>28</v>
      </c>
      <c r="O547" s="28">
        <f t="shared" si="65"/>
        <v>2.6198482834128411E-2</v>
      </c>
      <c r="P547" s="28">
        <f t="shared" si="66"/>
        <v>0</v>
      </c>
      <c r="Q547" s="26">
        <f t="shared" si="67"/>
        <v>0.82486567164179103</v>
      </c>
      <c r="R547" s="29" t="str">
        <f t="shared" si="68"/>
        <v>0</v>
      </c>
      <c r="S547" s="30">
        <f t="shared" si="69"/>
        <v>4</v>
      </c>
      <c r="T547" s="30">
        <f t="shared" si="70"/>
        <v>2023</v>
      </c>
      <c r="U547" s="29" t="str">
        <f t="shared" si="71"/>
        <v>April</v>
      </c>
    </row>
    <row r="548" spans="1:21" ht="17.399999999999999" x14ac:dyDescent="0.3">
      <c r="A548" s="21" t="s">
        <v>1208</v>
      </c>
      <c r="B548" s="21" t="s">
        <v>1209</v>
      </c>
      <c r="C548" s="23" t="s">
        <v>3518</v>
      </c>
      <c r="D548" s="21" t="s">
        <v>3517</v>
      </c>
      <c r="E548" s="24">
        <v>45031</v>
      </c>
      <c r="F548" s="24">
        <v>45040</v>
      </c>
      <c r="G548" s="22" t="s">
        <v>31</v>
      </c>
      <c r="H548" s="25">
        <v>84285</v>
      </c>
      <c r="I548" s="25">
        <v>1772</v>
      </c>
      <c r="J548" s="26">
        <v>1673.81</v>
      </c>
      <c r="K548" s="25">
        <v>317</v>
      </c>
      <c r="L548" s="21" t="s">
        <v>17</v>
      </c>
      <c r="M548" s="22" t="s">
        <v>31</v>
      </c>
      <c r="N548" s="27">
        <f t="shared" si="64"/>
        <v>9</v>
      </c>
      <c r="O548" s="28">
        <f t="shared" si="65"/>
        <v>2.1023906982262561E-2</v>
      </c>
      <c r="P548" s="28">
        <f t="shared" si="66"/>
        <v>0.17889390519187359</v>
      </c>
      <c r="Q548" s="26">
        <f t="shared" si="67"/>
        <v>0.94458803611738151</v>
      </c>
      <c r="R548" s="29">
        <f t="shared" si="68"/>
        <v>5.2801577287066248</v>
      </c>
      <c r="S548" s="30">
        <f t="shared" si="69"/>
        <v>4</v>
      </c>
      <c r="T548" s="30">
        <f t="shared" si="70"/>
        <v>2023</v>
      </c>
      <c r="U548" s="29" t="str">
        <f t="shared" si="71"/>
        <v>April</v>
      </c>
    </row>
    <row r="549" spans="1:21" ht="17.399999999999999" x14ac:dyDescent="0.3">
      <c r="A549" s="21" t="s">
        <v>811</v>
      </c>
      <c r="B549" s="21" t="s">
        <v>812</v>
      </c>
      <c r="C549" s="23" t="s">
        <v>3516</v>
      </c>
      <c r="D549" s="21" t="s">
        <v>3521</v>
      </c>
      <c r="E549" s="24">
        <v>45031</v>
      </c>
      <c r="F549" s="24">
        <v>45043</v>
      </c>
      <c r="G549" s="22" t="s">
        <v>11</v>
      </c>
      <c r="H549" s="25">
        <v>95476</v>
      </c>
      <c r="I549" s="25">
        <v>1246</v>
      </c>
      <c r="J549" s="26">
        <v>1600.75</v>
      </c>
      <c r="K549" s="25">
        <v>80</v>
      </c>
      <c r="L549" s="21" t="s">
        <v>21</v>
      </c>
      <c r="M549" s="22" t="s">
        <v>11</v>
      </c>
      <c r="N549" s="27">
        <f t="shared" si="64"/>
        <v>12</v>
      </c>
      <c r="O549" s="28">
        <f t="shared" si="65"/>
        <v>1.305040010054883E-2</v>
      </c>
      <c r="P549" s="28">
        <f t="shared" si="66"/>
        <v>6.4205457463884424E-2</v>
      </c>
      <c r="Q549" s="26">
        <f t="shared" si="67"/>
        <v>1.2847110754414126</v>
      </c>
      <c r="R549" s="29">
        <f t="shared" si="68"/>
        <v>20.009374999999999</v>
      </c>
      <c r="S549" s="30">
        <f t="shared" si="69"/>
        <v>4</v>
      </c>
      <c r="T549" s="30">
        <f t="shared" si="70"/>
        <v>2023</v>
      </c>
      <c r="U549" s="29" t="str">
        <f t="shared" si="71"/>
        <v>April</v>
      </c>
    </row>
    <row r="550" spans="1:21" ht="17.399999999999999" x14ac:dyDescent="0.3">
      <c r="A550" s="21" t="s">
        <v>1431</v>
      </c>
      <c r="B550" s="21" t="s">
        <v>1432</v>
      </c>
      <c r="C550" s="23" t="s">
        <v>3516</v>
      </c>
      <c r="D550" s="21" t="s">
        <v>3521</v>
      </c>
      <c r="E550" s="24">
        <v>45031</v>
      </c>
      <c r="F550" s="24">
        <v>45056</v>
      </c>
      <c r="G550" s="22" t="s">
        <v>16</v>
      </c>
      <c r="H550" s="25">
        <v>30189</v>
      </c>
      <c r="I550" s="25">
        <v>1505</v>
      </c>
      <c r="J550" s="26">
        <v>2064.5500000000002</v>
      </c>
      <c r="K550" s="25">
        <v>101</v>
      </c>
      <c r="L550" s="21" t="s">
        <v>21</v>
      </c>
      <c r="M550" s="22" t="s">
        <v>16</v>
      </c>
      <c r="N550" s="27">
        <f t="shared" si="64"/>
        <v>25</v>
      </c>
      <c r="O550" s="28">
        <f t="shared" si="65"/>
        <v>4.9852595316174766E-2</v>
      </c>
      <c r="P550" s="28">
        <f t="shared" si="66"/>
        <v>6.7109634551495018E-2</v>
      </c>
      <c r="Q550" s="26">
        <f t="shared" si="67"/>
        <v>1.371794019933555</v>
      </c>
      <c r="R550" s="29">
        <f t="shared" si="68"/>
        <v>20.441089108910894</v>
      </c>
      <c r="S550" s="30">
        <f t="shared" si="69"/>
        <v>4</v>
      </c>
      <c r="T550" s="30">
        <f t="shared" si="70"/>
        <v>2023</v>
      </c>
      <c r="U550" s="29" t="str">
        <f t="shared" si="71"/>
        <v>April</v>
      </c>
    </row>
    <row r="551" spans="1:21" ht="17.399999999999999" x14ac:dyDescent="0.3">
      <c r="A551" s="21" t="s">
        <v>3257</v>
      </c>
      <c r="B551" s="21" t="s">
        <v>3258</v>
      </c>
      <c r="C551" s="23" t="s">
        <v>3516</v>
      </c>
      <c r="D551" s="21" t="s">
        <v>3520</v>
      </c>
      <c r="E551" s="24">
        <v>45031</v>
      </c>
      <c r="F551" s="24">
        <v>45055</v>
      </c>
      <c r="G551" s="22" t="s">
        <v>16</v>
      </c>
      <c r="H551" s="25">
        <v>83711</v>
      </c>
      <c r="I551" s="25">
        <v>1690</v>
      </c>
      <c r="J551" s="26">
        <v>2082.38</v>
      </c>
      <c r="K551" s="25">
        <v>203</v>
      </c>
      <c r="L551" s="21" t="s">
        <v>17</v>
      </c>
      <c r="M551" s="22" t="s">
        <v>16</v>
      </c>
      <c r="N551" s="27">
        <f t="shared" si="64"/>
        <v>24</v>
      </c>
      <c r="O551" s="28">
        <f t="shared" si="65"/>
        <v>2.0188505692202936E-2</v>
      </c>
      <c r="P551" s="28">
        <f t="shared" si="66"/>
        <v>0.12011834319526628</v>
      </c>
      <c r="Q551" s="26">
        <f t="shared" si="67"/>
        <v>1.2321775147928995</v>
      </c>
      <c r="R551" s="29">
        <f t="shared" si="68"/>
        <v>10.258029556650246</v>
      </c>
      <c r="S551" s="30">
        <f t="shared" si="69"/>
        <v>4</v>
      </c>
      <c r="T551" s="30">
        <f t="shared" si="70"/>
        <v>2023</v>
      </c>
      <c r="U551" s="29" t="str">
        <f t="shared" si="71"/>
        <v>April</v>
      </c>
    </row>
    <row r="552" spans="1:21" ht="17.399999999999999" x14ac:dyDescent="0.3">
      <c r="A552" s="21" t="s">
        <v>2731</v>
      </c>
      <c r="B552" s="22" t="s">
        <v>3688</v>
      </c>
      <c r="C552" s="23" t="s">
        <v>3515</v>
      </c>
      <c r="D552" s="22" t="s">
        <v>3545</v>
      </c>
      <c r="E552" s="24">
        <v>45031</v>
      </c>
      <c r="F552" s="24">
        <v>45038</v>
      </c>
      <c r="G552" s="22" t="s">
        <v>3535</v>
      </c>
      <c r="H552" s="25">
        <v>58132</v>
      </c>
      <c r="I552" s="25">
        <v>1174</v>
      </c>
      <c r="J552" s="26">
        <v>1924.15</v>
      </c>
      <c r="K552" s="25">
        <v>182</v>
      </c>
      <c r="L552" s="21" t="s">
        <v>21</v>
      </c>
      <c r="M552" s="22" t="s">
        <v>3535</v>
      </c>
      <c r="N552" s="27">
        <f t="shared" si="64"/>
        <v>7</v>
      </c>
      <c r="O552" s="28">
        <f t="shared" si="65"/>
        <v>2.0195417326085461E-2</v>
      </c>
      <c r="P552" s="28">
        <f t="shared" si="66"/>
        <v>0.15502555366269166</v>
      </c>
      <c r="Q552" s="26">
        <f t="shared" si="67"/>
        <v>1.6389693356047701</v>
      </c>
      <c r="R552" s="29">
        <f t="shared" si="68"/>
        <v>10.572252747252747</v>
      </c>
      <c r="S552" s="30">
        <f t="shared" si="69"/>
        <v>4</v>
      </c>
      <c r="T552" s="30">
        <f t="shared" si="70"/>
        <v>2023</v>
      </c>
      <c r="U552" s="29" t="str">
        <f t="shared" si="71"/>
        <v>April</v>
      </c>
    </row>
    <row r="553" spans="1:21" ht="17.399999999999999" x14ac:dyDescent="0.3">
      <c r="A553" s="21" t="s">
        <v>1636</v>
      </c>
      <c r="B553" s="21" t="s">
        <v>1637</v>
      </c>
      <c r="C553" s="23" t="s">
        <v>3518</v>
      </c>
      <c r="D553" s="21" t="s">
        <v>3521</v>
      </c>
      <c r="E553" s="24">
        <v>45032</v>
      </c>
      <c r="F553" s="24">
        <v>45036</v>
      </c>
      <c r="G553" s="22" t="s">
        <v>11</v>
      </c>
      <c r="H553" s="25">
        <v>52745</v>
      </c>
      <c r="I553" s="25">
        <v>1059</v>
      </c>
      <c r="J553" s="26">
        <v>1784.44</v>
      </c>
      <c r="K553" s="25">
        <v>82</v>
      </c>
      <c r="L553" s="21" t="s">
        <v>21</v>
      </c>
      <c r="M553" s="22" t="s">
        <v>11</v>
      </c>
      <c r="N553" s="27">
        <f t="shared" si="64"/>
        <v>4</v>
      </c>
      <c r="O553" s="28">
        <f t="shared" si="65"/>
        <v>2.0077732486491612E-2</v>
      </c>
      <c r="P553" s="28">
        <f t="shared" si="66"/>
        <v>7.7431539187913123E-2</v>
      </c>
      <c r="Q553" s="26">
        <f t="shared" si="67"/>
        <v>1.6850236071765818</v>
      </c>
      <c r="R553" s="29">
        <f t="shared" si="68"/>
        <v>21.761463414634147</v>
      </c>
      <c r="S553" s="30">
        <f t="shared" si="69"/>
        <v>4</v>
      </c>
      <c r="T553" s="30">
        <f t="shared" si="70"/>
        <v>2023</v>
      </c>
      <c r="U553" s="29" t="str">
        <f t="shared" si="71"/>
        <v>April</v>
      </c>
    </row>
    <row r="554" spans="1:21" ht="17.399999999999999" x14ac:dyDescent="0.3">
      <c r="A554" s="21" t="s">
        <v>1699</v>
      </c>
      <c r="B554" s="21" t="s">
        <v>1700</v>
      </c>
      <c r="C554" s="23" t="s">
        <v>3518</v>
      </c>
      <c r="D554" s="21" t="s">
        <v>3517</v>
      </c>
      <c r="E554" s="24">
        <v>45032</v>
      </c>
      <c r="F554" s="24">
        <v>45038</v>
      </c>
      <c r="G554" s="22" t="s">
        <v>16</v>
      </c>
      <c r="H554" s="25">
        <v>85717</v>
      </c>
      <c r="I554" s="25">
        <v>2928</v>
      </c>
      <c r="J554" s="26">
        <v>4530.49</v>
      </c>
      <c r="K554" s="25">
        <v>173</v>
      </c>
      <c r="L554" s="21" t="s">
        <v>21</v>
      </c>
      <c r="M554" s="22" t="s">
        <v>16</v>
      </c>
      <c r="N554" s="27">
        <f t="shared" si="64"/>
        <v>6</v>
      </c>
      <c r="O554" s="28">
        <f t="shared" si="65"/>
        <v>3.4158918300920472E-2</v>
      </c>
      <c r="P554" s="28">
        <f t="shared" si="66"/>
        <v>5.9084699453551916E-2</v>
      </c>
      <c r="Q554" s="26">
        <f t="shared" si="67"/>
        <v>1.5472984972677595</v>
      </c>
      <c r="R554" s="29">
        <f t="shared" si="68"/>
        <v>26.187803468208092</v>
      </c>
      <c r="S554" s="30">
        <f t="shared" si="69"/>
        <v>4</v>
      </c>
      <c r="T554" s="30">
        <f t="shared" si="70"/>
        <v>2023</v>
      </c>
      <c r="U554" s="29" t="str">
        <f t="shared" si="71"/>
        <v>April</v>
      </c>
    </row>
    <row r="555" spans="1:21" ht="17.399999999999999" x14ac:dyDescent="0.3">
      <c r="A555" s="21" t="s">
        <v>2297</v>
      </c>
      <c r="B555" s="21" t="s">
        <v>2298</v>
      </c>
      <c r="C555" s="23" t="s">
        <v>3516</v>
      </c>
      <c r="D555" s="21" t="s">
        <v>3521</v>
      </c>
      <c r="E555" s="24">
        <v>45032</v>
      </c>
      <c r="F555" s="24">
        <v>45050</v>
      </c>
      <c r="G555" s="22" t="s">
        <v>16</v>
      </c>
      <c r="H555" s="25">
        <v>39565</v>
      </c>
      <c r="I555" s="25">
        <v>579</v>
      </c>
      <c r="J555" s="26">
        <v>336.2</v>
      </c>
      <c r="K555" s="25">
        <v>35</v>
      </c>
      <c r="L555" s="21" t="s">
        <v>17</v>
      </c>
      <c r="M555" s="22" t="s">
        <v>16</v>
      </c>
      <c r="N555" s="27">
        <f t="shared" si="64"/>
        <v>18</v>
      </c>
      <c r="O555" s="28">
        <f t="shared" si="65"/>
        <v>1.4634146341463415E-2</v>
      </c>
      <c r="P555" s="28">
        <f t="shared" si="66"/>
        <v>6.0449050086355788E-2</v>
      </c>
      <c r="Q555" s="26">
        <f t="shared" si="67"/>
        <v>0.58065630397236612</v>
      </c>
      <c r="R555" s="29">
        <f t="shared" si="68"/>
        <v>9.605714285714285</v>
      </c>
      <c r="S555" s="30">
        <f t="shared" si="69"/>
        <v>4</v>
      </c>
      <c r="T555" s="30">
        <f t="shared" si="70"/>
        <v>2023</v>
      </c>
      <c r="U555" s="29" t="str">
        <f t="shared" si="71"/>
        <v>April</v>
      </c>
    </row>
    <row r="556" spans="1:21" ht="17.399999999999999" x14ac:dyDescent="0.3">
      <c r="A556" s="21" t="s">
        <v>1615</v>
      </c>
      <c r="B556" s="21" t="s">
        <v>1616</v>
      </c>
      <c r="C556" s="23" t="s">
        <v>3515</v>
      </c>
      <c r="D556" s="21" t="s">
        <v>3517</v>
      </c>
      <c r="E556" s="24">
        <v>45032</v>
      </c>
      <c r="F556" s="24">
        <v>45041</v>
      </c>
      <c r="G556" s="22" t="s">
        <v>3535</v>
      </c>
      <c r="H556" s="25">
        <v>12314</v>
      </c>
      <c r="I556" s="25">
        <v>285</v>
      </c>
      <c r="J556" s="26">
        <v>455.6</v>
      </c>
      <c r="K556" s="25">
        <v>55</v>
      </c>
      <c r="L556" s="21" t="s">
        <v>17</v>
      </c>
      <c r="M556" s="22" t="s">
        <v>3535</v>
      </c>
      <c r="N556" s="27">
        <f t="shared" si="64"/>
        <v>9</v>
      </c>
      <c r="O556" s="28">
        <f t="shared" si="65"/>
        <v>2.3144388500893291E-2</v>
      </c>
      <c r="P556" s="28">
        <f t="shared" si="66"/>
        <v>0.19298245614035087</v>
      </c>
      <c r="Q556" s="26">
        <f t="shared" si="67"/>
        <v>1.5985964912280703</v>
      </c>
      <c r="R556" s="29">
        <f t="shared" si="68"/>
        <v>8.2836363636363632</v>
      </c>
      <c r="S556" s="30">
        <f t="shared" si="69"/>
        <v>4</v>
      </c>
      <c r="T556" s="30">
        <f t="shared" si="70"/>
        <v>2023</v>
      </c>
      <c r="U556" s="29" t="str">
        <f t="shared" si="71"/>
        <v>April</v>
      </c>
    </row>
    <row r="557" spans="1:21" ht="17.399999999999999" x14ac:dyDescent="0.3">
      <c r="A557" s="21" t="s">
        <v>3225</v>
      </c>
      <c r="B557" s="22" t="s">
        <v>3689</v>
      </c>
      <c r="C557" s="23" t="s">
        <v>3515</v>
      </c>
      <c r="D557" s="22" t="s">
        <v>3545</v>
      </c>
      <c r="E557" s="24">
        <v>45032</v>
      </c>
      <c r="F557" s="24">
        <v>45052</v>
      </c>
      <c r="G557" s="22" t="s">
        <v>24</v>
      </c>
      <c r="H557" s="25">
        <v>45413</v>
      </c>
      <c r="I557" s="25">
        <v>1307</v>
      </c>
      <c r="J557" s="26">
        <v>1521.67</v>
      </c>
      <c r="K557" s="25">
        <v>185</v>
      </c>
      <c r="L557" s="21" t="s">
        <v>21</v>
      </c>
      <c r="M557" s="22" t="s">
        <v>3536</v>
      </c>
      <c r="N557" s="27">
        <f t="shared" si="64"/>
        <v>20</v>
      </c>
      <c r="O557" s="28">
        <f t="shared" si="65"/>
        <v>2.8780305198951844E-2</v>
      </c>
      <c r="P557" s="28">
        <f t="shared" si="66"/>
        <v>0.14154552410099464</v>
      </c>
      <c r="Q557" s="26">
        <f t="shared" si="67"/>
        <v>1.16424636572303</v>
      </c>
      <c r="R557" s="29">
        <f t="shared" si="68"/>
        <v>8.2252432432432432</v>
      </c>
      <c r="S557" s="30">
        <f t="shared" si="69"/>
        <v>4</v>
      </c>
      <c r="T557" s="30">
        <f t="shared" si="70"/>
        <v>2023</v>
      </c>
      <c r="U557" s="29" t="str">
        <f t="shared" si="71"/>
        <v>April</v>
      </c>
    </row>
    <row r="558" spans="1:21" ht="17.399999999999999" x14ac:dyDescent="0.3">
      <c r="A558" s="21" t="s">
        <v>3058</v>
      </c>
      <c r="B558" s="21" t="s">
        <v>3059</v>
      </c>
      <c r="C558" s="23" t="s">
        <v>3519</v>
      </c>
      <c r="D558" s="21" t="s">
        <v>3517</v>
      </c>
      <c r="E558" s="24">
        <v>45033</v>
      </c>
      <c r="F558" s="24">
        <v>45034</v>
      </c>
      <c r="G558" s="22" t="s">
        <v>11</v>
      </c>
      <c r="H558" s="25">
        <v>69344</v>
      </c>
      <c r="I558" s="25">
        <v>2645</v>
      </c>
      <c r="J558" s="26">
        <v>2576.2199999999998</v>
      </c>
      <c r="K558" s="25">
        <v>286</v>
      </c>
      <c r="L558" s="21" t="s">
        <v>21</v>
      </c>
      <c r="M558" s="22" t="s">
        <v>11</v>
      </c>
      <c r="N558" s="27">
        <f t="shared" si="64"/>
        <v>1</v>
      </c>
      <c r="O558" s="28">
        <f t="shared" si="65"/>
        <v>3.8143170281495158E-2</v>
      </c>
      <c r="P558" s="28">
        <f t="shared" si="66"/>
        <v>0.10812854442344046</v>
      </c>
      <c r="Q558" s="26">
        <f t="shared" si="67"/>
        <v>0.97399621928166347</v>
      </c>
      <c r="R558" s="29">
        <f t="shared" si="68"/>
        <v>9.0077622377622379</v>
      </c>
      <c r="S558" s="30">
        <f t="shared" si="69"/>
        <v>4</v>
      </c>
      <c r="T558" s="30">
        <f t="shared" si="70"/>
        <v>2023</v>
      </c>
      <c r="U558" s="29" t="str">
        <f t="shared" si="71"/>
        <v>April</v>
      </c>
    </row>
    <row r="559" spans="1:21" ht="17.399999999999999" x14ac:dyDescent="0.3">
      <c r="A559" s="21" t="s">
        <v>3370</v>
      </c>
      <c r="B559" s="21" t="s">
        <v>3371</v>
      </c>
      <c r="C559" s="23" t="s">
        <v>3518</v>
      </c>
      <c r="D559" s="21" t="s">
        <v>3521</v>
      </c>
      <c r="E559" s="24">
        <v>45033</v>
      </c>
      <c r="F559" s="24">
        <v>45055</v>
      </c>
      <c r="G559" s="22" t="s">
        <v>24</v>
      </c>
      <c r="H559" s="25">
        <v>75319</v>
      </c>
      <c r="I559" s="25">
        <v>2851</v>
      </c>
      <c r="J559" s="26">
        <v>4662.5</v>
      </c>
      <c r="K559" s="25">
        <v>498</v>
      </c>
      <c r="L559" s="21" t="s">
        <v>21</v>
      </c>
      <c r="M559" s="22" t="s">
        <v>3536</v>
      </c>
      <c r="N559" s="27">
        <f t="shared" si="64"/>
        <v>22</v>
      </c>
      <c r="O559" s="28">
        <f t="shared" si="65"/>
        <v>3.7852334736255128E-2</v>
      </c>
      <c r="P559" s="28">
        <f t="shared" si="66"/>
        <v>0.17467555243774113</v>
      </c>
      <c r="Q559" s="26">
        <f t="shared" si="67"/>
        <v>1.6353910908453175</v>
      </c>
      <c r="R559" s="29">
        <f t="shared" si="68"/>
        <v>9.3624497991967868</v>
      </c>
      <c r="S559" s="30">
        <f t="shared" si="69"/>
        <v>4</v>
      </c>
      <c r="T559" s="30">
        <f t="shared" si="70"/>
        <v>2023</v>
      </c>
      <c r="U559" s="29" t="str">
        <f t="shared" si="71"/>
        <v>April</v>
      </c>
    </row>
    <row r="560" spans="1:21" ht="17.399999999999999" x14ac:dyDescent="0.3">
      <c r="A560" s="21" t="s">
        <v>3398</v>
      </c>
      <c r="B560" s="21" t="s">
        <v>3399</v>
      </c>
      <c r="C560" s="23" t="s">
        <v>3518</v>
      </c>
      <c r="D560" s="21" t="s">
        <v>3521</v>
      </c>
      <c r="E560" s="24">
        <v>45033</v>
      </c>
      <c r="F560" s="24">
        <v>45062</v>
      </c>
      <c r="G560" s="22" t="s">
        <v>31</v>
      </c>
      <c r="H560" s="25">
        <v>89652</v>
      </c>
      <c r="I560" s="25">
        <v>2360</v>
      </c>
      <c r="J560" s="26">
        <v>2959.74</v>
      </c>
      <c r="K560" s="25">
        <v>135</v>
      </c>
      <c r="L560" s="21" t="s">
        <v>17</v>
      </c>
      <c r="M560" s="22" t="s">
        <v>31</v>
      </c>
      <c r="N560" s="27">
        <f t="shared" si="64"/>
        <v>29</v>
      </c>
      <c r="O560" s="28">
        <f t="shared" si="65"/>
        <v>2.6324008387989112E-2</v>
      </c>
      <c r="P560" s="28">
        <f t="shared" si="66"/>
        <v>5.7203389830508475E-2</v>
      </c>
      <c r="Q560" s="26">
        <f t="shared" si="67"/>
        <v>1.2541271186440677</v>
      </c>
      <c r="R560" s="29">
        <f t="shared" si="68"/>
        <v>21.923999999999999</v>
      </c>
      <c r="S560" s="30">
        <f t="shared" si="69"/>
        <v>4</v>
      </c>
      <c r="T560" s="30">
        <f t="shared" si="70"/>
        <v>2023</v>
      </c>
      <c r="U560" s="29" t="str">
        <f t="shared" si="71"/>
        <v>April</v>
      </c>
    </row>
    <row r="561" spans="1:21" ht="17.399999999999999" x14ac:dyDescent="0.3">
      <c r="A561" s="21" t="s">
        <v>1499</v>
      </c>
      <c r="B561" s="22" t="s">
        <v>3690</v>
      </c>
      <c r="C561" s="23" t="s">
        <v>3516</v>
      </c>
      <c r="D561" s="22" t="s">
        <v>3545</v>
      </c>
      <c r="E561" s="24">
        <v>45033</v>
      </c>
      <c r="F561" s="24">
        <v>45046</v>
      </c>
      <c r="G561" s="22" t="s">
        <v>11</v>
      </c>
      <c r="H561" s="25">
        <v>38626</v>
      </c>
      <c r="I561" s="25">
        <v>550</v>
      </c>
      <c r="J561" s="26">
        <v>388.86</v>
      </c>
      <c r="K561" s="25">
        <v>81</v>
      </c>
      <c r="L561" s="21" t="s">
        <v>17</v>
      </c>
      <c r="M561" s="22" t="s">
        <v>11</v>
      </c>
      <c r="N561" s="27">
        <f t="shared" si="64"/>
        <v>13</v>
      </c>
      <c r="O561" s="28">
        <f t="shared" si="65"/>
        <v>1.4239113550458241E-2</v>
      </c>
      <c r="P561" s="28">
        <f t="shared" si="66"/>
        <v>0.14727272727272728</v>
      </c>
      <c r="Q561" s="26">
        <f t="shared" si="67"/>
        <v>0.70701818181818188</v>
      </c>
      <c r="R561" s="29">
        <f t="shared" si="68"/>
        <v>4.800740740740741</v>
      </c>
      <c r="S561" s="30">
        <f t="shared" si="69"/>
        <v>4</v>
      </c>
      <c r="T561" s="30">
        <f t="shared" si="70"/>
        <v>2023</v>
      </c>
      <c r="U561" s="29" t="str">
        <f t="shared" si="71"/>
        <v>April</v>
      </c>
    </row>
    <row r="562" spans="1:21" ht="17.399999999999999" x14ac:dyDescent="0.3">
      <c r="A562" s="21" t="s">
        <v>3322</v>
      </c>
      <c r="B562" s="21" t="s">
        <v>3323</v>
      </c>
      <c r="C562" s="23" t="s">
        <v>3515</v>
      </c>
      <c r="D562" s="21" t="s">
        <v>3520</v>
      </c>
      <c r="E562" s="24">
        <v>45033</v>
      </c>
      <c r="F562" s="24">
        <v>45038</v>
      </c>
      <c r="G562" s="22" t="s">
        <v>3535</v>
      </c>
      <c r="H562" s="25">
        <v>30759</v>
      </c>
      <c r="I562" s="25">
        <v>1392</v>
      </c>
      <c r="J562" s="26">
        <v>2503.31</v>
      </c>
      <c r="K562" s="25">
        <v>0</v>
      </c>
      <c r="L562" s="21" t="s">
        <v>21</v>
      </c>
      <c r="M562" s="22" t="s">
        <v>3535</v>
      </c>
      <c r="N562" s="27">
        <f t="shared" si="64"/>
        <v>5</v>
      </c>
      <c r="O562" s="28">
        <f t="shared" si="65"/>
        <v>4.5255047303228324E-2</v>
      </c>
      <c r="P562" s="28">
        <f t="shared" si="66"/>
        <v>0</v>
      </c>
      <c r="Q562" s="26">
        <f t="shared" si="67"/>
        <v>1.7983548850574713</v>
      </c>
      <c r="R562" s="29" t="str">
        <f t="shared" si="68"/>
        <v>0</v>
      </c>
      <c r="S562" s="30">
        <f t="shared" si="69"/>
        <v>4</v>
      </c>
      <c r="T562" s="30">
        <f t="shared" si="70"/>
        <v>2023</v>
      </c>
      <c r="U562" s="29" t="str">
        <f t="shared" si="71"/>
        <v>April</v>
      </c>
    </row>
    <row r="563" spans="1:21" ht="17.399999999999999" x14ac:dyDescent="0.3">
      <c r="A563" s="21" t="s">
        <v>2749</v>
      </c>
      <c r="B563" s="21" t="s">
        <v>2750</v>
      </c>
      <c r="C563" s="23" t="s">
        <v>3518</v>
      </c>
      <c r="D563" s="21" t="s">
        <v>3520</v>
      </c>
      <c r="E563" s="24">
        <v>45033</v>
      </c>
      <c r="F563" s="24">
        <v>45234</v>
      </c>
      <c r="G563" s="22" t="s">
        <v>11</v>
      </c>
      <c r="H563" s="25">
        <v>95071</v>
      </c>
      <c r="I563" s="25">
        <v>1131</v>
      </c>
      <c r="J563" s="26">
        <v>1542.32</v>
      </c>
      <c r="K563" s="25">
        <v>168</v>
      </c>
      <c r="L563" s="21" t="s">
        <v>21</v>
      </c>
      <c r="M563" s="22" t="s">
        <v>11</v>
      </c>
      <c r="N563" s="27">
        <f t="shared" si="64"/>
        <v>201</v>
      </c>
      <c r="O563" s="28">
        <f t="shared" si="65"/>
        <v>1.1896372184998579E-2</v>
      </c>
      <c r="P563" s="28">
        <f t="shared" si="66"/>
        <v>0.14854111405835543</v>
      </c>
      <c r="Q563" s="26">
        <f t="shared" si="67"/>
        <v>1.3636781609195401</v>
      </c>
      <c r="R563" s="29">
        <f t="shared" si="68"/>
        <v>9.18047619047619</v>
      </c>
      <c r="S563" s="30">
        <f t="shared" si="69"/>
        <v>4</v>
      </c>
      <c r="T563" s="30">
        <f t="shared" si="70"/>
        <v>2023</v>
      </c>
      <c r="U563" s="29" t="str">
        <f t="shared" si="71"/>
        <v>April</v>
      </c>
    </row>
    <row r="564" spans="1:21" ht="17.399999999999999" x14ac:dyDescent="0.3">
      <c r="A564" s="21" t="s">
        <v>198</v>
      </c>
      <c r="B564" s="21" t="s">
        <v>199</v>
      </c>
      <c r="C564" s="23" t="s">
        <v>3519</v>
      </c>
      <c r="D564" s="21" t="s">
        <v>3520</v>
      </c>
      <c r="E564" s="24">
        <v>45034</v>
      </c>
      <c r="F564" s="24">
        <v>45053</v>
      </c>
      <c r="G564" s="22" t="s">
        <v>31</v>
      </c>
      <c r="H564" s="25">
        <v>34159</v>
      </c>
      <c r="I564" s="25">
        <v>522</v>
      </c>
      <c r="J564" s="26">
        <v>714.23</v>
      </c>
      <c r="K564" s="25">
        <v>47</v>
      </c>
      <c r="L564" s="21" t="s">
        <v>17</v>
      </c>
      <c r="M564" s="22" t="s">
        <v>31</v>
      </c>
      <c r="N564" s="27">
        <f t="shared" si="64"/>
        <v>19</v>
      </c>
      <c r="O564" s="28">
        <f t="shared" si="65"/>
        <v>1.5281477795017418E-2</v>
      </c>
      <c r="P564" s="28">
        <f t="shared" si="66"/>
        <v>9.0038314176245207E-2</v>
      </c>
      <c r="Q564" s="26">
        <f t="shared" si="67"/>
        <v>1.368256704980843</v>
      </c>
      <c r="R564" s="29">
        <f t="shared" si="68"/>
        <v>15.196382978723404</v>
      </c>
      <c r="S564" s="30">
        <f t="shared" si="69"/>
        <v>4</v>
      </c>
      <c r="T564" s="30">
        <f t="shared" si="70"/>
        <v>2023</v>
      </c>
      <c r="U564" s="29" t="str">
        <f t="shared" si="71"/>
        <v>April</v>
      </c>
    </row>
    <row r="565" spans="1:21" ht="17.399999999999999" x14ac:dyDescent="0.3">
      <c r="A565" s="21" t="s">
        <v>2533</v>
      </c>
      <c r="B565" s="21" t="s">
        <v>2534</v>
      </c>
      <c r="C565" s="23" t="s">
        <v>3519</v>
      </c>
      <c r="D565" s="21" t="s">
        <v>3521</v>
      </c>
      <c r="E565" s="24">
        <v>45034</v>
      </c>
      <c r="F565" s="24">
        <v>45053</v>
      </c>
      <c r="G565" s="22" t="s">
        <v>14</v>
      </c>
      <c r="H565" s="25">
        <v>88410</v>
      </c>
      <c r="I565" s="25">
        <v>2642</v>
      </c>
      <c r="J565" s="26">
        <v>3549.91</v>
      </c>
      <c r="K565" s="25">
        <v>370</v>
      </c>
      <c r="L565" s="21" t="s">
        <v>17</v>
      </c>
      <c r="M565" s="22" t="s">
        <v>3537</v>
      </c>
      <c r="N565" s="27">
        <f t="shared" si="64"/>
        <v>19</v>
      </c>
      <c r="O565" s="28">
        <f t="shared" si="65"/>
        <v>2.9883497341929646E-2</v>
      </c>
      <c r="P565" s="28">
        <f t="shared" si="66"/>
        <v>0.1400454201362604</v>
      </c>
      <c r="Q565" s="26">
        <f t="shared" si="67"/>
        <v>1.3436449659348977</v>
      </c>
      <c r="R565" s="29">
        <f t="shared" si="68"/>
        <v>9.5943513513513512</v>
      </c>
      <c r="S565" s="30">
        <f t="shared" si="69"/>
        <v>4</v>
      </c>
      <c r="T565" s="30">
        <f t="shared" si="70"/>
        <v>2023</v>
      </c>
      <c r="U565" s="29" t="str">
        <f t="shared" si="71"/>
        <v>April</v>
      </c>
    </row>
    <row r="566" spans="1:21" ht="17.399999999999999" x14ac:dyDescent="0.3">
      <c r="A566" s="21" t="s">
        <v>3176</v>
      </c>
      <c r="B566" s="21" t="s">
        <v>3177</v>
      </c>
      <c r="C566" s="23" t="s">
        <v>3518</v>
      </c>
      <c r="D566" s="21" t="s">
        <v>3517</v>
      </c>
      <c r="E566" s="24">
        <v>45034</v>
      </c>
      <c r="F566" s="24">
        <v>45046</v>
      </c>
      <c r="G566" s="22" t="s">
        <v>31</v>
      </c>
      <c r="H566" s="25">
        <v>45064</v>
      </c>
      <c r="I566" s="25">
        <v>1376</v>
      </c>
      <c r="J566" s="26">
        <v>2464.42</v>
      </c>
      <c r="K566" s="25">
        <v>258</v>
      </c>
      <c r="L566" s="21" t="s">
        <v>17</v>
      </c>
      <c r="M566" s="22" t="s">
        <v>31</v>
      </c>
      <c r="N566" s="27">
        <f t="shared" si="64"/>
        <v>12</v>
      </c>
      <c r="O566" s="28">
        <f t="shared" si="65"/>
        <v>3.0534351145038167E-2</v>
      </c>
      <c r="P566" s="28">
        <f t="shared" si="66"/>
        <v>0.1875</v>
      </c>
      <c r="Q566" s="26">
        <f t="shared" si="67"/>
        <v>1.7910029069767441</v>
      </c>
      <c r="R566" s="29">
        <f t="shared" si="68"/>
        <v>9.5520155038759693</v>
      </c>
      <c r="S566" s="30">
        <f t="shared" si="69"/>
        <v>4</v>
      </c>
      <c r="T566" s="30">
        <f t="shared" si="70"/>
        <v>2023</v>
      </c>
      <c r="U566" s="29" t="str">
        <f t="shared" si="71"/>
        <v>April</v>
      </c>
    </row>
    <row r="567" spans="1:21" ht="17.399999999999999" x14ac:dyDescent="0.3">
      <c r="A567" s="21" t="s">
        <v>699</v>
      </c>
      <c r="B567" s="21" t="s">
        <v>700</v>
      </c>
      <c r="C567" s="23" t="s">
        <v>3519</v>
      </c>
      <c r="D567" s="21" t="s">
        <v>3521</v>
      </c>
      <c r="E567" s="24">
        <v>45035</v>
      </c>
      <c r="F567" s="24">
        <v>45048</v>
      </c>
      <c r="G567" s="22" t="s">
        <v>11</v>
      </c>
      <c r="H567" s="25">
        <v>19070</v>
      </c>
      <c r="I567" s="25">
        <v>352</v>
      </c>
      <c r="J567" s="26">
        <v>406.02</v>
      </c>
      <c r="K567" s="25">
        <v>27</v>
      </c>
      <c r="L567" s="21" t="s">
        <v>21</v>
      </c>
      <c r="M567" s="22" t="s">
        <v>11</v>
      </c>
      <c r="N567" s="27">
        <f t="shared" si="64"/>
        <v>13</v>
      </c>
      <c r="O567" s="28">
        <f t="shared" si="65"/>
        <v>1.8458311484006291E-2</v>
      </c>
      <c r="P567" s="28">
        <f t="shared" si="66"/>
        <v>7.6704545454545456E-2</v>
      </c>
      <c r="Q567" s="26">
        <f t="shared" si="67"/>
        <v>1.153465909090909</v>
      </c>
      <c r="R567" s="29">
        <f t="shared" si="68"/>
        <v>15.037777777777777</v>
      </c>
      <c r="S567" s="30">
        <f t="shared" si="69"/>
        <v>4</v>
      </c>
      <c r="T567" s="30">
        <f t="shared" si="70"/>
        <v>2023</v>
      </c>
      <c r="U567" s="29" t="str">
        <f t="shared" si="71"/>
        <v>April</v>
      </c>
    </row>
    <row r="568" spans="1:21" ht="17.399999999999999" x14ac:dyDescent="0.3">
      <c r="A568" s="21" t="s">
        <v>1732</v>
      </c>
      <c r="B568" s="22" t="s">
        <v>3691</v>
      </c>
      <c r="C568" s="23" t="s">
        <v>3518</v>
      </c>
      <c r="D568" s="22" t="s">
        <v>3545</v>
      </c>
      <c r="E568" s="24">
        <v>45035</v>
      </c>
      <c r="F568" s="24">
        <v>45059</v>
      </c>
      <c r="G568" s="22" t="s">
        <v>11</v>
      </c>
      <c r="H568" s="25">
        <v>4596</v>
      </c>
      <c r="I568" s="25">
        <v>86</v>
      </c>
      <c r="J568" s="26">
        <v>84.17</v>
      </c>
      <c r="K568" s="25">
        <v>4</v>
      </c>
      <c r="L568" s="21" t="s">
        <v>17</v>
      </c>
      <c r="M568" s="22" t="s">
        <v>11</v>
      </c>
      <c r="N568" s="27">
        <f t="shared" si="64"/>
        <v>24</v>
      </c>
      <c r="O568" s="28">
        <f t="shared" si="65"/>
        <v>1.8711923411662314E-2</v>
      </c>
      <c r="P568" s="28">
        <f t="shared" si="66"/>
        <v>4.6511627906976744E-2</v>
      </c>
      <c r="Q568" s="26">
        <f t="shared" si="67"/>
        <v>0.97872093023255813</v>
      </c>
      <c r="R568" s="29">
        <f t="shared" si="68"/>
        <v>21.0425</v>
      </c>
      <c r="S568" s="30">
        <f t="shared" si="69"/>
        <v>4</v>
      </c>
      <c r="T568" s="30">
        <f t="shared" si="70"/>
        <v>2023</v>
      </c>
      <c r="U568" s="29" t="str">
        <f t="shared" si="71"/>
        <v>April</v>
      </c>
    </row>
    <row r="569" spans="1:21" ht="17.399999999999999" x14ac:dyDescent="0.3">
      <c r="A569" s="21" t="s">
        <v>465</v>
      </c>
      <c r="B569" s="22" t="s">
        <v>3692</v>
      </c>
      <c r="C569" s="23" t="s">
        <v>3516</v>
      </c>
      <c r="D569" s="22" t="s">
        <v>3545</v>
      </c>
      <c r="E569" s="24">
        <v>45035</v>
      </c>
      <c r="F569" s="24">
        <v>45049</v>
      </c>
      <c r="G569" s="22" t="s">
        <v>11</v>
      </c>
      <c r="H569" s="25">
        <v>9680</v>
      </c>
      <c r="I569" s="25">
        <v>327</v>
      </c>
      <c r="J569" s="26">
        <v>506.13</v>
      </c>
      <c r="K569" s="25">
        <v>58</v>
      </c>
      <c r="L569" s="21" t="s">
        <v>17</v>
      </c>
      <c r="M569" s="22" t="s">
        <v>11</v>
      </c>
      <c r="N569" s="27">
        <f t="shared" si="64"/>
        <v>14</v>
      </c>
      <c r="O569" s="28">
        <f t="shared" si="65"/>
        <v>3.378099173553719E-2</v>
      </c>
      <c r="P569" s="28">
        <f t="shared" si="66"/>
        <v>0.17737003058103976</v>
      </c>
      <c r="Q569" s="26">
        <f t="shared" si="67"/>
        <v>1.5477981651376147</v>
      </c>
      <c r="R569" s="29">
        <f t="shared" si="68"/>
        <v>8.7263793103448268</v>
      </c>
      <c r="S569" s="30">
        <f t="shared" si="69"/>
        <v>4</v>
      </c>
      <c r="T569" s="30">
        <f t="shared" si="70"/>
        <v>2023</v>
      </c>
      <c r="U569" s="29" t="str">
        <f t="shared" si="71"/>
        <v>April</v>
      </c>
    </row>
    <row r="570" spans="1:21" ht="17.399999999999999" x14ac:dyDescent="0.3">
      <c r="A570" s="21" t="s">
        <v>1418</v>
      </c>
      <c r="B570" s="22" t="s">
        <v>3693</v>
      </c>
      <c r="C570" s="23" t="s">
        <v>3516</v>
      </c>
      <c r="D570" s="22" t="s">
        <v>3545</v>
      </c>
      <c r="E570" s="24">
        <v>45035</v>
      </c>
      <c r="F570" s="24">
        <v>45036</v>
      </c>
      <c r="G570" s="22" t="s">
        <v>11</v>
      </c>
      <c r="H570" s="25">
        <v>21384</v>
      </c>
      <c r="I570" s="25">
        <v>314</v>
      </c>
      <c r="J570" s="26">
        <v>623.97</v>
      </c>
      <c r="K570" s="25">
        <v>40</v>
      </c>
      <c r="L570" s="21" t="s">
        <v>17</v>
      </c>
      <c r="M570" s="22" t="s">
        <v>11</v>
      </c>
      <c r="N570" s="27">
        <f t="shared" si="64"/>
        <v>1</v>
      </c>
      <c r="O570" s="28">
        <f t="shared" si="65"/>
        <v>1.4683875794986907E-2</v>
      </c>
      <c r="P570" s="28">
        <f t="shared" si="66"/>
        <v>0.12738853503184713</v>
      </c>
      <c r="Q570" s="26">
        <f t="shared" si="67"/>
        <v>1.9871656050955415</v>
      </c>
      <c r="R570" s="29">
        <f t="shared" si="68"/>
        <v>15.599250000000001</v>
      </c>
      <c r="S570" s="30">
        <f t="shared" si="69"/>
        <v>4</v>
      </c>
      <c r="T570" s="30">
        <f t="shared" si="70"/>
        <v>2023</v>
      </c>
      <c r="U570" s="29" t="str">
        <f t="shared" si="71"/>
        <v>April</v>
      </c>
    </row>
    <row r="571" spans="1:21" ht="17.399999999999999" x14ac:dyDescent="0.3">
      <c r="A571" s="21" t="s">
        <v>2622</v>
      </c>
      <c r="B571" s="21" t="s">
        <v>2623</v>
      </c>
      <c r="C571" s="23" t="s">
        <v>3516</v>
      </c>
      <c r="D571" s="21" t="s">
        <v>3521</v>
      </c>
      <c r="E571" s="24">
        <v>45035</v>
      </c>
      <c r="F571" s="24">
        <v>45062</v>
      </c>
      <c r="G571" s="22" t="s">
        <v>24</v>
      </c>
      <c r="H571" s="25">
        <v>24051</v>
      </c>
      <c r="I571" s="25">
        <v>992</v>
      </c>
      <c r="J571" s="26">
        <v>811.88</v>
      </c>
      <c r="K571" s="25">
        <v>148</v>
      </c>
      <c r="L571" s="21" t="s">
        <v>17</v>
      </c>
      <c r="M571" s="22" t="s">
        <v>3536</v>
      </c>
      <c r="N571" s="27">
        <f t="shared" si="64"/>
        <v>27</v>
      </c>
      <c r="O571" s="28">
        <f t="shared" si="65"/>
        <v>4.1245686250051976E-2</v>
      </c>
      <c r="P571" s="28">
        <f t="shared" si="66"/>
        <v>0.14919354838709678</v>
      </c>
      <c r="Q571" s="26">
        <f t="shared" si="67"/>
        <v>0.81842741935483876</v>
      </c>
      <c r="R571" s="29">
        <f t="shared" si="68"/>
        <v>5.4856756756756759</v>
      </c>
      <c r="S571" s="30">
        <f t="shared" si="69"/>
        <v>4</v>
      </c>
      <c r="T571" s="30">
        <f t="shared" si="70"/>
        <v>2023</v>
      </c>
      <c r="U571" s="29" t="str">
        <f t="shared" si="71"/>
        <v>April</v>
      </c>
    </row>
    <row r="572" spans="1:21" ht="17.399999999999999" x14ac:dyDescent="0.3">
      <c r="A572" s="21" t="s">
        <v>110</v>
      </c>
      <c r="B572" s="21" t="s">
        <v>111</v>
      </c>
      <c r="C572" s="23" t="s">
        <v>3515</v>
      </c>
      <c r="D572" s="21" t="s">
        <v>3520</v>
      </c>
      <c r="E572" s="24">
        <v>45035</v>
      </c>
      <c r="F572" s="24">
        <v>45057</v>
      </c>
      <c r="G572" s="22" t="s">
        <v>16</v>
      </c>
      <c r="H572" s="25">
        <v>36920</v>
      </c>
      <c r="I572" s="25">
        <v>382</v>
      </c>
      <c r="J572" s="26">
        <v>428.93</v>
      </c>
      <c r="K572" s="25">
        <v>29</v>
      </c>
      <c r="L572" s="21" t="s">
        <v>21</v>
      </c>
      <c r="M572" s="22" t="s">
        <v>16</v>
      </c>
      <c r="N572" s="27">
        <f t="shared" si="64"/>
        <v>22</v>
      </c>
      <c r="O572" s="28">
        <f t="shared" si="65"/>
        <v>1.0346695557963163E-2</v>
      </c>
      <c r="P572" s="28">
        <f t="shared" si="66"/>
        <v>7.5916230366492143E-2</v>
      </c>
      <c r="Q572" s="26">
        <f t="shared" si="67"/>
        <v>1.1228534031413613</v>
      </c>
      <c r="R572" s="29">
        <f t="shared" si="68"/>
        <v>14.790689655172415</v>
      </c>
      <c r="S572" s="30">
        <f t="shared" si="69"/>
        <v>4</v>
      </c>
      <c r="T572" s="30">
        <f t="shared" si="70"/>
        <v>2023</v>
      </c>
      <c r="U572" s="29" t="str">
        <f t="shared" si="71"/>
        <v>April</v>
      </c>
    </row>
    <row r="573" spans="1:21" ht="17.399999999999999" x14ac:dyDescent="0.3">
      <c r="A573" s="21" t="s">
        <v>2930</v>
      </c>
      <c r="B573" s="21" t="s">
        <v>2931</v>
      </c>
      <c r="C573" s="23" t="s">
        <v>3518</v>
      </c>
      <c r="D573" s="21" t="s">
        <v>3521</v>
      </c>
      <c r="E573" s="24">
        <v>45035</v>
      </c>
      <c r="F573" s="24">
        <v>45203</v>
      </c>
      <c r="G573" s="22" t="s">
        <v>14</v>
      </c>
      <c r="H573" s="25">
        <v>27685</v>
      </c>
      <c r="I573" s="25">
        <v>1331</v>
      </c>
      <c r="J573" s="26">
        <v>2535.67</v>
      </c>
      <c r="K573" s="25">
        <v>205</v>
      </c>
      <c r="L573" s="21" t="s">
        <v>17</v>
      </c>
      <c r="M573" s="22" t="s">
        <v>3537</v>
      </c>
      <c r="N573" s="27">
        <f t="shared" si="64"/>
        <v>168</v>
      </c>
      <c r="O573" s="28">
        <f t="shared" si="65"/>
        <v>4.8076575763048579E-2</v>
      </c>
      <c r="P573" s="28">
        <f t="shared" si="66"/>
        <v>0.15401953418482345</v>
      </c>
      <c r="Q573" s="26">
        <f t="shared" si="67"/>
        <v>1.9050864012021038</v>
      </c>
      <c r="R573" s="29">
        <f t="shared" si="68"/>
        <v>12.369121951219512</v>
      </c>
      <c r="S573" s="30">
        <f t="shared" si="69"/>
        <v>4</v>
      </c>
      <c r="T573" s="30">
        <f t="shared" si="70"/>
        <v>2023</v>
      </c>
      <c r="U573" s="29" t="str">
        <f t="shared" si="71"/>
        <v>April</v>
      </c>
    </row>
    <row r="574" spans="1:21" ht="17.399999999999999" x14ac:dyDescent="0.3">
      <c r="A574" s="21" t="s">
        <v>1775</v>
      </c>
      <c r="B574" s="21" t="s">
        <v>1776</v>
      </c>
      <c r="C574" s="23" t="s">
        <v>3519</v>
      </c>
      <c r="D574" s="21" t="s">
        <v>3517</v>
      </c>
      <c r="E574" s="24">
        <v>45036</v>
      </c>
      <c r="F574" s="24">
        <v>45059</v>
      </c>
      <c r="G574" s="22" t="s">
        <v>24</v>
      </c>
      <c r="H574" s="25">
        <v>4812</v>
      </c>
      <c r="I574" s="25">
        <v>186</v>
      </c>
      <c r="J574" s="26">
        <v>188.38</v>
      </c>
      <c r="K574" s="25">
        <v>18</v>
      </c>
      <c r="L574" s="21" t="s">
        <v>21</v>
      </c>
      <c r="M574" s="22" t="s">
        <v>3536</v>
      </c>
      <c r="N574" s="27">
        <f t="shared" si="64"/>
        <v>23</v>
      </c>
      <c r="O574" s="28">
        <f t="shared" si="65"/>
        <v>3.8653366583541147E-2</v>
      </c>
      <c r="P574" s="28">
        <f t="shared" si="66"/>
        <v>9.6774193548387094E-2</v>
      </c>
      <c r="Q574" s="26">
        <f t="shared" si="67"/>
        <v>1.0127956989247311</v>
      </c>
      <c r="R574" s="29">
        <f t="shared" si="68"/>
        <v>10.465555555555556</v>
      </c>
      <c r="S574" s="30">
        <f t="shared" si="69"/>
        <v>4</v>
      </c>
      <c r="T574" s="30">
        <f t="shared" si="70"/>
        <v>2023</v>
      </c>
      <c r="U574" s="29" t="str">
        <f t="shared" si="71"/>
        <v>April</v>
      </c>
    </row>
    <row r="575" spans="1:21" ht="17.399999999999999" x14ac:dyDescent="0.3">
      <c r="A575" s="21" t="s">
        <v>1245</v>
      </c>
      <c r="B575" s="22" t="s">
        <v>3694</v>
      </c>
      <c r="C575" s="23" t="s">
        <v>3518</v>
      </c>
      <c r="D575" s="22" t="s">
        <v>3545</v>
      </c>
      <c r="E575" s="24">
        <v>45036</v>
      </c>
      <c r="F575" s="24">
        <v>45064</v>
      </c>
      <c r="G575" s="22" t="s">
        <v>3535</v>
      </c>
      <c r="H575" s="25">
        <v>87188</v>
      </c>
      <c r="I575" s="25">
        <v>1318</v>
      </c>
      <c r="J575" s="26">
        <v>1940.3</v>
      </c>
      <c r="K575" s="25">
        <v>124</v>
      </c>
      <c r="L575" s="21" t="s">
        <v>21</v>
      </c>
      <c r="M575" s="22" t="s">
        <v>3535</v>
      </c>
      <c r="N575" s="27">
        <f t="shared" si="64"/>
        <v>28</v>
      </c>
      <c r="O575" s="28">
        <f t="shared" si="65"/>
        <v>1.5116759187044089E-2</v>
      </c>
      <c r="P575" s="28">
        <f t="shared" si="66"/>
        <v>9.4081942336874058E-2</v>
      </c>
      <c r="Q575" s="26">
        <f t="shared" si="67"/>
        <v>1.4721547799696511</v>
      </c>
      <c r="R575" s="29">
        <f t="shared" si="68"/>
        <v>15.647580645161289</v>
      </c>
      <c r="S575" s="30">
        <f t="shared" si="69"/>
        <v>4</v>
      </c>
      <c r="T575" s="30">
        <f t="shared" si="70"/>
        <v>2023</v>
      </c>
      <c r="U575" s="29" t="str">
        <f t="shared" si="71"/>
        <v>April</v>
      </c>
    </row>
    <row r="576" spans="1:21" ht="17.399999999999999" x14ac:dyDescent="0.3">
      <c r="A576" s="21" t="s">
        <v>151</v>
      </c>
      <c r="B576" s="21" t="s">
        <v>152</v>
      </c>
      <c r="C576" s="23" t="s">
        <v>3515</v>
      </c>
      <c r="D576" s="21" t="s">
        <v>3521</v>
      </c>
      <c r="E576" s="24">
        <v>45036</v>
      </c>
      <c r="F576" s="24">
        <v>45050</v>
      </c>
      <c r="G576" s="22" t="s">
        <v>14</v>
      </c>
      <c r="H576" s="25">
        <v>2016</v>
      </c>
      <c r="I576" s="25">
        <v>56</v>
      </c>
      <c r="J576" s="26">
        <v>67.13</v>
      </c>
      <c r="K576" s="25">
        <v>10</v>
      </c>
      <c r="L576" s="21" t="s">
        <v>21</v>
      </c>
      <c r="M576" s="22" t="s">
        <v>3537</v>
      </c>
      <c r="N576" s="27">
        <f t="shared" si="64"/>
        <v>14</v>
      </c>
      <c r="O576" s="28">
        <f t="shared" si="65"/>
        <v>2.7777777777777776E-2</v>
      </c>
      <c r="P576" s="28">
        <f t="shared" si="66"/>
        <v>0.17857142857142858</v>
      </c>
      <c r="Q576" s="26">
        <f t="shared" si="67"/>
        <v>1.19875</v>
      </c>
      <c r="R576" s="29">
        <f t="shared" si="68"/>
        <v>6.7129999999999992</v>
      </c>
      <c r="S576" s="30">
        <f t="shared" si="69"/>
        <v>4</v>
      </c>
      <c r="T576" s="30">
        <f t="shared" si="70"/>
        <v>2023</v>
      </c>
      <c r="U576" s="29" t="str">
        <f t="shared" si="71"/>
        <v>April</v>
      </c>
    </row>
    <row r="577" spans="1:21" ht="17.399999999999999" x14ac:dyDescent="0.3">
      <c r="A577" s="21" t="s">
        <v>2410</v>
      </c>
      <c r="B577" s="21" t="s">
        <v>2411</v>
      </c>
      <c r="C577" s="23" t="s">
        <v>3519</v>
      </c>
      <c r="D577" s="21" t="s">
        <v>3520</v>
      </c>
      <c r="E577" s="24">
        <v>45037</v>
      </c>
      <c r="F577" s="24">
        <v>45066</v>
      </c>
      <c r="G577" s="22" t="s">
        <v>14</v>
      </c>
      <c r="H577" s="25">
        <v>79757</v>
      </c>
      <c r="I577" s="25">
        <v>3110</v>
      </c>
      <c r="J577" s="26">
        <v>2355.5</v>
      </c>
      <c r="K577" s="25">
        <v>287</v>
      </c>
      <c r="L577" s="21" t="s">
        <v>17</v>
      </c>
      <c r="M577" s="22" t="s">
        <v>3537</v>
      </c>
      <c r="N577" s="27">
        <f t="shared" si="64"/>
        <v>29</v>
      </c>
      <c r="O577" s="28">
        <f t="shared" si="65"/>
        <v>3.8993442581842348E-2</v>
      </c>
      <c r="P577" s="28">
        <f t="shared" si="66"/>
        <v>9.2282958199356918E-2</v>
      </c>
      <c r="Q577" s="26">
        <f t="shared" si="67"/>
        <v>0.75739549839228293</v>
      </c>
      <c r="R577" s="29">
        <f t="shared" si="68"/>
        <v>8.2073170731707314</v>
      </c>
      <c r="S577" s="30">
        <f t="shared" si="69"/>
        <v>4</v>
      </c>
      <c r="T577" s="30">
        <f t="shared" si="70"/>
        <v>2023</v>
      </c>
      <c r="U577" s="29" t="str">
        <f t="shared" si="71"/>
        <v>April</v>
      </c>
    </row>
    <row r="578" spans="1:21" ht="17.399999999999999" x14ac:dyDescent="0.3">
      <c r="A578" s="21" t="s">
        <v>1152</v>
      </c>
      <c r="B578" s="22" t="s">
        <v>3695</v>
      </c>
      <c r="C578" s="23" t="s">
        <v>3518</v>
      </c>
      <c r="D578" s="22" t="s">
        <v>3545</v>
      </c>
      <c r="E578" s="24">
        <v>45037</v>
      </c>
      <c r="F578" s="24">
        <v>45049</v>
      </c>
      <c r="G578" s="22" t="s">
        <v>16</v>
      </c>
      <c r="H578" s="25">
        <v>89461</v>
      </c>
      <c r="I578" s="25">
        <v>2990</v>
      </c>
      <c r="J578" s="26">
        <v>1523.06</v>
      </c>
      <c r="K578" s="25">
        <v>246</v>
      </c>
      <c r="L578" s="21" t="s">
        <v>21</v>
      </c>
      <c r="M578" s="22" t="s">
        <v>16</v>
      </c>
      <c r="N578" s="27">
        <f t="shared" ref="N578:N641" si="72">F578-E578</f>
        <v>12</v>
      </c>
      <c r="O578" s="28">
        <f t="shared" ref="O578:O641" si="73">I578/H578</f>
        <v>3.3422385173427528E-2</v>
      </c>
      <c r="P578" s="28">
        <f t="shared" ref="P578:P641" si="74">K578/I578</f>
        <v>8.2274247491638794E-2</v>
      </c>
      <c r="Q578" s="26">
        <f t="shared" ref="Q578:Q641" si="75">J578/I578</f>
        <v>0.50938461538461532</v>
      </c>
      <c r="R578" s="29">
        <f t="shared" ref="R578:R641" si="76">IFERROR(J578/K578,"0")</f>
        <v>6.1913008130081302</v>
      </c>
      <c r="S578" s="30">
        <f t="shared" ref="S578:S641" si="77">MONTH(E578)</f>
        <v>4</v>
      </c>
      <c r="T578" s="30">
        <f t="shared" ref="T578:T641" si="78">YEAR(E578)</f>
        <v>2023</v>
      </c>
      <c r="U578" s="29" t="str">
        <f t="shared" ref="U578:U641" si="79">TEXT(E578,"mmmm")</f>
        <v>April</v>
      </c>
    </row>
    <row r="579" spans="1:21" ht="17.399999999999999" x14ac:dyDescent="0.3">
      <c r="A579" s="21" t="s">
        <v>967</v>
      </c>
      <c r="B579" s="21" t="s">
        <v>968</v>
      </c>
      <c r="C579" s="23" t="s">
        <v>3516</v>
      </c>
      <c r="D579" s="21" t="s">
        <v>3517</v>
      </c>
      <c r="E579" s="24">
        <v>45037</v>
      </c>
      <c r="F579" s="24">
        <v>45067</v>
      </c>
      <c r="G579" s="22" t="s">
        <v>24</v>
      </c>
      <c r="H579" s="25">
        <v>73369</v>
      </c>
      <c r="I579" s="25">
        <v>1524</v>
      </c>
      <c r="J579" s="26">
        <v>1777.25</v>
      </c>
      <c r="K579" s="25">
        <v>0</v>
      </c>
      <c r="L579" s="21" t="s">
        <v>17</v>
      </c>
      <c r="M579" s="22" t="s">
        <v>3536</v>
      </c>
      <c r="N579" s="27">
        <f t="shared" si="72"/>
        <v>30</v>
      </c>
      <c r="O579" s="28">
        <f t="shared" si="73"/>
        <v>2.0771715574697761E-2</v>
      </c>
      <c r="P579" s="28">
        <f t="shared" si="74"/>
        <v>0</v>
      </c>
      <c r="Q579" s="26">
        <f t="shared" si="75"/>
        <v>1.1661745406824147</v>
      </c>
      <c r="R579" s="29" t="str">
        <f t="shared" si="76"/>
        <v>0</v>
      </c>
      <c r="S579" s="30">
        <f t="shared" si="77"/>
        <v>4</v>
      </c>
      <c r="T579" s="30">
        <f t="shared" si="78"/>
        <v>2023</v>
      </c>
      <c r="U579" s="29" t="str">
        <f t="shared" si="79"/>
        <v>April</v>
      </c>
    </row>
    <row r="580" spans="1:21" ht="17.399999999999999" x14ac:dyDescent="0.3">
      <c r="A580" s="21" t="s">
        <v>1808</v>
      </c>
      <c r="B580" s="21" t="s">
        <v>1809</v>
      </c>
      <c r="C580" s="23" t="s">
        <v>3516</v>
      </c>
      <c r="D580" s="21" t="s">
        <v>3517</v>
      </c>
      <c r="E580" s="24">
        <v>45037</v>
      </c>
      <c r="F580" s="24">
        <v>45038</v>
      </c>
      <c r="G580" s="22" t="s">
        <v>14</v>
      </c>
      <c r="H580" s="25">
        <v>10111</v>
      </c>
      <c r="I580" s="25">
        <v>362</v>
      </c>
      <c r="J580" s="26">
        <v>454.43</v>
      </c>
      <c r="K580" s="25">
        <v>65</v>
      </c>
      <c r="L580" s="21" t="s">
        <v>17</v>
      </c>
      <c r="M580" s="22" t="s">
        <v>3537</v>
      </c>
      <c r="N580" s="27">
        <f t="shared" si="72"/>
        <v>1</v>
      </c>
      <c r="O580" s="28">
        <f t="shared" si="73"/>
        <v>3.580259123726634E-2</v>
      </c>
      <c r="P580" s="28">
        <f t="shared" si="74"/>
        <v>0.17955801104972377</v>
      </c>
      <c r="Q580" s="26">
        <f t="shared" si="75"/>
        <v>1.2553314917127072</v>
      </c>
      <c r="R580" s="29">
        <f t="shared" si="76"/>
        <v>6.9912307692307696</v>
      </c>
      <c r="S580" s="30">
        <f t="shared" si="77"/>
        <v>4</v>
      </c>
      <c r="T580" s="30">
        <f t="shared" si="78"/>
        <v>2023</v>
      </c>
      <c r="U580" s="29" t="str">
        <f t="shared" si="79"/>
        <v>April</v>
      </c>
    </row>
    <row r="581" spans="1:21" ht="17.399999999999999" x14ac:dyDescent="0.3">
      <c r="A581" s="21" t="s">
        <v>2686</v>
      </c>
      <c r="B581" s="22" t="s">
        <v>3696</v>
      </c>
      <c r="C581" s="23" t="s">
        <v>3516</v>
      </c>
      <c r="D581" s="22" t="s">
        <v>3545</v>
      </c>
      <c r="E581" s="24">
        <v>45037</v>
      </c>
      <c r="F581" s="24">
        <v>45050</v>
      </c>
      <c r="G581" s="22" t="s">
        <v>11</v>
      </c>
      <c r="H581" s="25">
        <v>95457</v>
      </c>
      <c r="I581" s="25">
        <v>4189</v>
      </c>
      <c r="J581" s="26">
        <v>5991.79</v>
      </c>
      <c r="K581" s="25">
        <v>480</v>
      </c>
      <c r="L581" s="21" t="s">
        <v>17</v>
      </c>
      <c r="M581" s="22" t="s">
        <v>11</v>
      </c>
      <c r="N581" s="27">
        <f t="shared" si="72"/>
        <v>13</v>
      </c>
      <c r="O581" s="28">
        <f t="shared" si="73"/>
        <v>4.3883633468472717E-2</v>
      </c>
      <c r="P581" s="28">
        <f t="shared" si="74"/>
        <v>0.11458582000477441</v>
      </c>
      <c r="Q581" s="26">
        <f t="shared" si="75"/>
        <v>1.4303628550966818</v>
      </c>
      <c r="R581" s="29">
        <f t="shared" si="76"/>
        <v>12.482895833333334</v>
      </c>
      <c r="S581" s="30">
        <f t="shared" si="77"/>
        <v>4</v>
      </c>
      <c r="T581" s="30">
        <f t="shared" si="78"/>
        <v>2023</v>
      </c>
      <c r="U581" s="29" t="str">
        <f t="shared" si="79"/>
        <v>April</v>
      </c>
    </row>
    <row r="582" spans="1:21" ht="17.399999999999999" x14ac:dyDescent="0.3">
      <c r="A582" s="21" t="s">
        <v>356</v>
      </c>
      <c r="B582" s="21" t="s">
        <v>357</v>
      </c>
      <c r="C582" s="23" t="s">
        <v>3515</v>
      </c>
      <c r="D582" s="21" t="s">
        <v>3521</v>
      </c>
      <c r="E582" s="24">
        <v>45037</v>
      </c>
      <c r="F582" s="24">
        <v>45142</v>
      </c>
      <c r="G582" s="22" t="s">
        <v>24</v>
      </c>
      <c r="H582" s="25">
        <v>35766</v>
      </c>
      <c r="I582" s="25">
        <v>595</v>
      </c>
      <c r="J582" s="26">
        <v>364.28</v>
      </c>
      <c r="K582" s="25">
        <v>101</v>
      </c>
      <c r="L582" s="21" t="s">
        <v>21</v>
      </c>
      <c r="M582" s="22" t="s">
        <v>3536</v>
      </c>
      <c r="N582" s="27">
        <f t="shared" si="72"/>
        <v>105</v>
      </c>
      <c r="O582" s="28">
        <f t="shared" si="73"/>
        <v>1.6635911200581558E-2</v>
      </c>
      <c r="P582" s="28">
        <f t="shared" si="74"/>
        <v>0.16974789915966387</v>
      </c>
      <c r="Q582" s="26">
        <f t="shared" si="75"/>
        <v>0.61223529411764699</v>
      </c>
      <c r="R582" s="29">
        <f t="shared" si="76"/>
        <v>3.6067326732673264</v>
      </c>
      <c r="S582" s="30">
        <f t="shared" si="77"/>
        <v>4</v>
      </c>
      <c r="T582" s="30">
        <f t="shared" si="78"/>
        <v>2023</v>
      </c>
      <c r="U582" s="29" t="str">
        <f t="shared" si="79"/>
        <v>April</v>
      </c>
    </row>
    <row r="583" spans="1:21" ht="17.399999999999999" x14ac:dyDescent="0.3">
      <c r="A583" s="21" t="s">
        <v>20</v>
      </c>
      <c r="B583" s="22" t="s">
        <v>3697</v>
      </c>
      <c r="C583" s="23" t="s">
        <v>3518</v>
      </c>
      <c r="D583" s="22" t="s">
        <v>3545</v>
      </c>
      <c r="E583" s="24">
        <v>45038</v>
      </c>
      <c r="F583" s="24">
        <v>45039</v>
      </c>
      <c r="G583" s="22" t="s">
        <v>14</v>
      </c>
      <c r="H583" s="25">
        <v>7265</v>
      </c>
      <c r="I583" s="25">
        <v>169</v>
      </c>
      <c r="J583" s="26">
        <v>252.44</v>
      </c>
      <c r="K583" s="25">
        <v>30</v>
      </c>
      <c r="L583" s="21" t="s">
        <v>21</v>
      </c>
      <c r="M583" s="22" t="s">
        <v>3537</v>
      </c>
      <c r="N583" s="27">
        <f t="shared" si="72"/>
        <v>1</v>
      </c>
      <c r="O583" s="28">
        <f t="shared" si="73"/>
        <v>2.3262216104611148E-2</v>
      </c>
      <c r="P583" s="28">
        <f t="shared" si="74"/>
        <v>0.17751479289940827</v>
      </c>
      <c r="Q583" s="26">
        <f t="shared" si="75"/>
        <v>1.4937278106508876</v>
      </c>
      <c r="R583" s="29">
        <f t="shared" si="76"/>
        <v>8.4146666666666672</v>
      </c>
      <c r="S583" s="30">
        <f t="shared" si="77"/>
        <v>4</v>
      </c>
      <c r="T583" s="30">
        <f t="shared" si="78"/>
        <v>2023</v>
      </c>
      <c r="U583" s="29" t="str">
        <f t="shared" si="79"/>
        <v>April</v>
      </c>
    </row>
    <row r="584" spans="1:21" ht="17.399999999999999" x14ac:dyDescent="0.3">
      <c r="A584" s="21" t="s">
        <v>370</v>
      </c>
      <c r="B584" s="21" t="s">
        <v>371</v>
      </c>
      <c r="C584" s="23" t="s">
        <v>3518</v>
      </c>
      <c r="D584" s="21" t="s">
        <v>3521</v>
      </c>
      <c r="E584" s="24">
        <v>45038</v>
      </c>
      <c r="F584" s="24">
        <v>45047</v>
      </c>
      <c r="G584" s="22" t="s">
        <v>14</v>
      </c>
      <c r="H584" s="25">
        <v>52005</v>
      </c>
      <c r="I584" s="25">
        <v>706</v>
      </c>
      <c r="J584" s="26">
        <v>517.75</v>
      </c>
      <c r="K584" s="25">
        <v>63</v>
      </c>
      <c r="L584" s="21" t="s">
        <v>17</v>
      </c>
      <c r="M584" s="22" t="s">
        <v>3537</v>
      </c>
      <c r="N584" s="27">
        <f t="shared" si="72"/>
        <v>9</v>
      </c>
      <c r="O584" s="28">
        <f t="shared" si="73"/>
        <v>1.3575617729064514E-2</v>
      </c>
      <c r="P584" s="28">
        <f t="shared" si="74"/>
        <v>8.9235127478753534E-2</v>
      </c>
      <c r="Q584" s="26">
        <f t="shared" si="75"/>
        <v>0.73335694050991507</v>
      </c>
      <c r="R584" s="29">
        <f t="shared" si="76"/>
        <v>8.2182539682539684</v>
      </c>
      <c r="S584" s="30">
        <f t="shared" si="77"/>
        <v>4</v>
      </c>
      <c r="T584" s="30">
        <f t="shared" si="78"/>
        <v>2023</v>
      </c>
      <c r="U584" s="29" t="str">
        <f t="shared" si="79"/>
        <v>April</v>
      </c>
    </row>
    <row r="585" spans="1:21" ht="17.399999999999999" x14ac:dyDescent="0.3">
      <c r="A585" s="21" t="s">
        <v>1778</v>
      </c>
      <c r="B585" s="22" t="s">
        <v>3698</v>
      </c>
      <c r="C585" s="23" t="s">
        <v>3518</v>
      </c>
      <c r="D585" s="22" t="s">
        <v>3545</v>
      </c>
      <c r="E585" s="24">
        <v>45038</v>
      </c>
      <c r="F585" s="24">
        <v>45041</v>
      </c>
      <c r="G585" s="22" t="s">
        <v>14</v>
      </c>
      <c r="H585" s="25">
        <v>59656</v>
      </c>
      <c r="I585" s="25">
        <v>601</v>
      </c>
      <c r="J585" s="26">
        <v>312.14</v>
      </c>
      <c r="K585" s="25">
        <v>108</v>
      </c>
      <c r="L585" s="21" t="s">
        <v>17</v>
      </c>
      <c r="M585" s="22" t="s">
        <v>3537</v>
      </c>
      <c r="N585" s="27">
        <f t="shared" si="72"/>
        <v>3</v>
      </c>
      <c r="O585" s="28">
        <f t="shared" si="73"/>
        <v>1.0074426713155425E-2</v>
      </c>
      <c r="P585" s="28">
        <f t="shared" si="74"/>
        <v>0.17970049916805325</v>
      </c>
      <c r="Q585" s="26">
        <f t="shared" si="75"/>
        <v>0.51936772046589019</v>
      </c>
      <c r="R585" s="29">
        <f t="shared" si="76"/>
        <v>2.8901851851851852</v>
      </c>
      <c r="S585" s="30">
        <f t="shared" si="77"/>
        <v>4</v>
      </c>
      <c r="T585" s="30">
        <f t="shared" si="78"/>
        <v>2023</v>
      </c>
      <c r="U585" s="29" t="str">
        <f t="shared" si="79"/>
        <v>April</v>
      </c>
    </row>
    <row r="586" spans="1:21" ht="17.399999999999999" x14ac:dyDescent="0.3">
      <c r="A586" s="21" t="s">
        <v>3314</v>
      </c>
      <c r="B586" s="21" t="s">
        <v>3315</v>
      </c>
      <c r="C586" s="23" t="s">
        <v>3518</v>
      </c>
      <c r="D586" s="21" t="s">
        <v>3521</v>
      </c>
      <c r="E586" s="24">
        <v>45038</v>
      </c>
      <c r="F586" s="24">
        <v>45052</v>
      </c>
      <c r="G586" s="22" t="s">
        <v>31</v>
      </c>
      <c r="H586" s="25">
        <v>6109</v>
      </c>
      <c r="I586" s="25">
        <v>193</v>
      </c>
      <c r="J586" s="26">
        <v>203.43</v>
      </c>
      <c r="K586" s="25">
        <v>22</v>
      </c>
      <c r="L586" s="21" t="s">
        <v>21</v>
      </c>
      <c r="M586" s="22" t="s">
        <v>31</v>
      </c>
      <c r="N586" s="27">
        <f t="shared" si="72"/>
        <v>14</v>
      </c>
      <c r="O586" s="28">
        <f t="shared" si="73"/>
        <v>3.1592732034702899E-2</v>
      </c>
      <c r="P586" s="28">
        <f t="shared" si="74"/>
        <v>0.11398963730569948</v>
      </c>
      <c r="Q586" s="26">
        <f t="shared" si="75"/>
        <v>1.054041450777202</v>
      </c>
      <c r="R586" s="29">
        <f t="shared" si="76"/>
        <v>9.2468181818181829</v>
      </c>
      <c r="S586" s="30">
        <f t="shared" si="77"/>
        <v>4</v>
      </c>
      <c r="T586" s="30">
        <f t="shared" si="78"/>
        <v>2023</v>
      </c>
      <c r="U586" s="29" t="str">
        <f t="shared" si="79"/>
        <v>April</v>
      </c>
    </row>
    <row r="587" spans="1:21" ht="17.399999999999999" x14ac:dyDescent="0.3">
      <c r="A587" s="21" t="s">
        <v>1317</v>
      </c>
      <c r="B587" s="21" t="s">
        <v>1318</v>
      </c>
      <c r="C587" s="23" t="s">
        <v>3515</v>
      </c>
      <c r="D587" s="21" t="s">
        <v>3517</v>
      </c>
      <c r="E587" s="24">
        <v>45038</v>
      </c>
      <c r="F587" s="24">
        <v>45061</v>
      </c>
      <c r="G587" s="22" t="s">
        <v>24</v>
      </c>
      <c r="H587" s="25">
        <v>69866</v>
      </c>
      <c r="I587" s="25">
        <v>2897</v>
      </c>
      <c r="J587" s="26">
        <v>4282.17</v>
      </c>
      <c r="K587" s="25">
        <v>400</v>
      </c>
      <c r="L587" s="21" t="s">
        <v>21</v>
      </c>
      <c r="M587" s="22" t="s">
        <v>3536</v>
      </c>
      <c r="N587" s="27">
        <f t="shared" si="72"/>
        <v>23</v>
      </c>
      <c r="O587" s="28">
        <f t="shared" si="73"/>
        <v>4.1465090315747286E-2</v>
      </c>
      <c r="P587" s="28">
        <f t="shared" si="74"/>
        <v>0.13807386952019329</v>
      </c>
      <c r="Q587" s="26">
        <f t="shared" si="75"/>
        <v>1.4781394546082154</v>
      </c>
      <c r="R587" s="29">
        <f t="shared" si="76"/>
        <v>10.705425</v>
      </c>
      <c r="S587" s="30">
        <f t="shared" si="77"/>
        <v>4</v>
      </c>
      <c r="T587" s="30">
        <f t="shared" si="78"/>
        <v>2023</v>
      </c>
      <c r="U587" s="29" t="str">
        <f t="shared" si="79"/>
        <v>April</v>
      </c>
    </row>
    <row r="588" spans="1:21" ht="17.399999999999999" x14ac:dyDescent="0.3">
      <c r="A588" s="21" t="s">
        <v>2974</v>
      </c>
      <c r="B588" s="22" t="s">
        <v>3699</v>
      </c>
      <c r="C588" s="23" t="s">
        <v>3515</v>
      </c>
      <c r="D588" s="22" t="s">
        <v>3545</v>
      </c>
      <c r="E588" s="24">
        <v>45038</v>
      </c>
      <c r="F588" s="24">
        <v>45063</v>
      </c>
      <c r="G588" s="22" t="s">
        <v>16</v>
      </c>
      <c r="H588" s="25">
        <v>47542</v>
      </c>
      <c r="I588" s="25">
        <v>2145</v>
      </c>
      <c r="J588" s="26">
        <v>3479.24</v>
      </c>
      <c r="K588" s="25">
        <v>397</v>
      </c>
      <c r="L588" s="21" t="s">
        <v>21</v>
      </c>
      <c r="M588" s="22" t="s">
        <v>16</v>
      </c>
      <c r="N588" s="27">
        <f t="shared" si="72"/>
        <v>25</v>
      </c>
      <c r="O588" s="28">
        <f t="shared" si="73"/>
        <v>4.5118000925497455E-2</v>
      </c>
      <c r="P588" s="28">
        <f t="shared" si="74"/>
        <v>0.18508158508158509</v>
      </c>
      <c r="Q588" s="26">
        <f t="shared" si="75"/>
        <v>1.6220233100233099</v>
      </c>
      <c r="R588" s="29">
        <f t="shared" si="76"/>
        <v>8.7638287153652392</v>
      </c>
      <c r="S588" s="30">
        <f t="shared" si="77"/>
        <v>4</v>
      </c>
      <c r="T588" s="30">
        <f t="shared" si="78"/>
        <v>2023</v>
      </c>
      <c r="U588" s="29" t="str">
        <f t="shared" si="79"/>
        <v>April</v>
      </c>
    </row>
    <row r="589" spans="1:21" ht="17.399999999999999" x14ac:dyDescent="0.3">
      <c r="A589" s="21" t="s">
        <v>1673</v>
      </c>
      <c r="B589" s="22" t="s">
        <v>3700</v>
      </c>
      <c r="C589" s="23" t="s">
        <v>3518</v>
      </c>
      <c r="D589" s="22" t="s">
        <v>3545</v>
      </c>
      <c r="E589" s="24">
        <v>45039</v>
      </c>
      <c r="F589" s="24">
        <v>45055</v>
      </c>
      <c r="G589" s="22" t="s">
        <v>11</v>
      </c>
      <c r="H589" s="25">
        <v>83558</v>
      </c>
      <c r="I589" s="25">
        <v>3096</v>
      </c>
      <c r="J589" s="26">
        <v>3475.08</v>
      </c>
      <c r="K589" s="25">
        <v>572</v>
      </c>
      <c r="L589" s="21" t="s">
        <v>17</v>
      </c>
      <c r="M589" s="22" t="s">
        <v>11</v>
      </c>
      <c r="N589" s="27">
        <f t="shared" si="72"/>
        <v>16</v>
      </c>
      <c r="O589" s="28">
        <f t="shared" si="73"/>
        <v>3.7052107518131115E-2</v>
      </c>
      <c r="P589" s="28">
        <f t="shared" si="74"/>
        <v>0.1847545219638243</v>
      </c>
      <c r="Q589" s="26">
        <f t="shared" si="75"/>
        <v>1.1224418604651163</v>
      </c>
      <c r="R589" s="29">
        <f t="shared" si="76"/>
        <v>6.0753146853146855</v>
      </c>
      <c r="S589" s="30">
        <f t="shared" si="77"/>
        <v>4</v>
      </c>
      <c r="T589" s="30">
        <f t="shared" si="78"/>
        <v>2023</v>
      </c>
      <c r="U589" s="29" t="str">
        <f t="shared" si="79"/>
        <v>April</v>
      </c>
    </row>
    <row r="590" spans="1:21" ht="17.399999999999999" x14ac:dyDescent="0.3">
      <c r="A590" s="21" t="s">
        <v>2504</v>
      </c>
      <c r="B590" s="21" t="s">
        <v>2505</v>
      </c>
      <c r="C590" s="23" t="s">
        <v>3516</v>
      </c>
      <c r="D590" s="21" t="s">
        <v>3520</v>
      </c>
      <c r="E590" s="24">
        <v>45039</v>
      </c>
      <c r="F590" s="24">
        <v>45053</v>
      </c>
      <c r="G590" s="22" t="s">
        <v>11</v>
      </c>
      <c r="H590" s="25">
        <v>97523</v>
      </c>
      <c r="I590" s="25">
        <v>4280</v>
      </c>
      <c r="J590" s="26">
        <v>3633.53</v>
      </c>
      <c r="K590" s="25">
        <v>687</v>
      </c>
      <c r="L590" s="21" t="s">
        <v>21</v>
      </c>
      <c r="M590" s="22" t="s">
        <v>11</v>
      </c>
      <c r="N590" s="27">
        <f t="shared" si="72"/>
        <v>14</v>
      </c>
      <c r="O590" s="28">
        <f t="shared" si="73"/>
        <v>4.3887083047076073E-2</v>
      </c>
      <c r="P590" s="28">
        <f t="shared" si="74"/>
        <v>0.16051401869158879</v>
      </c>
      <c r="Q590" s="26">
        <f t="shared" si="75"/>
        <v>0.84895560747663557</v>
      </c>
      <c r="R590" s="29">
        <f t="shared" si="76"/>
        <v>5.2889810771470165</v>
      </c>
      <c r="S590" s="30">
        <f t="shared" si="77"/>
        <v>4</v>
      </c>
      <c r="T590" s="30">
        <f t="shared" si="78"/>
        <v>2023</v>
      </c>
      <c r="U590" s="29" t="str">
        <f t="shared" si="79"/>
        <v>April</v>
      </c>
    </row>
    <row r="591" spans="1:21" ht="17.399999999999999" x14ac:dyDescent="0.3">
      <c r="A591" s="21" t="s">
        <v>238</v>
      </c>
      <c r="B591" s="21" t="s">
        <v>239</v>
      </c>
      <c r="C591" s="23" t="s">
        <v>3519</v>
      </c>
      <c r="D591" s="21" t="s">
        <v>3517</v>
      </c>
      <c r="E591" s="24">
        <v>45040</v>
      </c>
      <c r="F591" s="24">
        <v>45060</v>
      </c>
      <c r="G591" s="22" t="s">
        <v>14</v>
      </c>
      <c r="H591" s="25">
        <v>25538</v>
      </c>
      <c r="I591" s="25">
        <v>868</v>
      </c>
      <c r="J591" s="26">
        <v>1272.82</v>
      </c>
      <c r="K591" s="25">
        <v>156</v>
      </c>
      <c r="L591" s="21" t="s">
        <v>17</v>
      </c>
      <c r="M591" s="22" t="s">
        <v>3537</v>
      </c>
      <c r="N591" s="27">
        <f t="shared" si="72"/>
        <v>20</v>
      </c>
      <c r="O591" s="28">
        <f t="shared" si="73"/>
        <v>3.3988566058422744E-2</v>
      </c>
      <c r="P591" s="28">
        <f t="shared" si="74"/>
        <v>0.17972350230414746</v>
      </c>
      <c r="Q591" s="26">
        <f t="shared" si="75"/>
        <v>1.4663824884792627</v>
      </c>
      <c r="R591" s="29">
        <f t="shared" si="76"/>
        <v>8.1591025641025645</v>
      </c>
      <c r="S591" s="30">
        <f t="shared" si="77"/>
        <v>4</v>
      </c>
      <c r="T591" s="30">
        <f t="shared" si="78"/>
        <v>2023</v>
      </c>
      <c r="U591" s="29" t="str">
        <f t="shared" si="79"/>
        <v>April</v>
      </c>
    </row>
    <row r="592" spans="1:21" ht="17.399999999999999" x14ac:dyDescent="0.3">
      <c r="A592" s="21" t="s">
        <v>839</v>
      </c>
      <c r="B592" s="21" t="s">
        <v>840</v>
      </c>
      <c r="C592" s="23" t="s">
        <v>3519</v>
      </c>
      <c r="D592" s="21" t="s">
        <v>3517</v>
      </c>
      <c r="E592" s="24">
        <v>45040</v>
      </c>
      <c r="F592" s="24">
        <v>45041</v>
      </c>
      <c r="G592" s="22" t="s">
        <v>31</v>
      </c>
      <c r="H592" s="25">
        <v>2150</v>
      </c>
      <c r="I592" s="25">
        <v>59</v>
      </c>
      <c r="J592" s="26">
        <v>98.84</v>
      </c>
      <c r="K592" s="25">
        <v>5</v>
      </c>
      <c r="L592" s="21" t="s">
        <v>17</v>
      </c>
      <c r="M592" s="22" t="s">
        <v>31</v>
      </c>
      <c r="N592" s="27">
        <f t="shared" si="72"/>
        <v>1</v>
      </c>
      <c r="O592" s="28">
        <f t="shared" si="73"/>
        <v>2.7441860465116281E-2</v>
      </c>
      <c r="P592" s="28">
        <f t="shared" si="74"/>
        <v>8.4745762711864403E-2</v>
      </c>
      <c r="Q592" s="26">
        <f t="shared" si="75"/>
        <v>1.6752542372881356</v>
      </c>
      <c r="R592" s="29">
        <f t="shared" si="76"/>
        <v>19.768000000000001</v>
      </c>
      <c r="S592" s="30">
        <f t="shared" si="77"/>
        <v>4</v>
      </c>
      <c r="T592" s="30">
        <f t="shared" si="78"/>
        <v>2023</v>
      </c>
      <c r="U592" s="29" t="str">
        <f t="shared" si="79"/>
        <v>April</v>
      </c>
    </row>
    <row r="593" spans="1:21" ht="17.399999999999999" x14ac:dyDescent="0.3">
      <c r="A593" s="21" t="s">
        <v>1604</v>
      </c>
      <c r="B593" s="21" t="s">
        <v>1605</v>
      </c>
      <c r="C593" s="23" t="s">
        <v>3519</v>
      </c>
      <c r="D593" s="21" t="s">
        <v>3521</v>
      </c>
      <c r="E593" s="24">
        <v>45040</v>
      </c>
      <c r="F593" s="24">
        <v>45070</v>
      </c>
      <c r="G593" s="22" t="s">
        <v>14</v>
      </c>
      <c r="H593" s="25">
        <v>59243</v>
      </c>
      <c r="I593" s="25">
        <v>768</v>
      </c>
      <c r="J593" s="26">
        <v>1429.71</v>
      </c>
      <c r="K593" s="25">
        <v>46</v>
      </c>
      <c r="L593" s="21" t="s">
        <v>21</v>
      </c>
      <c r="M593" s="22" t="s">
        <v>3537</v>
      </c>
      <c r="N593" s="27">
        <f t="shared" si="72"/>
        <v>30</v>
      </c>
      <c r="O593" s="28">
        <f t="shared" si="73"/>
        <v>1.2963556875917831E-2</v>
      </c>
      <c r="P593" s="28">
        <f t="shared" si="74"/>
        <v>5.9895833333333336E-2</v>
      </c>
      <c r="Q593" s="26">
        <f t="shared" si="75"/>
        <v>1.8616015625</v>
      </c>
      <c r="R593" s="29">
        <f t="shared" si="76"/>
        <v>31.080652173913045</v>
      </c>
      <c r="S593" s="30">
        <f t="shared" si="77"/>
        <v>4</v>
      </c>
      <c r="T593" s="30">
        <f t="shared" si="78"/>
        <v>2023</v>
      </c>
      <c r="U593" s="29" t="str">
        <f t="shared" si="79"/>
        <v>April</v>
      </c>
    </row>
    <row r="594" spans="1:21" ht="17.399999999999999" x14ac:dyDescent="0.3">
      <c r="A594" s="21" t="s">
        <v>1931</v>
      </c>
      <c r="B594" s="22" t="s">
        <v>3701</v>
      </c>
      <c r="C594" s="23" t="s">
        <v>3518</v>
      </c>
      <c r="D594" s="22" t="s">
        <v>3545</v>
      </c>
      <c r="E594" s="24">
        <v>45040</v>
      </c>
      <c r="F594" s="24">
        <v>45045</v>
      </c>
      <c r="G594" s="22" t="s">
        <v>24</v>
      </c>
      <c r="H594" s="25">
        <v>9007</v>
      </c>
      <c r="I594" s="25">
        <v>125</v>
      </c>
      <c r="J594" s="26">
        <v>184.93</v>
      </c>
      <c r="K594" s="25">
        <v>20</v>
      </c>
      <c r="L594" s="21" t="s">
        <v>17</v>
      </c>
      <c r="M594" s="22" t="s">
        <v>3536</v>
      </c>
      <c r="N594" s="27">
        <f t="shared" si="72"/>
        <v>5</v>
      </c>
      <c r="O594" s="28">
        <f t="shared" si="73"/>
        <v>1.3878094815143778E-2</v>
      </c>
      <c r="P594" s="28">
        <f t="shared" si="74"/>
        <v>0.16</v>
      </c>
      <c r="Q594" s="26">
        <f t="shared" si="75"/>
        <v>1.4794400000000001</v>
      </c>
      <c r="R594" s="29">
        <f t="shared" si="76"/>
        <v>9.2465000000000011</v>
      </c>
      <c r="S594" s="30">
        <f t="shared" si="77"/>
        <v>4</v>
      </c>
      <c r="T594" s="30">
        <f t="shared" si="78"/>
        <v>2023</v>
      </c>
      <c r="U594" s="29" t="str">
        <f t="shared" si="79"/>
        <v>April</v>
      </c>
    </row>
    <row r="595" spans="1:21" ht="17.399999999999999" x14ac:dyDescent="0.3">
      <c r="A595" s="21" t="s">
        <v>2509</v>
      </c>
      <c r="B595" s="21" t="s">
        <v>2510</v>
      </c>
      <c r="C595" s="23" t="s">
        <v>3518</v>
      </c>
      <c r="D595" s="21" t="s">
        <v>3517</v>
      </c>
      <c r="E595" s="24">
        <v>45040</v>
      </c>
      <c r="F595" s="24">
        <v>45055</v>
      </c>
      <c r="G595" s="22" t="s">
        <v>11</v>
      </c>
      <c r="H595" s="25">
        <v>75182</v>
      </c>
      <c r="I595" s="25">
        <v>3703</v>
      </c>
      <c r="J595" s="26">
        <v>5321.2</v>
      </c>
      <c r="K595" s="25">
        <v>600</v>
      </c>
      <c r="L595" s="21" t="s">
        <v>21</v>
      </c>
      <c r="M595" s="22" t="s">
        <v>11</v>
      </c>
      <c r="N595" s="27">
        <f t="shared" si="72"/>
        <v>15</v>
      </c>
      <c r="O595" s="28">
        <f t="shared" si="73"/>
        <v>4.9253810752573755E-2</v>
      </c>
      <c r="P595" s="28">
        <f t="shared" si="74"/>
        <v>0.16203078584931138</v>
      </c>
      <c r="Q595" s="26">
        <f t="shared" si="75"/>
        <v>1.4369970294355927</v>
      </c>
      <c r="R595" s="29">
        <f t="shared" si="76"/>
        <v>8.868666666666666</v>
      </c>
      <c r="S595" s="30">
        <f t="shared" si="77"/>
        <v>4</v>
      </c>
      <c r="T595" s="30">
        <f t="shared" si="78"/>
        <v>2023</v>
      </c>
      <c r="U595" s="29" t="str">
        <f t="shared" si="79"/>
        <v>April</v>
      </c>
    </row>
    <row r="596" spans="1:21" ht="17.399999999999999" x14ac:dyDescent="0.3">
      <c r="A596" s="21" t="s">
        <v>2751</v>
      </c>
      <c r="B596" s="22" t="s">
        <v>3702</v>
      </c>
      <c r="C596" s="23" t="s">
        <v>3518</v>
      </c>
      <c r="D596" s="22" t="s">
        <v>3545</v>
      </c>
      <c r="E596" s="24">
        <v>45040</v>
      </c>
      <c r="F596" s="24">
        <v>45043</v>
      </c>
      <c r="G596" s="22" t="s">
        <v>14</v>
      </c>
      <c r="H596" s="25">
        <v>7640</v>
      </c>
      <c r="I596" s="25">
        <v>298</v>
      </c>
      <c r="J596" s="26">
        <v>530.58000000000004</v>
      </c>
      <c r="K596" s="25">
        <v>37</v>
      </c>
      <c r="L596" s="21" t="s">
        <v>17</v>
      </c>
      <c r="M596" s="22" t="s">
        <v>3537</v>
      </c>
      <c r="N596" s="27">
        <f t="shared" si="72"/>
        <v>3</v>
      </c>
      <c r="O596" s="28">
        <f t="shared" si="73"/>
        <v>3.9005235602094242E-2</v>
      </c>
      <c r="P596" s="28">
        <f t="shared" si="74"/>
        <v>0.12416107382550336</v>
      </c>
      <c r="Q596" s="26">
        <f t="shared" si="75"/>
        <v>1.7804697986577183</v>
      </c>
      <c r="R596" s="29">
        <f t="shared" si="76"/>
        <v>14.340000000000002</v>
      </c>
      <c r="S596" s="30">
        <f t="shared" si="77"/>
        <v>4</v>
      </c>
      <c r="T596" s="30">
        <f t="shared" si="78"/>
        <v>2023</v>
      </c>
      <c r="U596" s="29" t="str">
        <f t="shared" si="79"/>
        <v>April</v>
      </c>
    </row>
    <row r="597" spans="1:21" ht="17.399999999999999" x14ac:dyDescent="0.3">
      <c r="A597" s="21" t="s">
        <v>3256</v>
      </c>
      <c r="B597" s="22" t="s">
        <v>3703</v>
      </c>
      <c r="C597" s="23" t="s">
        <v>3518</v>
      </c>
      <c r="D597" s="22" t="s">
        <v>3545</v>
      </c>
      <c r="E597" s="24">
        <v>45040</v>
      </c>
      <c r="F597" s="24">
        <v>45064</v>
      </c>
      <c r="G597" s="22" t="s">
        <v>24</v>
      </c>
      <c r="H597" s="25">
        <v>85976</v>
      </c>
      <c r="I597" s="25">
        <v>2762</v>
      </c>
      <c r="J597" s="26">
        <v>3225.77</v>
      </c>
      <c r="K597" s="25">
        <v>336</v>
      </c>
      <c r="L597" s="21" t="s">
        <v>17</v>
      </c>
      <c r="M597" s="22" t="s">
        <v>3536</v>
      </c>
      <c r="N597" s="27">
        <f t="shared" si="72"/>
        <v>24</v>
      </c>
      <c r="O597" s="28">
        <f t="shared" si="73"/>
        <v>3.2125244254210476E-2</v>
      </c>
      <c r="P597" s="28">
        <f t="shared" si="74"/>
        <v>0.12165097755249819</v>
      </c>
      <c r="Q597" s="26">
        <f t="shared" si="75"/>
        <v>1.1679109341057206</v>
      </c>
      <c r="R597" s="29">
        <f t="shared" si="76"/>
        <v>9.6005059523809528</v>
      </c>
      <c r="S597" s="30">
        <f t="shared" si="77"/>
        <v>4</v>
      </c>
      <c r="T597" s="30">
        <f t="shared" si="78"/>
        <v>2023</v>
      </c>
      <c r="U597" s="29" t="str">
        <f t="shared" si="79"/>
        <v>April</v>
      </c>
    </row>
    <row r="598" spans="1:21" ht="17.399999999999999" x14ac:dyDescent="0.3">
      <c r="A598" s="21" t="s">
        <v>417</v>
      </c>
      <c r="B598" s="21" t="s">
        <v>418</v>
      </c>
      <c r="C598" s="23" t="s">
        <v>3516</v>
      </c>
      <c r="D598" s="21" t="s">
        <v>3521</v>
      </c>
      <c r="E598" s="24">
        <v>45040</v>
      </c>
      <c r="F598" s="24">
        <v>45055</v>
      </c>
      <c r="G598" s="22" t="s">
        <v>3535</v>
      </c>
      <c r="H598" s="25">
        <v>13688</v>
      </c>
      <c r="I598" s="25">
        <v>632</v>
      </c>
      <c r="J598" s="26">
        <v>734.78</v>
      </c>
      <c r="K598" s="25">
        <v>112</v>
      </c>
      <c r="L598" s="21" t="s">
        <v>21</v>
      </c>
      <c r="M598" s="22" t="s">
        <v>3535</v>
      </c>
      <c r="N598" s="27">
        <f t="shared" si="72"/>
        <v>15</v>
      </c>
      <c r="O598" s="28">
        <f t="shared" si="73"/>
        <v>4.6171829339567504E-2</v>
      </c>
      <c r="P598" s="28">
        <f t="shared" si="74"/>
        <v>0.17721518987341772</v>
      </c>
      <c r="Q598" s="26">
        <f t="shared" si="75"/>
        <v>1.1626265822784809</v>
      </c>
      <c r="R598" s="29">
        <f t="shared" si="76"/>
        <v>6.5605357142857139</v>
      </c>
      <c r="S598" s="30">
        <f t="shared" si="77"/>
        <v>4</v>
      </c>
      <c r="T598" s="30">
        <f t="shared" si="78"/>
        <v>2023</v>
      </c>
      <c r="U598" s="29" t="str">
        <f t="shared" si="79"/>
        <v>April</v>
      </c>
    </row>
    <row r="599" spans="1:21" ht="17.399999999999999" x14ac:dyDescent="0.3">
      <c r="A599" s="21" t="s">
        <v>951</v>
      </c>
      <c r="B599" s="21" t="s">
        <v>952</v>
      </c>
      <c r="C599" s="23" t="s">
        <v>3516</v>
      </c>
      <c r="D599" s="21" t="s">
        <v>3521</v>
      </c>
      <c r="E599" s="24">
        <v>45040</v>
      </c>
      <c r="F599" s="24">
        <v>45065</v>
      </c>
      <c r="G599" s="22" t="s">
        <v>11</v>
      </c>
      <c r="H599" s="25">
        <v>31977</v>
      </c>
      <c r="I599" s="25">
        <v>1133</v>
      </c>
      <c r="J599" s="26">
        <v>1668.18</v>
      </c>
      <c r="K599" s="25">
        <v>59</v>
      </c>
      <c r="L599" s="21" t="s">
        <v>21</v>
      </c>
      <c r="M599" s="22" t="s">
        <v>11</v>
      </c>
      <c r="N599" s="27">
        <f t="shared" si="72"/>
        <v>25</v>
      </c>
      <c r="O599" s="28">
        <f t="shared" si="73"/>
        <v>3.543171654626763E-2</v>
      </c>
      <c r="P599" s="28">
        <f t="shared" si="74"/>
        <v>5.2074139452780228E-2</v>
      </c>
      <c r="Q599" s="26">
        <f t="shared" si="75"/>
        <v>1.4723565754633716</v>
      </c>
      <c r="R599" s="29">
        <f t="shared" si="76"/>
        <v>28.274237288135595</v>
      </c>
      <c r="S599" s="30">
        <f t="shared" si="77"/>
        <v>4</v>
      </c>
      <c r="T599" s="30">
        <f t="shared" si="78"/>
        <v>2023</v>
      </c>
      <c r="U599" s="29" t="str">
        <f t="shared" si="79"/>
        <v>April</v>
      </c>
    </row>
    <row r="600" spans="1:21" ht="17.399999999999999" x14ac:dyDescent="0.3">
      <c r="A600" s="21" t="s">
        <v>2182</v>
      </c>
      <c r="B600" s="22" t="s">
        <v>3704</v>
      </c>
      <c r="C600" s="23" t="s">
        <v>3516</v>
      </c>
      <c r="D600" s="22" t="s">
        <v>3545</v>
      </c>
      <c r="E600" s="24">
        <v>45040</v>
      </c>
      <c r="F600" s="24">
        <v>45059</v>
      </c>
      <c r="G600" s="22" t="s">
        <v>3535</v>
      </c>
      <c r="H600" s="25">
        <v>41738</v>
      </c>
      <c r="I600" s="25">
        <v>1823</v>
      </c>
      <c r="J600" s="26">
        <v>2923.87</v>
      </c>
      <c r="K600" s="25">
        <v>332</v>
      </c>
      <c r="L600" s="21" t="s">
        <v>21</v>
      </c>
      <c r="M600" s="22" t="s">
        <v>3535</v>
      </c>
      <c r="N600" s="27">
        <f t="shared" si="72"/>
        <v>19</v>
      </c>
      <c r="O600" s="28">
        <f t="shared" si="73"/>
        <v>4.367722459149935E-2</v>
      </c>
      <c r="P600" s="28">
        <f t="shared" si="74"/>
        <v>0.18211738891936369</v>
      </c>
      <c r="Q600" s="26">
        <f t="shared" si="75"/>
        <v>1.6038782227098189</v>
      </c>
      <c r="R600" s="29">
        <f t="shared" si="76"/>
        <v>8.8068373493975898</v>
      </c>
      <c r="S600" s="30">
        <f t="shared" si="77"/>
        <v>4</v>
      </c>
      <c r="T600" s="30">
        <f t="shared" si="78"/>
        <v>2023</v>
      </c>
      <c r="U600" s="29" t="str">
        <f t="shared" si="79"/>
        <v>April</v>
      </c>
    </row>
    <row r="601" spans="1:21" ht="17.399999999999999" x14ac:dyDescent="0.3">
      <c r="A601" s="21" t="s">
        <v>2231</v>
      </c>
      <c r="B601" s="21" t="s">
        <v>2232</v>
      </c>
      <c r="C601" s="23" t="s">
        <v>3516</v>
      </c>
      <c r="D601" s="21" t="s">
        <v>3521</v>
      </c>
      <c r="E601" s="24">
        <v>45040</v>
      </c>
      <c r="F601" s="24">
        <v>45052</v>
      </c>
      <c r="G601" s="22" t="s">
        <v>16</v>
      </c>
      <c r="H601" s="25">
        <v>20816</v>
      </c>
      <c r="I601" s="25">
        <v>593</v>
      </c>
      <c r="J601" s="26">
        <v>1155.05</v>
      </c>
      <c r="K601" s="25">
        <v>51</v>
      </c>
      <c r="L601" s="21" t="s">
        <v>21</v>
      </c>
      <c r="M601" s="22" t="s">
        <v>16</v>
      </c>
      <c r="N601" s="27">
        <f t="shared" si="72"/>
        <v>12</v>
      </c>
      <c r="O601" s="28">
        <f t="shared" si="73"/>
        <v>2.8487701767870868E-2</v>
      </c>
      <c r="P601" s="28">
        <f t="shared" si="74"/>
        <v>8.6003372681281623E-2</v>
      </c>
      <c r="Q601" s="26">
        <f t="shared" si="75"/>
        <v>1.9478077571669477</v>
      </c>
      <c r="R601" s="29">
        <f t="shared" si="76"/>
        <v>22.648039215686275</v>
      </c>
      <c r="S601" s="30">
        <f t="shared" si="77"/>
        <v>4</v>
      </c>
      <c r="T601" s="30">
        <f t="shared" si="78"/>
        <v>2023</v>
      </c>
      <c r="U601" s="29" t="str">
        <f t="shared" si="79"/>
        <v>April</v>
      </c>
    </row>
    <row r="602" spans="1:21" ht="17.399999999999999" x14ac:dyDescent="0.3">
      <c r="A602" s="21" t="s">
        <v>3056</v>
      </c>
      <c r="B602" s="21" t="s">
        <v>3057</v>
      </c>
      <c r="C602" s="23" t="s">
        <v>3515</v>
      </c>
      <c r="D602" s="21" t="s">
        <v>3521</v>
      </c>
      <c r="E602" s="24">
        <v>45040</v>
      </c>
      <c r="F602" s="24">
        <v>45065</v>
      </c>
      <c r="G602" s="22" t="s">
        <v>3535</v>
      </c>
      <c r="H602" s="25">
        <v>75553</v>
      </c>
      <c r="I602" s="25">
        <v>2694</v>
      </c>
      <c r="J602" s="26">
        <v>4832.32</v>
      </c>
      <c r="K602" s="25">
        <v>271</v>
      </c>
      <c r="L602" s="21" t="s">
        <v>21</v>
      </c>
      <c r="M602" s="22" t="s">
        <v>3535</v>
      </c>
      <c r="N602" s="27">
        <f t="shared" si="72"/>
        <v>25</v>
      </c>
      <c r="O602" s="28">
        <f t="shared" si="73"/>
        <v>3.565708840151946E-2</v>
      </c>
      <c r="P602" s="28">
        <f t="shared" si="74"/>
        <v>0.1005939123979213</v>
      </c>
      <c r="Q602" s="26">
        <f t="shared" si="75"/>
        <v>1.7937342242019301</v>
      </c>
      <c r="R602" s="29">
        <f t="shared" si="76"/>
        <v>17.831439114391141</v>
      </c>
      <c r="S602" s="30">
        <f t="shared" si="77"/>
        <v>4</v>
      </c>
      <c r="T602" s="30">
        <f t="shared" si="78"/>
        <v>2023</v>
      </c>
      <c r="U602" s="29" t="str">
        <f t="shared" si="79"/>
        <v>April</v>
      </c>
    </row>
    <row r="603" spans="1:21" ht="17.399999999999999" x14ac:dyDescent="0.3">
      <c r="A603" s="21" t="s">
        <v>1080</v>
      </c>
      <c r="B603" s="21" t="s">
        <v>1081</v>
      </c>
      <c r="C603" s="23" t="s">
        <v>3519</v>
      </c>
      <c r="D603" s="21" t="s">
        <v>3520</v>
      </c>
      <c r="E603" s="24">
        <v>45041</v>
      </c>
      <c r="F603" s="24">
        <v>45048</v>
      </c>
      <c r="G603" s="22" t="s">
        <v>31</v>
      </c>
      <c r="H603" s="25">
        <v>69450</v>
      </c>
      <c r="I603" s="25">
        <v>2704</v>
      </c>
      <c r="J603" s="26">
        <v>3100.07</v>
      </c>
      <c r="K603" s="25">
        <v>302</v>
      </c>
      <c r="L603" s="21" t="s">
        <v>17</v>
      </c>
      <c r="M603" s="22" t="s">
        <v>31</v>
      </c>
      <c r="N603" s="27">
        <f t="shared" si="72"/>
        <v>7</v>
      </c>
      <c r="O603" s="28">
        <f t="shared" si="73"/>
        <v>3.8934485241180705E-2</v>
      </c>
      <c r="P603" s="28">
        <f t="shared" si="74"/>
        <v>0.11168639053254438</v>
      </c>
      <c r="Q603" s="26">
        <f t="shared" si="75"/>
        <v>1.1464755917159763</v>
      </c>
      <c r="R603" s="29">
        <f t="shared" si="76"/>
        <v>10.265132450331127</v>
      </c>
      <c r="S603" s="30">
        <f t="shared" si="77"/>
        <v>4</v>
      </c>
      <c r="T603" s="30">
        <f t="shared" si="78"/>
        <v>2023</v>
      </c>
      <c r="U603" s="29" t="str">
        <f t="shared" si="79"/>
        <v>April</v>
      </c>
    </row>
    <row r="604" spans="1:21" ht="17.399999999999999" x14ac:dyDescent="0.3">
      <c r="A604" s="21" t="s">
        <v>2628</v>
      </c>
      <c r="B604" s="22" t="s">
        <v>3705</v>
      </c>
      <c r="C604" s="23" t="s">
        <v>3519</v>
      </c>
      <c r="D604" s="22" t="s">
        <v>3545</v>
      </c>
      <c r="E604" s="24">
        <v>45041</v>
      </c>
      <c r="F604" s="24">
        <v>45054</v>
      </c>
      <c r="G604" s="22" t="s">
        <v>16</v>
      </c>
      <c r="H604" s="25">
        <v>70626</v>
      </c>
      <c r="I604" s="25">
        <v>3122</v>
      </c>
      <c r="J604" s="26">
        <v>3914.05</v>
      </c>
      <c r="K604" s="25">
        <v>181</v>
      </c>
      <c r="L604" s="21" t="s">
        <v>17</v>
      </c>
      <c r="M604" s="22" t="s">
        <v>16</v>
      </c>
      <c r="N604" s="27">
        <f t="shared" si="72"/>
        <v>13</v>
      </c>
      <c r="O604" s="28">
        <f t="shared" si="73"/>
        <v>4.420468382748563E-2</v>
      </c>
      <c r="P604" s="28">
        <f t="shared" si="74"/>
        <v>5.7975656630365149E-2</v>
      </c>
      <c r="Q604" s="26">
        <f t="shared" si="75"/>
        <v>1.2536995515695069</v>
      </c>
      <c r="R604" s="29">
        <f t="shared" si="76"/>
        <v>21.624585635359118</v>
      </c>
      <c r="S604" s="30">
        <f t="shared" si="77"/>
        <v>4</v>
      </c>
      <c r="T604" s="30">
        <f t="shared" si="78"/>
        <v>2023</v>
      </c>
      <c r="U604" s="29" t="str">
        <f t="shared" si="79"/>
        <v>April</v>
      </c>
    </row>
    <row r="605" spans="1:21" ht="17.399999999999999" x14ac:dyDescent="0.3">
      <c r="A605" s="21" t="s">
        <v>2284</v>
      </c>
      <c r="B605" s="21" t="s">
        <v>2285</v>
      </c>
      <c r="C605" s="23" t="s">
        <v>3518</v>
      </c>
      <c r="D605" s="21" t="s">
        <v>3517</v>
      </c>
      <c r="E605" s="24">
        <v>45041</v>
      </c>
      <c r="F605" s="24">
        <v>45053</v>
      </c>
      <c r="G605" s="22" t="s">
        <v>16</v>
      </c>
      <c r="H605" s="25">
        <v>34536</v>
      </c>
      <c r="I605" s="25">
        <v>1125</v>
      </c>
      <c r="J605" s="26">
        <v>1483.75</v>
      </c>
      <c r="K605" s="25">
        <v>127</v>
      </c>
      <c r="L605" s="21" t="s">
        <v>21</v>
      </c>
      <c r="M605" s="22" t="s">
        <v>16</v>
      </c>
      <c r="N605" s="27">
        <f t="shared" si="72"/>
        <v>12</v>
      </c>
      <c r="O605" s="28">
        <f t="shared" si="73"/>
        <v>3.2574704656011116E-2</v>
      </c>
      <c r="P605" s="28">
        <f t="shared" si="74"/>
        <v>0.11288888888888889</v>
      </c>
      <c r="Q605" s="26">
        <f t="shared" si="75"/>
        <v>1.318888888888889</v>
      </c>
      <c r="R605" s="29">
        <f t="shared" si="76"/>
        <v>11.683070866141732</v>
      </c>
      <c r="S605" s="30">
        <f t="shared" si="77"/>
        <v>4</v>
      </c>
      <c r="T605" s="30">
        <f t="shared" si="78"/>
        <v>2023</v>
      </c>
      <c r="U605" s="29" t="str">
        <f t="shared" si="79"/>
        <v>April</v>
      </c>
    </row>
    <row r="606" spans="1:21" ht="17.399999999999999" x14ac:dyDescent="0.3">
      <c r="A606" s="21" t="s">
        <v>2377</v>
      </c>
      <c r="B606" s="21" t="s">
        <v>2378</v>
      </c>
      <c r="C606" s="23" t="s">
        <v>3518</v>
      </c>
      <c r="D606" s="21" t="s">
        <v>3521</v>
      </c>
      <c r="E606" s="24">
        <v>45041</v>
      </c>
      <c r="F606" s="24">
        <v>45067</v>
      </c>
      <c r="G606" s="22" t="s">
        <v>24</v>
      </c>
      <c r="H606" s="25">
        <v>3198</v>
      </c>
      <c r="I606" s="25">
        <v>106</v>
      </c>
      <c r="J606" s="26">
        <v>150.31</v>
      </c>
      <c r="K606" s="25">
        <v>18</v>
      </c>
      <c r="L606" s="21" t="s">
        <v>21</v>
      </c>
      <c r="M606" s="22" t="s">
        <v>3536</v>
      </c>
      <c r="N606" s="27">
        <f t="shared" si="72"/>
        <v>26</v>
      </c>
      <c r="O606" s="28">
        <f t="shared" si="73"/>
        <v>3.3145716072545343E-2</v>
      </c>
      <c r="P606" s="28">
        <f t="shared" si="74"/>
        <v>0.16981132075471697</v>
      </c>
      <c r="Q606" s="26">
        <f t="shared" si="75"/>
        <v>1.4180188679245282</v>
      </c>
      <c r="R606" s="29">
        <f t="shared" si="76"/>
        <v>8.3505555555555553</v>
      </c>
      <c r="S606" s="30">
        <f t="shared" si="77"/>
        <v>4</v>
      </c>
      <c r="T606" s="30">
        <f t="shared" si="78"/>
        <v>2023</v>
      </c>
      <c r="U606" s="29" t="str">
        <f t="shared" si="79"/>
        <v>April</v>
      </c>
    </row>
    <row r="607" spans="1:21" ht="17.399999999999999" x14ac:dyDescent="0.3">
      <c r="A607" s="21" t="s">
        <v>1355</v>
      </c>
      <c r="B607" s="21" t="s">
        <v>1356</v>
      </c>
      <c r="C607" s="23" t="s">
        <v>3516</v>
      </c>
      <c r="D607" s="21" t="s">
        <v>3521</v>
      </c>
      <c r="E607" s="24">
        <v>45041</v>
      </c>
      <c r="F607" s="24">
        <v>45045</v>
      </c>
      <c r="G607" s="22" t="s">
        <v>11</v>
      </c>
      <c r="H607" s="25">
        <v>79752</v>
      </c>
      <c r="I607" s="25">
        <v>2043</v>
      </c>
      <c r="J607" s="26">
        <v>1790.93</v>
      </c>
      <c r="K607" s="25">
        <v>254</v>
      </c>
      <c r="L607" s="21" t="s">
        <v>17</v>
      </c>
      <c r="M607" s="22" t="s">
        <v>11</v>
      </c>
      <c r="N607" s="27">
        <f t="shared" si="72"/>
        <v>4</v>
      </c>
      <c r="O607" s="28">
        <f t="shared" si="73"/>
        <v>2.5616912428528437E-2</v>
      </c>
      <c r="P607" s="28">
        <f t="shared" si="74"/>
        <v>0.12432697014194811</v>
      </c>
      <c r="Q607" s="26">
        <f t="shared" si="75"/>
        <v>0.87661771904062658</v>
      </c>
      <c r="R607" s="29">
        <f t="shared" si="76"/>
        <v>7.050905511811024</v>
      </c>
      <c r="S607" s="30">
        <f t="shared" si="77"/>
        <v>4</v>
      </c>
      <c r="T607" s="30">
        <f t="shared" si="78"/>
        <v>2023</v>
      </c>
      <c r="U607" s="29" t="str">
        <f t="shared" si="79"/>
        <v>April</v>
      </c>
    </row>
    <row r="608" spans="1:21" ht="17.399999999999999" x14ac:dyDescent="0.3">
      <c r="A608" s="21" t="s">
        <v>2393</v>
      </c>
      <c r="B608" s="21" t="s">
        <v>2394</v>
      </c>
      <c r="C608" s="23" t="s">
        <v>3515</v>
      </c>
      <c r="D608" s="21" t="s">
        <v>3520</v>
      </c>
      <c r="E608" s="24">
        <v>45041</v>
      </c>
      <c r="F608" s="24">
        <v>45046</v>
      </c>
      <c r="G608" s="22" t="s">
        <v>11</v>
      </c>
      <c r="H608" s="25">
        <v>43880</v>
      </c>
      <c r="I608" s="25">
        <v>2037</v>
      </c>
      <c r="J608" s="26">
        <v>1422.71</v>
      </c>
      <c r="K608" s="25">
        <v>0</v>
      </c>
      <c r="L608" s="21" t="s">
        <v>17</v>
      </c>
      <c r="M608" s="22" t="s">
        <v>11</v>
      </c>
      <c r="N608" s="27">
        <f t="shared" si="72"/>
        <v>5</v>
      </c>
      <c r="O608" s="28">
        <f t="shared" si="73"/>
        <v>4.6422060164083866E-2</v>
      </c>
      <c r="P608" s="28">
        <f t="shared" si="74"/>
        <v>0</v>
      </c>
      <c r="Q608" s="26">
        <f t="shared" si="75"/>
        <v>0.69843397152675502</v>
      </c>
      <c r="R608" s="29" t="str">
        <f t="shared" si="76"/>
        <v>0</v>
      </c>
      <c r="S608" s="30">
        <f t="shared" si="77"/>
        <v>4</v>
      </c>
      <c r="T608" s="30">
        <f t="shared" si="78"/>
        <v>2023</v>
      </c>
      <c r="U608" s="29" t="str">
        <f t="shared" si="79"/>
        <v>April</v>
      </c>
    </row>
    <row r="609" spans="1:21" ht="17.399999999999999" x14ac:dyDescent="0.3">
      <c r="A609" s="21" t="s">
        <v>3165</v>
      </c>
      <c r="B609" s="21" t="s">
        <v>3166</v>
      </c>
      <c r="C609" s="23" t="s">
        <v>3518</v>
      </c>
      <c r="D609" s="21" t="s">
        <v>3520</v>
      </c>
      <c r="E609" s="24">
        <v>45041</v>
      </c>
      <c r="F609" s="24">
        <v>45046</v>
      </c>
      <c r="G609" s="22" t="s">
        <v>31</v>
      </c>
      <c r="H609" s="25">
        <v>91874</v>
      </c>
      <c r="I609" s="25">
        <v>4170</v>
      </c>
      <c r="J609" s="26">
        <v>5308.23</v>
      </c>
      <c r="K609" s="25">
        <v>679</v>
      </c>
      <c r="L609" s="21" t="s">
        <v>17</v>
      </c>
      <c r="M609" s="22" t="s">
        <v>31</v>
      </c>
      <c r="N609" s="27">
        <f t="shared" si="72"/>
        <v>5</v>
      </c>
      <c r="O609" s="28">
        <f t="shared" si="73"/>
        <v>4.538824912379999E-2</v>
      </c>
      <c r="P609" s="28">
        <f t="shared" si="74"/>
        <v>0.16282973621103117</v>
      </c>
      <c r="Q609" s="26">
        <f t="shared" si="75"/>
        <v>1.2729568345323741</v>
      </c>
      <c r="R609" s="29">
        <f t="shared" si="76"/>
        <v>7.8177172312223853</v>
      </c>
      <c r="S609" s="30">
        <f t="shared" si="77"/>
        <v>4</v>
      </c>
      <c r="T609" s="30">
        <f t="shared" si="78"/>
        <v>2023</v>
      </c>
      <c r="U609" s="29" t="str">
        <f t="shared" si="79"/>
        <v>April</v>
      </c>
    </row>
    <row r="610" spans="1:21" ht="17.399999999999999" x14ac:dyDescent="0.3">
      <c r="A610" s="21" t="s">
        <v>911</v>
      </c>
      <c r="B610" s="21" t="s">
        <v>912</v>
      </c>
      <c r="C610" s="23" t="s">
        <v>3519</v>
      </c>
      <c r="D610" s="21" t="s">
        <v>3520</v>
      </c>
      <c r="E610" s="24">
        <v>45042</v>
      </c>
      <c r="F610" s="24">
        <v>45052</v>
      </c>
      <c r="G610" s="22" t="s">
        <v>14</v>
      </c>
      <c r="H610" s="25">
        <v>92747</v>
      </c>
      <c r="I610" s="25">
        <v>2859</v>
      </c>
      <c r="J610" s="26">
        <v>4780.99</v>
      </c>
      <c r="K610" s="25">
        <v>0</v>
      </c>
      <c r="L610" s="21" t="s">
        <v>21</v>
      </c>
      <c r="M610" s="22" t="s">
        <v>3537</v>
      </c>
      <c r="N610" s="27">
        <f t="shared" si="72"/>
        <v>10</v>
      </c>
      <c r="O610" s="28">
        <f t="shared" si="73"/>
        <v>3.0825794904417395E-2</v>
      </c>
      <c r="P610" s="28">
        <f t="shared" si="74"/>
        <v>0</v>
      </c>
      <c r="Q610" s="26">
        <f t="shared" si="75"/>
        <v>1.672259531304652</v>
      </c>
      <c r="R610" s="29" t="str">
        <f t="shared" si="76"/>
        <v>0</v>
      </c>
      <c r="S610" s="30">
        <f t="shared" si="77"/>
        <v>4</v>
      </c>
      <c r="T610" s="30">
        <f t="shared" si="78"/>
        <v>2023</v>
      </c>
      <c r="U610" s="29" t="str">
        <f t="shared" si="79"/>
        <v>April</v>
      </c>
    </row>
    <row r="611" spans="1:21" ht="17.399999999999999" x14ac:dyDescent="0.3">
      <c r="A611" s="21" t="s">
        <v>3214</v>
      </c>
      <c r="B611" s="21" t="s">
        <v>3215</v>
      </c>
      <c r="C611" s="23" t="s">
        <v>3519</v>
      </c>
      <c r="D611" s="21" t="s">
        <v>3521</v>
      </c>
      <c r="E611" s="24">
        <v>45042</v>
      </c>
      <c r="F611" s="24">
        <v>45055</v>
      </c>
      <c r="G611" s="22" t="s">
        <v>31</v>
      </c>
      <c r="H611" s="25">
        <v>79797</v>
      </c>
      <c r="I611" s="25">
        <v>2394</v>
      </c>
      <c r="J611" s="26">
        <v>1947.65</v>
      </c>
      <c r="K611" s="25">
        <v>0</v>
      </c>
      <c r="L611" s="21" t="s">
        <v>17</v>
      </c>
      <c r="M611" s="22" t="s">
        <v>31</v>
      </c>
      <c r="N611" s="27">
        <f t="shared" si="72"/>
        <v>13</v>
      </c>
      <c r="O611" s="28">
        <f t="shared" si="73"/>
        <v>3.0001127861949698E-2</v>
      </c>
      <c r="P611" s="28">
        <f t="shared" si="74"/>
        <v>0</v>
      </c>
      <c r="Q611" s="26">
        <f t="shared" si="75"/>
        <v>0.81355472013366759</v>
      </c>
      <c r="R611" s="29" t="str">
        <f t="shared" si="76"/>
        <v>0</v>
      </c>
      <c r="S611" s="30">
        <f t="shared" si="77"/>
        <v>4</v>
      </c>
      <c r="T611" s="30">
        <f t="shared" si="78"/>
        <v>2023</v>
      </c>
      <c r="U611" s="29" t="str">
        <f t="shared" si="79"/>
        <v>April</v>
      </c>
    </row>
    <row r="612" spans="1:21" ht="17.399999999999999" x14ac:dyDescent="0.3">
      <c r="A612" s="21" t="s">
        <v>3254</v>
      </c>
      <c r="B612" s="22" t="s">
        <v>3706</v>
      </c>
      <c r="C612" s="23" t="s">
        <v>3518</v>
      </c>
      <c r="D612" s="22" t="s">
        <v>3545</v>
      </c>
      <c r="E612" s="24">
        <v>45042</v>
      </c>
      <c r="F612" s="24">
        <v>45067</v>
      </c>
      <c r="G612" s="22" t="s">
        <v>24</v>
      </c>
      <c r="H612" s="25">
        <v>49290</v>
      </c>
      <c r="I612" s="25">
        <v>2315</v>
      </c>
      <c r="J612" s="26">
        <v>4550.01</v>
      </c>
      <c r="K612" s="25">
        <v>225</v>
      </c>
      <c r="L612" s="21" t="s">
        <v>21</v>
      </c>
      <c r="M612" s="22" t="s">
        <v>3536</v>
      </c>
      <c r="N612" s="27">
        <f t="shared" si="72"/>
        <v>25</v>
      </c>
      <c r="O612" s="28">
        <f t="shared" si="73"/>
        <v>4.6966930411848247E-2</v>
      </c>
      <c r="P612" s="28">
        <f t="shared" si="74"/>
        <v>9.719222462203024E-2</v>
      </c>
      <c r="Q612" s="26">
        <f t="shared" si="75"/>
        <v>1.9654470842332614</v>
      </c>
      <c r="R612" s="29">
        <f t="shared" si="76"/>
        <v>20.222266666666666</v>
      </c>
      <c r="S612" s="30">
        <f t="shared" si="77"/>
        <v>4</v>
      </c>
      <c r="T612" s="30">
        <f t="shared" si="78"/>
        <v>2023</v>
      </c>
      <c r="U612" s="29" t="str">
        <f t="shared" si="79"/>
        <v>April</v>
      </c>
    </row>
    <row r="613" spans="1:21" ht="17.399999999999999" x14ac:dyDescent="0.3">
      <c r="A613" s="21" t="s">
        <v>46</v>
      </c>
      <c r="B613" s="21" t="s">
        <v>47</v>
      </c>
      <c r="C613" s="23" t="s">
        <v>3519</v>
      </c>
      <c r="D613" s="21" t="s">
        <v>3517</v>
      </c>
      <c r="E613" s="24">
        <v>45043</v>
      </c>
      <c r="F613" s="24">
        <v>45071</v>
      </c>
      <c r="G613" s="22" t="s">
        <v>24</v>
      </c>
      <c r="H613" s="25">
        <v>65925</v>
      </c>
      <c r="I613" s="25">
        <v>2317</v>
      </c>
      <c r="J613" s="26">
        <v>3635.76</v>
      </c>
      <c r="K613" s="25">
        <v>389</v>
      </c>
      <c r="L613" s="21" t="s">
        <v>21</v>
      </c>
      <c r="M613" s="22" t="s">
        <v>3536</v>
      </c>
      <c r="N613" s="27">
        <f t="shared" si="72"/>
        <v>28</v>
      </c>
      <c r="O613" s="28">
        <f t="shared" si="73"/>
        <v>3.5145999241562378E-2</v>
      </c>
      <c r="P613" s="28">
        <f t="shared" si="74"/>
        <v>0.16788951230038843</v>
      </c>
      <c r="Q613" s="26">
        <f t="shared" si="75"/>
        <v>1.5691670263271473</v>
      </c>
      <c r="R613" s="29">
        <f t="shared" si="76"/>
        <v>9.3464267352185093</v>
      </c>
      <c r="S613" s="30">
        <f t="shared" si="77"/>
        <v>4</v>
      </c>
      <c r="T613" s="30">
        <f t="shared" si="78"/>
        <v>2023</v>
      </c>
      <c r="U613" s="29" t="str">
        <f t="shared" si="79"/>
        <v>April</v>
      </c>
    </row>
    <row r="614" spans="1:21" ht="17.399999999999999" x14ac:dyDescent="0.3">
      <c r="A614" s="21" t="s">
        <v>242</v>
      </c>
      <c r="B614" s="21" t="s">
        <v>243</v>
      </c>
      <c r="C614" s="23" t="s">
        <v>3518</v>
      </c>
      <c r="D614" s="21" t="s">
        <v>3520</v>
      </c>
      <c r="E614" s="24">
        <v>45043</v>
      </c>
      <c r="F614" s="24">
        <v>45046</v>
      </c>
      <c r="G614" s="22" t="s">
        <v>31</v>
      </c>
      <c r="H614" s="25">
        <v>99018</v>
      </c>
      <c r="I614" s="25">
        <v>4265</v>
      </c>
      <c r="J614" s="26">
        <v>2579.0500000000002</v>
      </c>
      <c r="K614" s="25">
        <v>480</v>
      </c>
      <c r="L614" s="21" t="s">
        <v>17</v>
      </c>
      <c r="M614" s="22" t="s">
        <v>31</v>
      </c>
      <c r="N614" s="27">
        <f t="shared" si="72"/>
        <v>3</v>
      </c>
      <c r="O614" s="28">
        <f t="shared" si="73"/>
        <v>4.3072976630511621E-2</v>
      </c>
      <c r="P614" s="28">
        <f t="shared" si="74"/>
        <v>0.11254396248534584</v>
      </c>
      <c r="Q614" s="26">
        <f t="shared" si="75"/>
        <v>0.60470105509964833</v>
      </c>
      <c r="R614" s="29">
        <f t="shared" si="76"/>
        <v>5.3730208333333334</v>
      </c>
      <c r="S614" s="30">
        <f t="shared" si="77"/>
        <v>4</v>
      </c>
      <c r="T614" s="30">
        <f t="shared" si="78"/>
        <v>2023</v>
      </c>
      <c r="U614" s="29" t="str">
        <f t="shared" si="79"/>
        <v>April</v>
      </c>
    </row>
    <row r="615" spans="1:21" ht="17.399999999999999" x14ac:dyDescent="0.3">
      <c r="A615" s="21" t="s">
        <v>2148</v>
      </c>
      <c r="B615" s="21" t="s">
        <v>2149</v>
      </c>
      <c r="C615" s="23" t="s">
        <v>3518</v>
      </c>
      <c r="D615" s="21" t="s">
        <v>3520</v>
      </c>
      <c r="E615" s="24">
        <v>45043</v>
      </c>
      <c r="F615" s="24">
        <v>45063</v>
      </c>
      <c r="G615" s="22" t="s">
        <v>16</v>
      </c>
      <c r="H615" s="25">
        <v>77589</v>
      </c>
      <c r="I615" s="25">
        <v>3287</v>
      </c>
      <c r="J615" s="26">
        <v>5453.15</v>
      </c>
      <c r="K615" s="25">
        <v>642</v>
      </c>
      <c r="L615" s="21" t="s">
        <v>21</v>
      </c>
      <c r="M615" s="22" t="s">
        <v>16</v>
      </c>
      <c r="N615" s="27">
        <f t="shared" si="72"/>
        <v>20</v>
      </c>
      <c r="O615" s="28">
        <f t="shared" si="73"/>
        <v>4.2364252664681849E-2</v>
      </c>
      <c r="P615" s="28">
        <f t="shared" si="74"/>
        <v>0.19531487678734408</v>
      </c>
      <c r="Q615" s="26">
        <f t="shared" si="75"/>
        <v>1.6590051718892607</v>
      </c>
      <c r="R615" s="29">
        <f t="shared" si="76"/>
        <v>8.4940031152647961</v>
      </c>
      <c r="S615" s="30">
        <f t="shared" si="77"/>
        <v>4</v>
      </c>
      <c r="T615" s="30">
        <f t="shared" si="78"/>
        <v>2023</v>
      </c>
      <c r="U615" s="29" t="str">
        <f t="shared" si="79"/>
        <v>April</v>
      </c>
    </row>
    <row r="616" spans="1:21" ht="17.399999999999999" x14ac:dyDescent="0.3">
      <c r="A616" s="21" t="s">
        <v>2545</v>
      </c>
      <c r="B616" s="21" t="s">
        <v>2546</v>
      </c>
      <c r="C616" s="23" t="s">
        <v>3516</v>
      </c>
      <c r="D616" s="21" t="s">
        <v>3521</v>
      </c>
      <c r="E616" s="24">
        <v>45043</v>
      </c>
      <c r="F616" s="24">
        <v>45047</v>
      </c>
      <c r="G616" s="22" t="s">
        <v>16</v>
      </c>
      <c r="H616" s="25">
        <v>25762</v>
      </c>
      <c r="I616" s="25">
        <v>1249</v>
      </c>
      <c r="J616" s="26">
        <v>2233.39</v>
      </c>
      <c r="K616" s="25">
        <v>116</v>
      </c>
      <c r="L616" s="21" t="s">
        <v>21</v>
      </c>
      <c r="M616" s="22" t="s">
        <v>16</v>
      </c>
      <c r="N616" s="27">
        <f t="shared" si="72"/>
        <v>4</v>
      </c>
      <c r="O616" s="28">
        <f t="shared" si="73"/>
        <v>4.8482260694045494E-2</v>
      </c>
      <c r="P616" s="28">
        <f t="shared" si="74"/>
        <v>9.2874299439551639E-2</v>
      </c>
      <c r="Q616" s="26">
        <f t="shared" si="75"/>
        <v>1.7881425140112088</v>
      </c>
      <c r="R616" s="29">
        <f t="shared" si="76"/>
        <v>19.253362068965515</v>
      </c>
      <c r="S616" s="30">
        <f t="shared" si="77"/>
        <v>4</v>
      </c>
      <c r="T616" s="30">
        <f t="shared" si="78"/>
        <v>2023</v>
      </c>
      <c r="U616" s="29" t="str">
        <f t="shared" si="79"/>
        <v>April</v>
      </c>
    </row>
    <row r="617" spans="1:21" ht="17.399999999999999" x14ac:dyDescent="0.3">
      <c r="A617" s="21" t="s">
        <v>3126</v>
      </c>
      <c r="B617" s="22" t="s">
        <v>3707</v>
      </c>
      <c r="C617" s="23" t="s">
        <v>3516</v>
      </c>
      <c r="D617" s="22" t="s">
        <v>3545</v>
      </c>
      <c r="E617" s="24">
        <v>45043</v>
      </c>
      <c r="F617" s="24">
        <v>45064</v>
      </c>
      <c r="G617" s="22" t="s">
        <v>3535</v>
      </c>
      <c r="H617" s="25">
        <v>92357</v>
      </c>
      <c r="I617" s="25">
        <v>4604</v>
      </c>
      <c r="J617" s="26">
        <v>5093.6899999999996</v>
      </c>
      <c r="K617" s="25">
        <v>594</v>
      </c>
      <c r="L617" s="21" t="s">
        <v>21</v>
      </c>
      <c r="M617" s="22" t="s">
        <v>3535</v>
      </c>
      <c r="N617" s="27">
        <f t="shared" si="72"/>
        <v>21</v>
      </c>
      <c r="O617" s="28">
        <f t="shared" si="73"/>
        <v>4.9850038437801142E-2</v>
      </c>
      <c r="P617" s="28">
        <f t="shared" si="74"/>
        <v>0.12901824500434406</v>
      </c>
      <c r="Q617" s="26">
        <f t="shared" si="75"/>
        <v>1.1063618592528235</v>
      </c>
      <c r="R617" s="29">
        <f t="shared" si="76"/>
        <v>8.5752356902356901</v>
      </c>
      <c r="S617" s="30">
        <f t="shared" si="77"/>
        <v>4</v>
      </c>
      <c r="T617" s="30">
        <f t="shared" si="78"/>
        <v>2023</v>
      </c>
      <c r="U617" s="29" t="str">
        <f t="shared" si="79"/>
        <v>April</v>
      </c>
    </row>
    <row r="618" spans="1:21" ht="17.399999999999999" x14ac:dyDescent="0.3">
      <c r="A618" s="21" t="s">
        <v>2315</v>
      </c>
      <c r="B618" s="21" t="s">
        <v>2316</v>
      </c>
      <c r="C618" s="23" t="s">
        <v>3518</v>
      </c>
      <c r="D618" s="21" t="s">
        <v>3517</v>
      </c>
      <c r="E618" s="24">
        <v>45043</v>
      </c>
      <c r="F618" s="24">
        <v>45173</v>
      </c>
      <c r="G618" s="22" t="s">
        <v>3535</v>
      </c>
      <c r="H618" s="25">
        <v>53603</v>
      </c>
      <c r="I618" s="25">
        <v>1133</v>
      </c>
      <c r="J618" s="26">
        <v>1726.67</v>
      </c>
      <c r="K618" s="25">
        <v>160</v>
      </c>
      <c r="L618" s="21" t="s">
        <v>21</v>
      </c>
      <c r="M618" s="22" t="s">
        <v>3535</v>
      </c>
      <c r="N618" s="27">
        <f t="shared" si="72"/>
        <v>130</v>
      </c>
      <c r="O618" s="28">
        <f t="shared" si="73"/>
        <v>2.1136876667350708E-2</v>
      </c>
      <c r="P618" s="28">
        <f t="shared" si="74"/>
        <v>0.14121800529567519</v>
      </c>
      <c r="Q618" s="26">
        <f t="shared" si="75"/>
        <v>1.5239805825242718</v>
      </c>
      <c r="R618" s="29">
        <f t="shared" si="76"/>
        <v>10.7916875</v>
      </c>
      <c r="S618" s="30">
        <f t="shared" si="77"/>
        <v>4</v>
      </c>
      <c r="T618" s="30">
        <f t="shared" si="78"/>
        <v>2023</v>
      </c>
      <c r="U618" s="29" t="str">
        <f t="shared" si="79"/>
        <v>April</v>
      </c>
    </row>
    <row r="619" spans="1:21" ht="17.399999999999999" x14ac:dyDescent="0.3">
      <c r="A619" s="21" t="s">
        <v>59</v>
      </c>
      <c r="B619" s="22" t="s">
        <v>3708</v>
      </c>
      <c r="C619" s="23" t="s">
        <v>3519</v>
      </c>
      <c r="D619" s="22" t="s">
        <v>3545</v>
      </c>
      <c r="E619" s="24">
        <v>45044</v>
      </c>
      <c r="F619" s="24">
        <v>45058</v>
      </c>
      <c r="G619" s="22" t="s">
        <v>11</v>
      </c>
      <c r="H619" s="25">
        <v>26658</v>
      </c>
      <c r="I619" s="25">
        <v>912</v>
      </c>
      <c r="J619" s="26">
        <v>1219.24</v>
      </c>
      <c r="K619" s="25">
        <v>166</v>
      </c>
      <c r="L619" s="21" t="s">
        <v>21</v>
      </c>
      <c r="M619" s="22" t="s">
        <v>11</v>
      </c>
      <c r="N619" s="27">
        <f t="shared" si="72"/>
        <v>14</v>
      </c>
      <c r="O619" s="28">
        <f t="shared" si="73"/>
        <v>3.4211118613549404E-2</v>
      </c>
      <c r="P619" s="28">
        <f t="shared" si="74"/>
        <v>0.18201754385964913</v>
      </c>
      <c r="Q619" s="26">
        <f t="shared" si="75"/>
        <v>1.3368859649122806</v>
      </c>
      <c r="R619" s="29">
        <f t="shared" si="76"/>
        <v>7.3448192771084342</v>
      </c>
      <c r="S619" s="30">
        <f t="shared" si="77"/>
        <v>4</v>
      </c>
      <c r="T619" s="30">
        <f t="shared" si="78"/>
        <v>2023</v>
      </c>
      <c r="U619" s="29" t="str">
        <f t="shared" si="79"/>
        <v>April</v>
      </c>
    </row>
    <row r="620" spans="1:21" ht="17.399999999999999" x14ac:dyDescent="0.3">
      <c r="A620" s="21" t="s">
        <v>120</v>
      </c>
      <c r="B620" s="21" t="s">
        <v>121</v>
      </c>
      <c r="C620" s="23" t="s">
        <v>3519</v>
      </c>
      <c r="D620" s="21" t="s">
        <v>3517</v>
      </c>
      <c r="E620" s="24">
        <v>45044</v>
      </c>
      <c r="F620" s="24">
        <v>45064</v>
      </c>
      <c r="G620" s="22" t="s">
        <v>31</v>
      </c>
      <c r="H620" s="25">
        <v>20457</v>
      </c>
      <c r="I620" s="25">
        <v>396</v>
      </c>
      <c r="J620" s="26">
        <v>663.56</v>
      </c>
      <c r="K620" s="25">
        <v>58</v>
      </c>
      <c r="L620" s="21" t="s">
        <v>21</v>
      </c>
      <c r="M620" s="22" t="s">
        <v>31</v>
      </c>
      <c r="N620" s="27">
        <f t="shared" si="72"/>
        <v>20</v>
      </c>
      <c r="O620" s="28">
        <f t="shared" si="73"/>
        <v>1.9357677078750551E-2</v>
      </c>
      <c r="P620" s="28">
        <f t="shared" si="74"/>
        <v>0.14646464646464646</v>
      </c>
      <c r="Q620" s="26">
        <f t="shared" si="75"/>
        <v>1.6756565656565656</v>
      </c>
      <c r="R620" s="29">
        <f t="shared" si="76"/>
        <v>11.440689655172413</v>
      </c>
      <c r="S620" s="30">
        <f t="shared" si="77"/>
        <v>4</v>
      </c>
      <c r="T620" s="30">
        <f t="shared" si="78"/>
        <v>2023</v>
      </c>
      <c r="U620" s="29" t="str">
        <f t="shared" si="79"/>
        <v>April</v>
      </c>
    </row>
    <row r="621" spans="1:21" ht="17.399999999999999" x14ac:dyDescent="0.3">
      <c r="A621" s="21" t="s">
        <v>494</v>
      </c>
      <c r="B621" s="21" t="s">
        <v>495</v>
      </c>
      <c r="C621" s="23" t="s">
        <v>3519</v>
      </c>
      <c r="D621" s="21" t="s">
        <v>3520</v>
      </c>
      <c r="E621" s="24">
        <v>45044</v>
      </c>
      <c r="F621" s="24">
        <v>45046</v>
      </c>
      <c r="G621" s="22" t="s">
        <v>24</v>
      </c>
      <c r="H621" s="25">
        <v>17646</v>
      </c>
      <c r="I621" s="25">
        <v>435</v>
      </c>
      <c r="J621" s="26">
        <v>775.19</v>
      </c>
      <c r="K621" s="25">
        <v>44</v>
      </c>
      <c r="L621" s="21" t="s">
        <v>21</v>
      </c>
      <c r="M621" s="22" t="s">
        <v>3536</v>
      </c>
      <c r="N621" s="27">
        <f t="shared" si="72"/>
        <v>2</v>
      </c>
      <c r="O621" s="28">
        <f t="shared" si="73"/>
        <v>2.4651479088745324E-2</v>
      </c>
      <c r="P621" s="28">
        <f t="shared" si="74"/>
        <v>0.10114942528735632</v>
      </c>
      <c r="Q621" s="26">
        <f t="shared" si="75"/>
        <v>1.7820459770114945</v>
      </c>
      <c r="R621" s="29">
        <f t="shared" si="76"/>
        <v>17.617954545454548</v>
      </c>
      <c r="S621" s="30">
        <f t="shared" si="77"/>
        <v>4</v>
      </c>
      <c r="T621" s="30">
        <f t="shared" si="78"/>
        <v>2023</v>
      </c>
      <c r="U621" s="29" t="str">
        <f t="shared" si="79"/>
        <v>April</v>
      </c>
    </row>
    <row r="622" spans="1:21" ht="17.399999999999999" x14ac:dyDescent="0.3">
      <c r="A622" s="21" t="s">
        <v>1491</v>
      </c>
      <c r="B622" s="21" t="s">
        <v>1492</v>
      </c>
      <c r="C622" s="23" t="s">
        <v>3519</v>
      </c>
      <c r="D622" s="21" t="s">
        <v>3517</v>
      </c>
      <c r="E622" s="24">
        <v>45044</v>
      </c>
      <c r="F622" s="24">
        <v>45053</v>
      </c>
      <c r="G622" s="22" t="s">
        <v>14</v>
      </c>
      <c r="H622" s="25">
        <v>33049</v>
      </c>
      <c r="I622" s="25">
        <v>1396</v>
      </c>
      <c r="J622" s="26">
        <v>2093.16</v>
      </c>
      <c r="K622" s="25">
        <v>255</v>
      </c>
      <c r="L622" s="21" t="s">
        <v>21</v>
      </c>
      <c r="M622" s="22" t="s">
        <v>3537</v>
      </c>
      <c r="N622" s="27">
        <f t="shared" si="72"/>
        <v>9</v>
      </c>
      <c r="O622" s="28">
        <f t="shared" si="73"/>
        <v>4.2240309842960455E-2</v>
      </c>
      <c r="P622" s="28">
        <f t="shared" si="74"/>
        <v>0.1826647564469914</v>
      </c>
      <c r="Q622" s="26">
        <f t="shared" si="75"/>
        <v>1.4993982808022921</v>
      </c>
      <c r="R622" s="29">
        <f t="shared" si="76"/>
        <v>8.2084705882352935</v>
      </c>
      <c r="S622" s="30">
        <f t="shared" si="77"/>
        <v>4</v>
      </c>
      <c r="T622" s="30">
        <f t="shared" si="78"/>
        <v>2023</v>
      </c>
      <c r="U622" s="29" t="str">
        <f t="shared" si="79"/>
        <v>April</v>
      </c>
    </row>
    <row r="623" spans="1:21" ht="17.399999999999999" x14ac:dyDescent="0.3">
      <c r="A623" s="21" t="s">
        <v>2740</v>
      </c>
      <c r="B623" s="22" t="s">
        <v>3709</v>
      </c>
      <c r="C623" s="23" t="s">
        <v>3516</v>
      </c>
      <c r="D623" s="22" t="s">
        <v>3545</v>
      </c>
      <c r="E623" s="24">
        <v>45044</v>
      </c>
      <c r="F623" s="24">
        <v>45046</v>
      </c>
      <c r="G623" s="22" t="s">
        <v>31</v>
      </c>
      <c r="H623" s="25">
        <v>98241</v>
      </c>
      <c r="I623" s="25">
        <v>2414</v>
      </c>
      <c r="J623" s="26">
        <v>2576.5500000000002</v>
      </c>
      <c r="K623" s="25">
        <v>430</v>
      </c>
      <c r="L623" s="21" t="s">
        <v>21</v>
      </c>
      <c r="M623" s="22" t="s">
        <v>31</v>
      </c>
      <c r="N623" s="27">
        <f t="shared" si="72"/>
        <v>2</v>
      </c>
      <c r="O623" s="28">
        <f t="shared" si="73"/>
        <v>2.4572225445587893E-2</v>
      </c>
      <c r="P623" s="28">
        <f t="shared" si="74"/>
        <v>0.17812758906379453</v>
      </c>
      <c r="Q623" s="26">
        <f t="shared" si="75"/>
        <v>1.0673363711681856</v>
      </c>
      <c r="R623" s="29">
        <f t="shared" si="76"/>
        <v>5.9919767441860472</v>
      </c>
      <c r="S623" s="30">
        <f t="shared" si="77"/>
        <v>4</v>
      </c>
      <c r="T623" s="30">
        <f t="shared" si="78"/>
        <v>2023</v>
      </c>
      <c r="U623" s="29" t="str">
        <f t="shared" si="79"/>
        <v>April</v>
      </c>
    </row>
    <row r="624" spans="1:21" ht="17.399999999999999" x14ac:dyDescent="0.3">
      <c r="A624" s="21" t="s">
        <v>1764</v>
      </c>
      <c r="B624" s="21" t="s">
        <v>1765</v>
      </c>
      <c r="C624" s="23" t="s">
        <v>3515</v>
      </c>
      <c r="D624" s="21" t="s">
        <v>3521</v>
      </c>
      <c r="E624" s="24">
        <v>45044</v>
      </c>
      <c r="F624" s="24">
        <v>45058</v>
      </c>
      <c r="G624" s="22" t="s">
        <v>16</v>
      </c>
      <c r="H624" s="25">
        <v>55553</v>
      </c>
      <c r="I624" s="25">
        <v>2046</v>
      </c>
      <c r="J624" s="26">
        <v>4078.61</v>
      </c>
      <c r="K624" s="25">
        <v>319</v>
      </c>
      <c r="L624" s="21" t="s">
        <v>17</v>
      </c>
      <c r="M624" s="22" t="s">
        <v>16</v>
      </c>
      <c r="N624" s="27">
        <f t="shared" si="72"/>
        <v>14</v>
      </c>
      <c r="O624" s="28">
        <f t="shared" si="73"/>
        <v>3.6829694165931633E-2</v>
      </c>
      <c r="P624" s="28">
        <f t="shared" si="74"/>
        <v>0.15591397849462366</v>
      </c>
      <c r="Q624" s="26">
        <f t="shared" si="75"/>
        <v>1.993455522971652</v>
      </c>
      <c r="R624" s="29">
        <f t="shared" si="76"/>
        <v>12.785611285266459</v>
      </c>
      <c r="S624" s="30">
        <f t="shared" si="77"/>
        <v>4</v>
      </c>
      <c r="T624" s="30">
        <f t="shared" si="78"/>
        <v>2023</v>
      </c>
      <c r="U624" s="29" t="str">
        <f t="shared" si="79"/>
        <v>April</v>
      </c>
    </row>
    <row r="625" spans="1:21" ht="17.399999999999999" x14ac:dyDescent="0.3">
      <c r="A625" s="21" t="s">
        <v>2913</v>
      </c>
      <c r="B625" s="21" t="s">
        <v>2914</v>
      </c>
      <c r="C625" s="23" t="s">
        <v>3515</v>
      </c>
      <c r="D625" s="21" t="s">
        <v>3520</v>
      </c>
      <c r="E625" s="24">
        <v>45044</v>
      </c>
      <c r="F625" s="24">
        <v>45049</v>
      </c>
      <c r="G625" s="22" t="s">
        <v>3535</v>
      </c>
      <c r="H625" s="25">
        <v>47600</v>
      </c>
      <c r="I625" s="25">
        <v>1430</v>
      </c>
      <c r="J625" s="26">
        <v>1546.61</v>
      </c>
      <c r="K625" s="25">
        <v>147</v>
      </c>
      <c r="L625" s="21" t="s">
        <v>21</v>
      </c>
      <c r="M625" s="22" t="s">
        <v>3535</v>
      </c>
      <c r="N625" s="27">
        <f t="shared" si="72"/>
        <v>5</v>
      </c>
      <c r="O625" s="28">
        <f t="shared" si="73"/>
        <v>3.004201680672269E-2</v>
      </c>
      <c r="P625" s="28">
        <f t="shared" si="74"/>
        <v>0.10279720279720279</v>
      </c>
      <c r="Q625" s="26">
        <f t="shared" si="75"/>
        <v>1.0815454545454544</v>
      </c>
      <c r="R625" s="29">
        <f t="shared" si="76"/>
        <v>10.521156462585033</v>
      </c>
      <c r="S625" s="30">
        <f t="shared" si="77"/>
        <v>4</v>
      </c>
      <c r="T625" s="30">
        <f t="shared" si="78"/>
        <v>2023</v>
      </c>
      <c r="U625" s="29" t="str">
        <f t="shared" si="79"/>
        <v>April</v>
      </c>
    </row>
    <row r="626" spans="1:21" ht="17.399999999999999" x14ac:dyDescent="0.3">
      <c r="A626" s="21" t="s">
        <v>3194</v>
      </c>
      <c r="B626" s="22" t="s">
        <v>3710</v>
      </c>
      <c r="C626" s="23" t="s">
        <v>3516</v>
      </c>
      <c r="D626" s="22" t="s">
        <v>3545</v>
      </c>
      <c r="E626" s="24">
        <v>45045</v>
      </c>
      <c r="F626" s="24">
        <v>45068</v>
      </c>
      <c r="G626" s="22" t="s">
        <v>24</v>
      </c>
      <c r="H626" s="25">
        <v>15288</v>
      </c>
      <c r="I626" s="25">
        <v>678</v>
      </c>
      <c r="J626" s="26">
        <v>534.22</v>
      </c>
      <c r="K626" s="25">
        <v>124</v>
      </c>
      <c r="L626" s="21" t="s">
        <v>17</v>
      </c>
      <c r="M626" s="22" t="s">
        <v>3536</v>
      </c>
      <c r="N626" s="27">
        <f t="shared" si="72"/>
        <v>23</v>
      </c>
      <c r="O626" s="28">
        <f t="shared" si="73"/>
        <v>4.4348508634222919E-2</v>
      </c>
      <c r="P626" s="28">
        <f t="shared" si="74"/>
        <v>0.18289085545722714</v>
      </c>
      <c r="Q626" s="26">
        <f t="shared" si="75"/>
        <v>0.78793510324483784</v>
      </c>
      <c r="R626" s="29">
        <f t="shared" si="76"/>
        <v>4.3082258064516132</v>
      </c>
      <c r="S626" s="30">
        <f t="shared" si="77"/>
        <v>4</v>
      </c>
      <c r="T626" s="30">
        <f t="shared" si="78"/>
        <v>2023</v>
      </c>
      <c r="U626" s="29" t="str">
        <f t="shared" si="79"/>
        <v>April</v>
      </c>
    </row>
    <row r="627" spans="1:21" ht="17.399999999999999" x14ac:dyDescent="0.3">
      <c r="A627" s="21" t="s">
        <v>1454</v>
      </c>
      <c r="B627" s="22" t="s">
        <v>3711</v>
      </c>
      <c r="C627" s="23" t="s">
        <v>3515</v>
      </c>
      <c r="D627" s="22" t="s">
        <v>3545</v>
      </c>
      <c r="E627" s="24">
        <v>45045</v>
      </c>
      <c r="F627" s="24">
        <v>45055</v>
      </c>
      <c r="G627" s="22" t="s">
        <v>11</v>
      </c>
      <c r="H627" s="25">
        <v>54330</v>
      </c>
      <c r="I627" s="25">
        <v>783</v>
      </c>
      <c r="J627" s="26">
        <v>1346.88</v>
      </c>
      <c r="K627" s="25">
        <v>154</v>
      </c>
      <c r="L627" s="21" t="s">
        <v>17</v>
      </c>
      <c r="M627" s="22" t="s">
        <v>11</v>
      </c>
      <c r="N627" s="27">
        <f t="shared" si="72"/>
        <v>10</v>
      </c>
      <c r="O627" s="28">
        <f t="shared" si="73"/>
        <v>1.4411927112092767E-2</v>
      </c>
      <c r="P627" s="28">
        <f t="shared" si="74"/>
        <v>0.19667943805874841</v>
      </c>
      <c r="Q627" s="26">
        <f t="shared" si="75"/>
        <v>1.7201532567049811</v>
      </c>
      <c r="R627" s="29">
        <f t="shared" si="76"/>
        <v>8.7459740259740268</v>
      </c>
      <c r="S627" s="30">
        <f t="shared" si="77"/>
        <v>4</v>
      </c>
      <c r="T627" s="30">
        <f t="shared" si="78"/>
        <v>2023</v>
      </c>
      <c r="U627" s="29" t="str">
        <f t="shared" si="79"/>
        <v>April</v>
      </c>
    </row>
    <row r="628" spans="1:21" ht="17.399999999999999" x14ac:dyDescent="0.3">
      <c r="A628" s="21" t="s">
        <v>1894</v>
      </c>
      <c r="B628" s="21" t="s">
        <v>1895</v>
      </c>
      <c r="C628" s="23" t="s">
        <v>3515</v>
      </c>
      <c r="D628" s="21" t="s">
        <v>3520</v>
      </c>
      <c r="E628" s="24">
        <v>45045</v>
      </c>
      <c r="F628" s="24">
        <v>45056</v>
      </c>
      <c r="G628" s="22" t="s">
        <v>16</v>
      </c>
      <c r="H628" s="25">
        <v>94070</v>
      </c>
      <c r="I628" s="25">
        <v>1109</v>
      </c>
      <c r="J628" s="26">
        <v>1104.1099999999999</v>
      </c>
      <c r="K628" s="25">
        <v>78</v>
      </c>
      <c r="L628" s="21" t="s">
        <v>17</v>
      </c>
      <c r="M628" s="22" t="s">
        <v>16</v>
      </c>
      <c r="N628" s="27">
        <f t="shared" si="72"/>
        <v>11</v>
      </c>
      <c r="O628" s="28">
        <f t="shared" si="73"/>
        <v>1.1789093228446901E-2</v>
      </c>
      <c r="P628" s="28">
        <f t="shared" si="74"/>
        <v>7.0333633904418394E-2</v>
      </c>
      <c r="Q628" s="26">
        <f t="shared" si="75"/>
        <v>0.995590622182146</v>
      </c>
      <c r="R628" s="29">
        <f t="shared" si="76"/>
        <v>14.15525641025641</v>
      </c>
      <c r="S628" s="30">
        <f t="shared" si="77"/>
        <v>4</v>
      </c>
      <c r="T628" s="30">
        <f t="shared" si="78"/>
        <v>2023</v>
      </c>
      <c r="U628" s="29" t="str">
        <f t="shared" si="79"/>
        <v>April</v>
      </c>
    </row>
    <row r="629" spans="1:21" ht="17.399999999999999" x14ac:dyDescent="0.3">
      <c r="A629" s="21" t="s">
        <v>1379</v>
      </c>
      <c r="B629" s="22" t="s">
        <v>3712</v>
      </c>
      <c r="C629" s="23" t="s">
        <v>3519</v>
      </c>
      <c r="D629" s="22" t="s">
        <v>3545</v>
      </c>
      <c r="E629" s="24">
        <v>45046</v>
      </c>
      <c r="F629" s="24">
        <v>45075</v>
      </c>
      <c r="G629" s="22" t="s">
        <v>3535</v>
      </c>
      <c r="H629" s="25">
        <v>51990</v>
      </c>
      <c r="I629" s="25">
        <v>1169</v>
      </c>
      <c r="J629" s="26">
        <v>1999.15</v>
      </c>
      <c r="K629" s="25">
        <v>201</v>
      </c>
      <c r="L629" s="21" t="s">
        <v>21</v>
      </c>
      <c r="M629" s="22" t="s">
        <v>3535</v>
      </c>
      <c r="N629" s="27">
        <f t="shared" si="72"/>
        <v>29</v>
      </c>
      <c r="O629" s="28">
        <f t="shared" si="73"/>
        <v>2.2485093287170611E-2</v>
      </c>
      <c r="P629" s="28">
        <f t="shared" si="74"/>
        <v>0.17194183062446536</v>
      </c>
      <c r="Q629" s="26">
        <f t="shared" si="75"/>
        <v>1.7101368691189052</v>
      </c>
      <c r="R629" s="29">
        <f t="shared" si="76"/>
        <v>9.9460199004975127</v>
      </c>
      <c r="S629" s="30">
        <f t="shared" si="77"/>
        <v>4</v>
      </c>
      <c r="T629" s="30">
        <f t="shared" si="78"/>
        <v>2023</v>
      </c>
      <c r="U629" s="29" t="str">
        <f t="shared" si="79"/>
        <v>April</v>
      </c>
    </row>
    <row r="630" spans="1:21" ht="17.399999999999999" x14ac:dyDescent="0.3">
      <c r="A630" s="21" t="s">
        <v>1375</v>
      </c>
      <c r="B630" s="21" t="s">
        <v>1376</v>
      </c>
      <c r="C630" s="23" t="s">
        <v>3516</v>
      </c>
      <c r="D630" s="21" t="s">
        <v>3520</v>
      </c>
      <c r="E630" s="24">
        <v>45046</v>
      </c>
      <c r="F630" s="24">
        <v>45069</v>
      </c>
      <c r="G630" s="22" t="s">
        <v>31</v>
      </c>
      <c r="H630" s="25">
        <v>50407</v>
      </c>
      <c r="I630" s="25">
        <v>2031</v>
      </c>
      <c r="J630" s="26">
        <v>1100.33</v>
      </c>
      <c r="K630" s="25">
        <v>279</v>
      </c>
      <c r="L630" s="21" t="s">
        <v>17</v>
      </c>
      <c r="M630" s="22" t="s">
        <v>31</v>
      </c>
      <c r="N630" s="27">
        <f t="shared" si="72"/>
        <v>23</v>
      </c>
      <c r="O630" s="28">
        <f t="shared" si="73"/>
        <v>4.0292022933322756E-2</v>
      </c>
      <c r="P630" s="28">
        <f t="shared" si="74"/>
        <v>0.13737075332348597</v>
      </c>
      <c r="Q630" s="26">
        <f t="shared" si="75"/>
        <v>0.54176760216642039</v>
      </c>
      <c r="R630" s="29">
        <f t="shared" si="76"/>
        <v>3.9438351254480284</v>
      </c>
      <c r="S630" s="30">
        <f t="shared" si="77"/>
        <v>4</v>
      </c>
      <c r="T630" s="30">
        <f t="shared" si="78"/>
        <v>2023</v>
      </c>
      <c r="U630" s="29" t="str">
        <f t="shared" si="79"/>
        <v>April</v>
      </c>
    </row>
    <row r="631" spans="1:21" ht="17.399999999999999" x14ac:dyDescent="0.3">
      <c r="A631" s="21" t="s">
        <v>1988</v>
      </c>
      <c r="B631" s="22" t="s">
        <v>3713</v>
      </c>
      <c r="C631" s="23" t="s">
        <v>3516</v>
      </c>
      <c r="D631" s="22" t="s">
        <v>3545</v>
      </c>
      <c r="E631" s="24">
        <v>45046</v>
      </c>
      <c r="F631" s="24">
        <v>45068</v>
      </c>
      <c r="G631" s="22" t="s">
        <v>16</v>
      </c>
      <c r="H631" s="25">
        <v>93263</v>
      </c>
      <c r="I631" s="25">
        <v>4031</v>
      </c>
      <c r="J631" s="26">
        <v>4265.5200000000004</v>
      </c>
      <c r="K631" s="25">
        <v>258</v>
      </c>
      <c r="L631" s="21" t="s">
        <v>21</v>
      </c>
      <c r="M631" s="22" t="s">
        <v>16</v>
      </c>
      <c r="N631" s="27">
        <f t="shared" si="72"/>
        <v>22</v>
      </c>
      <c r="O631" s="28">
        <f t="shared" si="73"/>
        <v>4.3221856470411629E-2</v>
      </c>
      <c r="P631" s="28">
        <f t="shared" si="74"/>
        <v>6.4003969238402375E-2</v>
      </c>
      <c r="Q631" s="26">
        <f t="shared" si="75"/>
        <v>1.0581791118829076</v>
      </c>
      <c r="R631" s="29">
        <f t="shared" si="76"/>
        <v>16.533023255813955</v>
      </c>
      <c r="S631" s="30">
        <f t="shared" si="77"/>
        <v>4</v>
      </c>
      <c r="T631" s="30">
        <f t="shared" si="78"/>
        <v>2023</v>
      </c>
      <c r="U631" s="29" t="str">
        <f t="shared" si="79"/>
        <v>April</v>
      </c>
    </row>
    <row r="632" spans="1:21" ht="17.399999999999999" x14ac:dyDescent="0.3">
      <c r="A632" s="21" t="s">
        <v>48</v>
      </c>
      <c r="B632" s="22" t="s">
        <v>3714</v>
      </c>
      <c r="C632" s="23" t="s">
        <v>3515</v>
      </c>
      <c r="D632" s="22" t="s">
        <v>3545</v>
      </c>
      <c r="E632" s="24">
        <v>45046</v>
      </c>
      <c r="F632" s="24">
        <v>45064</v>
      </c>
      <c r="G632" s="22" t="s">
        <v>14</v>
      </c>
      <c r="H632" s="25">
        <v>68969</v>
      </c>
      <c r="I632" s="25">
        <v>2718</v>
      </c>
      <c r="J632" s="26">
        <v>2933.59</v>
      </c>
      <c r="K632" s="25">
        <v>145</v>
      </c>
      <c r="L632" s="21" t="s">
        <v>17</v>
      </c>
      <c r="M632" s="22" t="s">
        <v>3537</v>
      </c>
      <c r="N632" s="27">
        <f t="shared" si="72"/>
        <v>18</v>
      </c>
      <c r="O632" s="28">
        <f t="shared" si="73"/>
        <v>3.9409009845002826E-2</v>
      </c>
      <c r="P632" s="28">
        <f t="shared" si="74"/>
        <v>5.3348050036791758E-2</v>
      </c>
      <c r="Q632" s="26">
        <f t="shared" si="75"/>
        <v>1.079319352465048</v>
      </c>
      <c r="R632" s="29">
        <f t="shared" si="76"/>
        <v>20.231655172413795</v>
      </c>
      <c r="S632" s="30">
        <f t="shared" si="77"/>
        <v>4</v>
      </c>
      <c r="T632" s="30">
        <f t="shared" si="78"/>
        <v>2023</v>
      </c>
      <c r="U632" s="29" t="str">
        <f t="shared" si="79"/>
        <v>April</v>
      </c>
    </row>
    <row r="633" spans="1:21" ht="17.399999999999999" x14ac:dyDescent="0.3">
      <c r="A633" s="21" t="s">
        <v>707</v>
      </c>
      <c r="B633" s="21" t="s">
        <v>708</v>
      </c>
      <c r="C633" s="23" t="s">
        <v>3515</v>
      </c>
      <c r="D633" s="21" t="s">
        <v>3521</v>
      </c>
      <c r="E633" s="24">
        <v>45046</v>
      </c>
      <c r="F633" s="24">
        <v>45076</v>
      </c>
      <c r="G633" s="22" t="s">
        <v>31</v>
      </c>
      <c r="H633" s="25">
        <v>46017</v>
      </c>
      <c r="I633" s="25">
        <v>1252</v>
      </c>
      <c r="J633" s="26">
        <v>2221.4299999999998</v>
      </c>
      <c r="K633" s="25">
        <v>125</v>
      </c>
      <c r="L633" s="21" t="s">
        <v>21</v>
      </c>
      <c r="M633" s="22" t="s">
        <v>31</v>
      </c>
      <c r="N633" s="27">
        <f t="shared" si="72"/>
        <v>30</v>
      </c>
      <c r="O633" s="28">
        <f t="shared" si="73"/>
        <v>2.7207336419149446E-2</v>
      </c>
      <c r="P633" s="28">
        <f t="shared" si="74"/>
        <v>9.9840255591054319E-2</v>
      </c>
      <c r="Q633" s="26">
        <f t="shared" si="75"/>
        <v>1.7743051118210862</v>
      </c>
      <c r="R633" s="29">
        <f t="shared" si="76"/>
        <v>17.771439999999998</v>
      </c>
      <c r="S633" s="30">
        <f t="shared" si="77"/>
        <v>4</v>
      </c>
      <c r="T633" s="30">
        <f t="shared" si="78"/>
        <v>2023</v>
      </c>
      <c r="U633" s="29" t="str">
        <f t="shared" si="79"/>
        <v>April</v>
      </c>
    </row>
    <row r="634" spans="1:21" ht="17.399999999999999" x14ac:dyDescent="0.3">
      <c r="A634" s="21" t="s">
        <v>1970</v>
      </c>
      <c r="B634" s="22" t="s">
        <v>3715</v>
      </c>
      <c r="C634" s="23" t="s">
        <v>3515</v>
      </c>
      <c r="D634" s="22" t="s">
        <v>3545</v>
      </c>
      <c r="E634" s="24">
        <v>45046</v>
      </c>
      <c r="F634" s="24">
        <v>45060</v>
      </c>
      <c r="G634" s="22" t="s">
        <v>11</v>
      </c>
      <c r="H634" s="25">
        <v>72520</v>
      </c>
      <c r="I634" s="25">
        <v>2269</v>
      </c>
      <c r="J634" s="26">
        <v>4407.3599999999997</v>
      </c>
      <c r="K634" s="25">
        <v>356</v>
      </c>
      <c r="L634" s="21" t="s">
        <v>21</v>
      </c>
      <c r="M634" s="22" t="s">
        <v>11</v>
      </c>
      <c r="N634" s="27">
        <f t="shared" si="72"/>
        <v>14</v>
      </c>
      <c r="O634" s="28">
        <f t="shared" si="73"/>
        <v>3.1287920573634859E-2</v>
      </c>
      <c r="P634" s="28">
        <f t="shared" si="74"/>
        <v>0.15689731159100925</v>
      </c>
      <c r="Q634" s="26">
        <f t="shared" si="75"/>
        <v>1.9424239753195238</v>
      </c>
      <c r="R634" s="29">
        <f t="shared" si="76"/>
        <v>12.380224719101122</v>
      </c>
      <c r="S634" s="30">
        <f t="shared" si="77"/>
        <v>4</v>
      </c>
      <c r="T634" s="30">
        <f t="shared" si="78"/>
        <v>2023</v>
      </c>
      <c r="U634" s="29" t="str">
        <f t="shared" si="79"/>
        <v>April</v>
      </c>
    </row>
    <row r="635" spans="1:21" ht="17.399999999999999" x14ac:dyDescent="0.3">
      <c r="A635" s="21" t="s">
        <v>2644</v>
      </c>
      <c r="B635" s="22" t="s">
        <v>3716</v>
      </c>
      <c r="C635" s="23" t="s">
        <v>3515</v>
      </c>
      <c r="D635" s="22" t="s">
        <v>3545</v>
      </c>
      <c r="E635" s="24">
        <v>45046</v>
      </c>
      <c r="F635" s="24">
        <v>45055</v>
      </c>
      <c r="G635" s="22" t="s">
        <v>16</v>
      </c>
      <c r="H635" s="25">
        <v>2341</v>
      </c>
      <c r="I635" s="25">
        <v>40</v>
      </c>
      <c r="J635" s="26">
        <v>46.73</v>
      </c>
      <c r="K635" s="25">
        <v>3</v>
      </c>
      <c r="L635" s="21" t="s">
        <v>21</v>
      </c>
      <c r="M635" s="22" t="s">
        <v>16</v>
      </c>
      <c r="N635" s="27">
        <f t="shared" si="72"/>
        <v>9</v>
      </c>
      <c r="O635" s="28">
        <f t="shared" si="73"/>
        <v>1.7086715079026059E-2</v>
      </c>
      <c r="P635" s="28">
        <f t="shared" si="74"/>
        <v>7.4999999999999997E-2</v>
      </c>
      <c r="Q635" s="26">
        <f t="shared" si="75"/>
        <v>1.16825</v>
      </c>
      <c r="R635" s="29">
        <f t="shared" si="76"/>
        <v>15.576666666666666</v>
      </c>
      <c r="S635" s="30">
        <f t="shared" si="77"/>
        <v>4</v>
      </c>
      <c r="T635" s="30">
        <f t="shared" si="78"/>
        <v>2023</v>
      </c>
      <c r="U635" s="29" t="str">
        <f t="shared" si="79"/>
        <v>April</v>
      </c>
    </row>
    <row r="636" spans="1:21" ht="17.399999999999999" x14ac:dyDescent="0.3">
      <c r="A636" s="21" t="s">
        <v>290</v>
      </c>
      <c r="B636" s="22" t="s">
        <v>3717</v>
      </c>
      <c r="C636" s="23" t="s">
        <v>3519</v>
      </c>
      <c r="D636" s="22" t="s">
        <v>3545</v>
      </c>
      <c r="E636" s="24">
        <v>45047</v>
      </c>
      <c r="F636" s="24">
        <v>45068</v>
      </c>
      <c r="G636" s="22" t="s">
        <v>3535</v>
      </c>
      <c r="H636" s="25">
        <v>76450</v>
      </c>
      <c r="I636" s="25">
        <v>2629</v>
      </c>
      <c r="J636" s="26">
        <v>1688.77</v>
      </c>
      <c r="K636" s="25">
        <v>0</v>
      </c>
      <c r="L636" s="21" t="s">
        <v>21</v>
      </c>
      <c r="M636" s="22" t="s">
        <v>3535</v>
      </c>
      <c r="N636" s="27">
        <f t="shared" si="72"/>
        <v>21</v>
      </c>
      <c r="O636" s="28">
        <f t="shared" si="73"/>
        <v>3.4388489208633091E-2</v>
      </c>
      <c r="P636" s="28">
        <f t="shared" si="74"/>
        <v>0</v>
      </c>
      <c r="Q636" s="26">
        <f t="shared" si="75"/>
        <v>0.64236211487257511</v>
      </c>
      <c r="R636" s="29" t="str">
        <f t="shared" si="76"/>
        <v>0</v>
      </c>
      <c r="S636" s="30">
        <f t="shared" si="77"/>
        <v>5</v>
      </c>
      <c r="T636" s="30">
        <f t="shared" si="78"/>
        <v>2023</v>
      </c>
      <c r="U636" s="29" t="str">
        <f t="shared" si="79"/>
        <v>May</v>
      </c>
    </row>
    <row r="637" spans="1:21" ht="17.399999999999999" x14ac:dyDescent="0.3">
      <c r="A637" s="21" t="s">
        <v>2595</v>
      </c>
      <c r="B637" s="21" t="s">
        <v>2596</v>
      </c>
      <c r="C637" s="23" t="s">
        <v>3516</v>
      </c>
      <c r="D637" s="21" t="s">
        <v>3521</v>
      </c>
      <c r="E637" s="24">
        <v>45047</v>
      </c>
      <c r="F637" s="24">
        <v>45058</v>
      </c>
      <c r="G637" s="22" t="s">
        <v>3535</v>
      </c>
      <c r="H637" s="25">
        <v>55912</v>
      </c>
      <c r="I637" s="25">
        <v>1037</v>
      </c>
      <c r="J637" s="26">
        <v>1831.83</v>
      </c>
      <c r="K637" s="25">
        <v>207</v>
      </c>
      <c r="L637" s="21" t="s">
        <v>21</v>
      </c>
      <c r="M637" s="22" t="s">
        <v>3535</v>
      </c>
      <c r="N637" s="27">
        <f t="shared" si="72"/>
        <v>11</v>
      </c>
      <c r="O637" s="28">
        <f t="shared" si="73"/>
        <v>1.8547002432393763E-2</v>
      </c>
      <c r="P637" s="28">
        <f t="shared" si="74"/>
        <v>0.19961427193828352</v>
      </c>
      <c r="Q637" s="26">
        <f t="shared" si="75"/>
        <v>1.766470588235294</v>
      </c>
      <c r="R637" s="29">
        <f t="shared" si="76"/>
        <v>8.8494202898550718</v>
      </c>
      <c r="S637" s="30">
        <f t="shared" si="77"/>
        <v>5</v>
      </c>
      <c r="T637" s="30">
        <f t="shared" si="78"/>
        <v>2023</v>
      </c>
      <c r="U637" s="29" t="str">
        <f t="shared" si="79"/>
        <v>May</v>
      </c>
    </row>
    <row r="638" spans="1:21" ht="17.399999999999999" x14ac:dyDescent="0.3">
      <c r="A638" s="21" t="s">
        <v>56</v>
      </c>
      <c r="B638" s="22" t="s">
        <v>3718</v>
      </c>
      <c r="C638" s="23" t="s">
        <v>3515</v>
      </c>
      <c r="D638" s="22" t="s">
        <v>3545</v>
      </c>
      <c r="E638" s="24">
        <v>45047</v>
      </c>
      <c r="F638" s="24">
        <v>45052</v>
      </c>
      <c r="G638" s="22" t="s">
        <v>24</v>
      </c>
      <c r="H638" s="25">
        <v>29693</v>
      </c>
      <c r="I638" s="25">
        <v>995</v>
      </c>
      <c r="J638" s="26">
        <v>1793.94</v>
      </c>
      <c r="K638" s="25">
        <v>179</v>
      </c>
      <c r="L638" s="21" t="s">
        <v>17</v>
      </c>
      <c r="M638" s="22" t="s">
        <v>3536</v>
      </c>
      <c r="N638" s="27">
        <f t="shared" si="72"/>
        <v>5</v>
      </c>
      <c r="O638" s="28">
        <f t="shared" si="73"/>
        <v>3.3509581382817497E-2</v>
      </c>
      <c r="P638" s="28">
        <f t="shared" si="74"/>
        <v>0.17989949748743719</v>
      </c>
      <c r="Q638" s="26">
        <f t="shared" si="75"/>
        <v>1.8029547738693468</v>
      </c>
      <c r="R638" s="29">
        <f t="shared" si="76"/>
        <v>10.022011173184358</v>
      </c>
      <c r="S638" s="30">
        <f t="shared" si="77"/>
        <v>5</v>
      </c>
      <c r="T638" s="30">
        <f t="shared" si="78"/>
        <v>2023</v>
      </c>
      <c r="U638" s="29" t="str">
        <f t="shared" si="79"/>
        <v>May</v>
      </c>
    </row>
    <row r="639" spans="1:21" ht="17.399999999999999" x14ac:dyDescent="0.3">
      <c r="A639" s="21" t="s">
        <v>1440</v>
      </c>
      <c r="B639" s="21" t="s">
        <v>1441</v>
      </c>
      <c r="C639" s="23" t="s">
        <v>3515</v>
      </c>
      <c r="D639" s="21" t="s">
        <v>3521</v>
      </c>
      <c r="E639" s="24">
        <v>45047</v>
      </c>
      <c r="F639" s="24">
        <v>45052</v>
      </c>
      <c r="G639" s="22" t="s">
        <v>3535</v>
      </c>
      <c r="H639" s="25">
        <v>10860</v>
      </c>
      <c r="I639" s="25">
        <v>149</v>
      </c>
      <c r="J639" s="26">
        <v>147.32</v>
      </c>
      <c r="K639" s="25">
        <v>11</v>
      </c>
      <c r="L639" s="21" t="s">
        <v>21</v>
      </c>
      <c r="M639" s="22" t="s">
        <v>3535</v>
      </c>
      <c r="N639" s="27">
        <f t="shared" si="72"/>
        <v>5</v>
      </c>
      <c r="O639" s="28">
        <f t="shared" si="73"/>
        <v>1.3720073664825047E-2</v>
      </c>
      <c r="P639" s="28">
        <f t="shared" si="74"/>
        <v>7.3825503355704702E-2</v>
      </c>
      <c r="Q639" s="26">
        <f t="shared" si="75"/>
        <v>0.98872483221476504</v>
      </c>
      <c r="R639" s="29">
        <f t="shared" si="76"/>
        <v>13.392727272727273</v>
      </c>
      <c r="S639" s="30">
        <f t="shared" si="77"/>
        <v>5</v>
      </c>
      <c r="T639" s="30">
        <f t="shared" si="78"/>
        <v>2023</v>
      </c>
      <c r="U639" s="29" t="str">
        <f t="shared" si="79"/>
        <v>May</v>
      </c>
    </row>
    <row r="640" spans="1:21" ht="17.399999999999999" x14ac:dyDescent="0.3">
      <c r="A640" s="21" t="s">
        <v>2934</v>
      </c>
      <c r="B640" s="22" t="s">
        <v>3719</v>
      </c>
      <c r="C640" s="23" t="s">
        <v>3519</v>
      </c>
      <c r="D640" s="22" t="s">
        <v>3545</v>
      </c>
      <c r="E640" s="24">
        <v>45047</v>
      </c>
      <c r="F640" s="24">
        <v>45082</v>
      </c>
      <c r="G640" s="22" t="s">
        <v>16</v>
      </c>
      <c r="H640" s="25">
        <v>29831</v>
      </c>
      <c r="I640" s="25">
        <v>1347</v>
      </c>
      <c r="J640" s="26">
        <v>1678.2</v>
      </c>
      <c r="K640" s="25">
        <v>248</v>
      </c>
      <c r="L640" s="21" t="s">
        <v>21</v>
      </c>
      <c r="M640" s="22" t="s">
        <v>16</v>
      </c>
      <c r="N640" s="27">
        <f t="shared" si="72"/>
        <v>35</v>
      </c>
      <c r="O640" s="28">
        <f t="shared" si="73"/>
        <v>4.5154369615500657E-2</v>
      </c>
      <c r="P640" s="28">
        <f t="shared" si="74"/>
        <v>0.18411284335560504</v>
      </c>
      <c r="Q640" s="26">
        <f t="shared" si="75"/>
        <v>1.2458797327394209</v>
      </c>
      <c r="R640" s="29">
        <f t="shared" si="76"/>
        <v>6.7669354838709683</v>
      </c>
      <c r="S640" s="30">
        <f t="shared" si="77"/>
        <v>5</v>
      </c>
      <c r="T640" s="30">
        <f t="shared" si="78"/>
        <v>2023</v>
      </c>
      <c r="U640" s="29" t="str">
        <f t="shared" si="79"/>
        <v>May</v>
      </c>
    </row>
    <row r="641" spans="1:21" ht="17.399999999999999" x14ac:dyDescent="0.3">
      <c r="A641" s="21" t="s">
        <v>149</v>
      </c>
      <c r="B641" s="21" t="s">
        <v>150</v>
      </c>
      <c r="C641" s="23" t="s">
        <v>3519</v>
      </c>
      <c r="D641" s="21" t="s">
        <v>3517</v>
      </c>
      <c r="E641" s="24">
        <v>45048</v>
      </c>
      <c r="F641" s="24">
        <v>45060</v>
      </c>
      <c r="G641" s="22" t="s">
        <v>31</v>
      </c>
      <c r="H641" s="25">
        <v>92387</v>
      </c>
      <c r="I641" s="25">
        <v>3530</v>
      </c>
      <c r="J641" s="26">
        <v>1795.28</v>
      </c>
      <c r="K641" s="25">
        <v>347</v>
      </c>
      <c r="L641" s="21" t="s">
        <v>21</v>
      </c>
      <c r="M641" s="22" t="s">
        <v>31</v>
      </c>
      <c r="N641" s="27">
        <f t="shared" si="72"/>
        <v>12</v>
      </c>
      <c r="O641" s="28">
        <f t="shared" si="73"/>
        <v>3.8208838905906678E-2</v>
      </c>
      <c r="P641" s="28">
        <f t="shared" si="74"/>
        <v>9.8300283286118978E-2</v>
      </c>
      <c r="Q641" s="26">
        <f t="shared" si="75"/>
        <v>0.50857790368271949</v>
      </c>
      <c r="R641" s="29">
        <f t="shared" si="76"/>
        <v>5.1737175792507202</v>
      </c>
      <c r="S641" s="30">
        <f t="shared" si="77"/>
        <v>5</v>
      </c>
      <c r="T641" s="30">
        <f t="shared" si="78"/>
        <v>2023</v>
      </c>
      <c r="U641" s="29" t="str">
        <f t="shared" si="79"/>
        <v>May</v>
      </c>
    </row>
    <row r="642" spans="1:21" ht="17.399999999999999" x14ac:dyDescent="0.3">
      <c r="A642" s="21" t="s">
        <v>126</v>
      </c>
      <c r="B642" s="21" t="s">
        <v>127</v>
      </c>
      <c r="C642" s="23" t="s">
        <v>3518</v>
      </c>
      <c r="D642" s="21" t="s">
        <v>3521</v>
      </c>
      <c r="E642" s="24">
        <v>45048</v>
      </c>
      <c r="F642" s="24">
        <v>45058</v>
      </c>
      <c r="G642" s="22" t="s">
        <v>16</v>
      </c>
      <c r="H642" s="25">
        <v>79953</v>
      </c>
      <c r="I642" s="25">
        <v>1857</v>
      </c>
      <c r="J642" s="26">
        <v>2360.81</v>
      </c>
      <c r="K642" s="25">
        <v>218</v>
      </c>
      <c r="L642" s="21" t="s">
        <v>17</v>
      </c>
      <c r="M642" s="22" t="s">
        <v>16</v>
      </c>
      <c r="N642" s="27">
        <f t="shared" ref="N642:N705" si="80">F642-E642</f>
        <v>10</v>
      </c>
      <c r="O642" s="28">
        <f t="shared" ref="O642:O705" si="81">I642/H642</f>
        <v>2.3226145360399235E-2</v>
      </c>
      <c r="P642" s="28">
        <f t="shared" ref="P642:P705" si="82">K642/I642</f>
        <v>0.11739364566505116</v>
      </c>
      <c r="Q642" s="26">
        <f t="shared" ref="Q642:Q705" si="83">J642/I642</f>
        <v>1.2713031771674743</v>
      </c>
      <c r="R642" s="29">
        <f t="shared" ref="R642:R705" si="84">IFERROR(J642/K642,"0")</f>
        <v>10.829403669724771</v>
      </c>
      <c r="S642" s="30">
        <f t="shared" ref="S642:S705" si="85">MONTH(E642)</f>
        <v>5</v>
      </c>
      <c r="T642" s="30">
        <f t="shared" ref="T642:T705" si="86">YEAR(E642)</f>
        <v>2023</v>
      </c>
      <c r="U642" s="29" t="str">
        <f t="shared" ref="U642:U705" si="87">TEXT(E642,"mmmm")</f>
        <v>May</v>
      </c>
    </row>
    <row r="643" spans="1:21" ht="17.399999999999999" x14ac:dyDescent="0.3">
      <c r="A643" s="21" t="s">
        <v>1693</v>
      </c>
      <c r="B643" s="21" t="s">
        <v>1694</v>
      </c>
      <c r="C643" s="23" t="s">
        <v>3518</v>
      </c>
      <c r="D643" s="21" t="s">
        <v>3521</v>
      </c>
      <c r="E643" s="24">
        <v>45048</v>
      </c>
      <c r="F643" s="24">
        <v>45061</v>
      </c>
      <c r="G643" s="22" t="s">
        <v>24</v>
      </c>
      <c r="H643" s="25">
        <v>6122</v>
      </c>
      <c r="I643" s="25">
        <v>279</v>
      </c>
      <c r="J643" s="26">
        <v>422.25</v>
      </c>
      <c r="K643" s="25">
        <v>36</v>
      </c>
      <c r="L643" s="21" t="s">
        <v>17</v>
      </c>
      <c r="M643" s="22" t="s">
        <v>3536</v>
      </c>
      <c r="N643" s="27">
        <f t="shared" si="80"/>
        <v>13</v>
      </c>
      <c r="O643" s="28">
        <f t="shared" si="81"/>
        <v>4.5573342045083308E-2</v>
      </c>
      <c r="P643" s="28">
        <f t="shared" si="82"/>
        <v>0.12903225806451613</v>
      </c>
      <c r="Q643" s="26">
        <f t="shared" si="83"/>
        <v>1.5134408602150538</v>
      </c>
      <c r="R643" s="29">
        <f t="shared" si="84"/>
        <v>11.729166666666666</v>
      </c>
      <c r="S643" s="30">
        <f t="shared" si="85"/>
        <v>5</v>
      </c>
      <c r="T643" s="30">
        <f t="shared" si="86"/>
        <v>2023</v>
      </c>
      <c r="U643" s="29" t="str">
        <f t="shared" si="87"/>
        <v>May</v>
      </c>
    </row>
    <row r="644" spans="1:21" ht="17.399999999999999" x14ac:dyDescent="0.3">
      <c r="A644" s="21" t="s">
        <v>1890</v>
      </c>
      <c r="B644" s="21" t="s">
        <v>1891</v>
      </c>
      <c r="C644" s="23" t="s">
        <v>3518</v>
      </c>
      <c r="D644" s="21" t="s">
        <v>3521</v>
      </c>
      <c r="E644" s="24">
        <v>45048</v>
      </c>
      <c r="F644" s="24">
        <v>45074</v>
      </c>
      <c r="G644" s="22" t="s">
        <v>14</v>
      </c>
      <c r="H644" s="25">
        <v>64076</v>
      </c>
      <c r="I644" s="25">
        <v>1065</v>
      </c>
      <c r="J644" s="26">
        <v>1371.03</v>
      </c>
      <c r="K644" s="25">
        <v>169</v>
      </c>
      <c r="L644" s="21" t="s">
        <v>21</v>
      </c>
      <c r="M644" s="22" t="s">
        <v>3537</v>
      </c>
      <c r="N644" s="27">
        <f t="shared" si="80"/>
        <v>26</v>
      </c>
      <c r="O644" s="28">
        <f t="shared" si="81"/>
        <v>1.6620887695861165E-2</v>
      </c>
      <c r="P644" s="28">
        <f t="shared" si="82"/>
        <v>0.15868544600938966</v>
      </c>
      <c r="Q644" s="26">
        <f t="shared" si="83"/>
        <v>1.2873521126760563</v>
      </c>
      <c r="R644" s="29">
        <f t="shared" si="84"/>
        <v>8.1126035502958587</v>
      </c>
      <c r="S644" s="30">
        <f t="shared" si="85"/>
        <v>5</v>
      </c>
      <c r="T644" s="30">
        <f t="shared" si="86"/>
        <v>2023</v>
      </c>
      <c r="U644" s="29" t="str">
        <f t="shared" si="87"/>
        <v>May</v>
      </c>
    </row>
    <row r="645" spans="1:21" ht="17.399999999999999" x14ac:dyDescent="0.3">
      <c r="A645" s="21" t="s">
        <v>2067</v>
      </c>
      <c r="B645" s="21" t="s">
        <v>2068</v>
      </c>
      <c r="C645" s="23" t="s">
        <v>3518</v>
      </c>
      <c r="D645" s="21" t="s">
        <v>3517</v>
      </c>
      <c r="E645" s="24">
        <v>45048</v>
      </c>
      <c r="F645" s="24">
        <v>45069</v>
      </c>
      <c r="G645" s="22" t="s">
        <v>16</v>
      </c>
      <c r="H645" s="25">
        <v>21103</v>
      </c>
      <c r="I645" s="25">
        <v>986</v>
      </c>
      <c r="J645" s="26">
        <v>1251.99</v>
      </c>
      <c r="K645" s="25">
        <v>114</v>
      </c>
      <c r="L645" s="21" t="s">
        <v>17</v>
      </c>
      <c r="M645" s="22" t="s">
        <v>16</v>
      </c>
      <c r="N645" s="27">
        <f t="shared" si="80"/>
        <v>21</v>
      </c>
      <c r="O645" s="28">
        <f t="shared" si="81"/>
        <v>4.6723214708809177E-2</v>
      </c>
      <c r="P645" s="28">
        <f t="shared" si="82"/>
        <v>0.11561866125760649</v>
      </c>
      <c r="Q645" s="26">
        <f t="shared" si="83"/>
        <v>1.2697667342799188</v>
      </c>
      <c r="R645" s="29">
        <f t="shared" si="84"/>
        <v>10.982368421052632</v>
      </c>
      <c r="S645" s="30">
        <f t="shared" si="85"/>
        <v>5</v>
      </c>
      <c r="T645" s="30">
        <f t="shared" si="86"/>
        <v>2023</v>
      </c>
      <c r="U645" s="29" t="str">
        <f t="shared" si="87"/>
        <v>May</v>
      </c>
    </row>
    <row r="646" spans="1:21" ht="17.399999999999999" x14ac:dyDescent="0.3">
      <c r="A646" s="21" t="s">
        <v>2026</v>
      </c>
      <c r="B646" s="21" t="s">
        <v>2027</v>
      </c>
      <c r="C646" s="23" t="s">
        <v>3516</v>
      </c>
      <c r="D646" s="21" t="s">
        <v>3517</v>
      </c>
      <c r="E646" s="24">
        <v>45048</v>
      </c>
      <c r="F646" s="24">
        <v>45073</v>
      </c>
      <c r="G646" s="22" t="s">
        <v>31</v>
      </c>
      <c r="H646" s="25">
        <v>52356</v>
      </c>
      <c r="I646" s="25">
        <v>1778</v>
      </c>
      <c r="J646" s="26">
        <v>1834.12</v>
      </c>
      <c r="K646" s="25">
        <v>301</v>
      </c>
      <c r="L646" s="21" t="s">
        <v>21</v>
      </c>
      <c r="M646" s="22" t="s">
        <v>31</v>
      </c>
      <c r="N646" s="27">
        <f t="shared" si="80"/>
        <v>25</v>
      </c>
      <c r="O646" s="28">
        <f t="shared" si="81"/>
        <v>3.3959813583925434E-2</v>
      </c>
      <c r="P646" s="28">
        <f t="shared" si="82"/>
        <v>0.16929133858267717</v>
      </c>
      <c r="Q646" s="26">
        <f t="shared" si="83"/>
        <v>1.0315635545556805</v>
      </c>
      <c r="R646" s="29">
        <f t="shared" si="84"/>
        <v>6.0934219269102989</v>
      </c>
      <c r="S646" s="30">
        <f t="shared" si="85"/>
        <v>5</v>
      </c>
      <c r="T646" s="30">
        <f t="shared" si="86"/>
        <v>2023</v>
      </c>
      <c r="U646" s="29" t="str">
        <f t="shared" si="87"/>
        <v>May</v>
      </c>
    </row>
    <row r="647" spans="1:21" ht="17.399999999999999" x14ac:dyDescent="0.3">
      <c r="A647" s="21" t="s">
        <v>228</v>
      </c>
      <c r="B647" s="21" t="s">
        <v>229</v>
      </c>
      <c r="C647" s="23" t="s">
        <v>3515</v>
      </c>
      <c r="D647" s="21" t="s">
        <v>3520</v>
      </c>
      <c r="E647" s="24">
        <v>45048</v>
      </c>
      <c r="F647" s="24">
        <v>45065</v>
      </c>
      <c r="G647" s="22" t="s">
        <v>3535</v>
      </c>
      <c r="H647" s="25">
        <v>78373</v>
      </c>
      <c r="I647" s="25">
        <v>3388</v>
      </c>
      <c r="J647" s="26">
        <v>3535.88</v>
      </c>
      <c r="K647" s="25">
        <v>307</v>
      </c>
      <c r="L647" s="21" t="s">
        <v>21</v>
      </c>
      <c r="M647" s="22" t="s">
        <v>3535</v>
      </c>
      <c r="N647" s="27">
        <f t="shared" si="80"/>
        <v>17</v>
      </c>
      <c r="O647" s="28">
        <f t="shared" si="81"/>
        <v>4.3229173312237634E-2</v>
      </c>
      <c r="P647" s="28">
        <f t="shared" si="82"/>
        <v>9.0613931523022426E-2</v>
      </c>
      <c r="Q647" s="26">
        <f t="shared" si="83"/>
        <v>1.0436481700118063</v>
      </c>
      <c r="R647" s="29">
        <f t="shared" si="84"/>
        <v>11.517524429967427</v>
      </c>
      <c r="S647" s="30">
        <f t="shared" si="85"/>
        <v>5</v>
      </c>
      <c r="T647" s="30">
        <f t="shared" si="86"/>
        <v>2023</v>
      </c>
      <c r="U647" s="29" t="str">
        <f t="shared" si="87"/>
        <v>May</v>
      </c>
    </row>
    <row r="648" spans="1:21" ht="17.399999999999999" x14ac:dyDescent="0.3">
      <c r="A648" s="21" t="s">
        <v>3412</v>
      </c>
      <c r="B648" s="21" t="s">
        <v>3413</v>
      </c>
      <c r="C648" s="23" t="s">
        <v>3515</v>
      </c>
      <c r="D648" s="21" t="s">
        <v>3517</v>
      </c>
      <c r="E648" s="24">
        <v>45048</v>
      </c>
      <c r="F648" s="24">
        <v>45053</v>
      </c>
      <c r="G648" s="22" t="s">
        <v>24</v>
      </c>
      <c r="H648" s="25">
        <v>76897</v>
      </c>
      <c r="I648" s="25">
        <v>2199</v>
      </c>
      <c r="J648" s="26">
        <v>1763.84</v>
      </c>
      <c r="K648" s="25">
        <v>133</v>
      </c>
      <c r="L648" s="21" t="s">
        <v>17</v>
      </c>
      <c r="M648" s="22" t="s">
        <v>3536</v>
      </c>
      <c r="N648" s="27">
        <f t="shared" si="80"/>
        <v>5</v>
      </c>
      <c r="O648" s="28">
        <f t="shared" si="81"/>
        <v>2.8596694279360704E-2</v>
      </c>
      <c r="P648" s="28">
        <f t="shared" si="82"/>
        <v>6.0482037289677125E-2</v>
      </c>
      <c r="Q648" s="26">
        <f t="shared" si="83"/>
        <v>0.80211005002273761</v>
      </c>
      <c r="R648" s="29">
        <f t="shared" si="84"/>
        <v>13.261954887218044</v>
      </c>
      <c r="S648" s="30">
        <f t="shared" si="85"/>
        <v>5</v>
      </c>
      <c r="T648" s="30">
        <f t="shared" si="86"/>
        <v>2023</v>
      </c>
      <c r="U648" s="29" t="str">
        <f t="shared" si="87"/>
        <v>May</v>
      </c>
    </row>
    <row r="649" spans="1:21" ht="17.399999999999999" x14ac:dyDescent="0.3">
      <c r="A649" s="21" t="s">
        <v>1530</v>
      </c>
      <c r="B649" s="21" t="s">
        <v>1531</v>
      </c>
      <c r="C649" s="23" t="s">
        <v>3519</v>
      </c>
      <c r="D649" s="21" t="s">
        <v>3521</v>
      </c>
      <c r="E649" s="24">
        <v>45048</v>
      </c>
      <c r="F649" s="24">
        <v>45111</v>
      </c>
      <c r="G649" s="22" t="s">
        <v>24</v>
      </c>
      <c r="H649" s="25">
        <v>79587</v>
      </c>
      <c r="I649" s="25">
        <v>3672</v>
      </c>
      <c r="J649" s="26">
        <v>5903.69</v>
      </c>
      <c r="K649" s="25">
        <v>192</v>
      </c>
      <c r="L649" s="21" t="s">
        <v>17</v>
      </c>
      <c r="M649" s="22" t="s">
        <v>3536</v>
      </c>
      <c r="N649" s="27">
        <f t="shared" si="80"/>
        <v>63</v>
      </c>
      <c r="O649" s="28">
        <f t="shared" si="81"/>
        <v>4.6138188397602621E-2</v>
      </c>
      <c r="P649" s="28">
        <f t="shared" si="82"/>
        <v>5.2287581699346407E-2</v>
      </c>
      <c r="Q649" s="26">
        <f t="shared" si="83"/>
        <v>1.6077587145969499</v>
      </c>
      <c r="R649" s="29">
        <f t="shared" si="84"/>
        <v>30.748385416666665</v>
      </c>
      <c r="S649" s="30">
        <f t="shared" si="85"/>
        <v>5</v>
      </c>
      <c r="T649" s="30">
        <f t="shared" si="86"/>
        <v>2023</v>
      </c>
      <c r="U649" s="29" t="str">
        <f t="shared" si="87"/>
        <v>May</v>
      </c>
    </row>
    <row r="650" spans="1:21" ht="17.399999999999999" x14ac:dyDescent="0.3">
      <c r="A650" s="21" t="s">
        <v>1795</v>
      </c>
      <c r="B650" s="21" t="s">
        <v>1796</v>
      </c>
      <c r="C650" s="23" t="s">
        <v>3519</v>
      </c>
      <c r="D650" s="21" t="s">
        <v>3521</v>
      </c>
      <c r="E650" s="24">
        <v>45049</v>
      </c>
      <c r="F650" s="24">
        <v>45079</v>
      </c>
      <c r="G650" s="22" t="s">
        <v>11</v>
      </c>
      <c r="H650" s="25">
        <v>14918</v>
      </c>
      <c r="I650" s="25">
        <v>505</v>
      </c>
      <c r="J650" s="26">
        <v>822.24</v>
      </c>
      <c r="K650" s="25">
        <v>93</v>
      </c>
      <c r="L650" s="21" t="s">
        <v>17</v>
      </c>
      <c r="M650" s="22" t="s">
        <v>11</v>
      </c>
      <c r="N650" s="27">
        <f t="shared" si="80"/>
        <v>30</v>
      </c>
      <c r="O650" s="28">
        <f t="shared" si="81"/>
        <v>3.3851722751039016E-2</v>
      </c>
      <c r="P650" s="28">
        <f t="shared" si="82"/>
        <v>0.18415841584158416</v>
      </c>
      <c r="Q650" s="26">
        <f t="shared" si="83"/>
        <v>1.6281980198019803</v>
      </c>
      <c r="R650" s="29">
        <f t="shared" si="84"/>
        <v>8.8412903225806456</v>
      </c>
      <c r="S650" s="30">
        <f t="shared" si="85"/>
        <v>5</v>
      </c>
      <c r="T650" s="30">
        <f t="shared" si="86"/>
        <v>2023</v>
      </c>
      <c r="U650" s="29" t="str">
        <f t="shared" si="87"/>
        <v>May</v>
      </c>
    </row>
    <row r="651" spans="1:21" ht="17.399999999999999" x14ac:dyDescent="0.3">
      <c r="A651" s="21" t="s">
        <v>2765</v>
      </c>
      <c r="B651" s="21" t="s">
        <v>2766</v>
      </c>
      <c r="C651" s="23" t="s">
        <v>3518</v>
      </c>
      <c r="D651" s="21" t="s">
        <v>3517</v>
      </c>
      <c r="E651" s="24">
        <v>45049</v>
      </c>
      <c r="F651" s="24">
        <v>45058</v>
      </c>
      <c r="G651" s="22" t="s">
        <v>11</v>
      </c>
      <c r="H651" s="25">
        <v>81765</v>
      </c>
      <c r="I651" s="25">
        <v>2099</v>
      </c>
      <c r="J651" s="26">
        <v>3722.34</v>
      </c>
      <c r="K651" s="25">
        <v>0</v>
      </c>
      <c r="L651" s="21" t="s">
        <v>17</v>
      </c>
      <c r="M651" s="22" t="s">
        <v>11</v>
      </c>
      <c r="N651" s="27">
        <f t="shared" si="80"/>
        <v>9</v>
      </c>
      <c r="O651" s="28">
        <f t="shared" si="81"/>
        <v>2.5671130679386044E-2</v>
      </c>
      <c r="P651" s="28">
        <f t="shared" si="82"/>
        <v>0</v>
      </c>
      <c r="Q651" s="26">
        <f t="shared" si="83"/>
        <v>1.7733873272987137</v>
      </c>
      <c r="R651" s="29" t="str">
        <f t="shared" si="84"/>
        <v>0</v>
      </c>
      <c r="S651" s="30">
        <f t="shared" si="85"/>
        <v>5</v>
      </c>
      <c r="T651" s="30">
        <f t="shared" si="86"/>
        <v>2023</v>
      </c>
      <c r="U651" s="29" t="str">
        <f t="shared" si="87"/>
        <v>May</v>
      </c>
    </row>
    <row r="652" spans="1:21" ht="17.399999999999999" x14ac:dyDescent="0.3">
      <c r="A652" s="21" t="s">
        <v>530</v>
      </c>
      <c r="B652" s="22" t="s">
        <v>3720</v>
      </c>
      <c r="C652" s="23" t="s">
        <v>3516</v>
      </c>
      <c r="D652" s="22" t="s">
        <v>3545</v>
      </c>
      <c r="E652" s="24">
        <v>45049</v>
      </c>
      <c r="F652" s="24">
        <v>45074</v>
      </c>
      <c r="G652" s="22" t="s">
        <v>11</v>
      </c>
      <c r="H652" s="25">
        <v>60040</v>
      </c>
      <c r="I652" s="25">
        <v>1994</v>
      </c>
      <c r="J652" s="26">
        <v>1752.66</v>
      </c>
      <c r="K652" s="25">
        <v>288</v>
      </c>
      <c r="L652" s="21" t="s">
        <v>17</v>
      </c>
      <c r="M652" s="22" t="s">
        <v>11</v>
      </c>
      <c r="N652" s="27">
        <f t="shared" si="80"/>
        <v>25</v>
      </c>
      <c r="O652" s="28">
        <f t="shared" si="81"/>
        <v>3.3211192538307795E-2</v>
      </c>
      <c r="P652" s="28">
        <f t="shared" si="82"/>
        <v>0.14443329989969911</v>
      </c>
      <c r="Q652" s="26">
        <f t="shared" si="83"/>
        <v>0.87896690070210637</v>
      </c>
      <c r="R652" s="29">
        <f t="shared" si="84"/>
        <v>6.0856250000000003</v>
      </c>
      <c r="S652" s="30">
        <f t="shared" si="85"/>
        <v>5</v>
      </c>
      <c r="T652" s="30">
        <f t="shared" si="86"/>
        <v>2023</v>
      </c>
      <c r="U652" s="29" t="str">
        <f t="shared" si="87"/>
        <v>May</v>
      </c>
    </row>
    <row r="653" spans="1:21" ht="17.399999999999999" x14ac:dyDescent="0.3">
      <c r="A653" s="21" t="s">
        <v>972</v>
      </c>
      <c r="B653" s="21" t="s">
        <v>973</v>
      </c>
      <c r="C653" s="23" t="s">
        <v>3515</v>
      </c>
      <c r="D653" s="21" t="s">
        <v>3521</v>
      </c>
      <c r="E653" s="24">
        <v>45049</v>
      </c>
      <c r="F653" s="24">
        <v>45079</v>
      </c>
      <c r="G653" s="22" t="s">
        <v>14</v>
      </c>
      <c r="H653" s="25">
        <v>92680</v>
      </c>
      <c r="I653" s="25">
        <v>1326</v>
      </c>
      <c r="J653" s="26">
        <v>1732.65</v>
      </c>
      <c r="K653" s="25">
        <v>261</v>
      </c>
      <c r="L653" s="21" t="s">
        <v>17</v>
      </c>
      <c r="M653" s="22" t="s">
        <v>3537</v>
      </c>
      <c r="N653" s="27">
        <f t="shared" si="80"/>
        <v>30</v>
      </c>
      <c r="O653" s="28">
        <f t="shared" si="81"/>
        <v>1.430729391454467E-2</v>
      </c>
      <c r="P653" s="28">
        <f t="shared" si="82"/>
        <v>0.19683257918552036</v>
      </c>
      <c r="Q653" s="26">
        <f t="shared" si="83"/>
        <v>1.3066742081447964</v>
      </c>
      <c r="R653" s="29">
        <f t="shared" si="84"/>
        <v>6.6385057471264375</v>
      </c>
      <c r="S653" s="30">
        <f t="shared" si="85"/>
        <v>5</v>
      </c>
      <c r="T653" s="30">
        <f t="shared" si="86"/>
        <v>2023</v>
      </c>
      <c r="U653" s="29" t="str">
        <f t="shared" si="87"/>
        <v>May</v>
      </c>
    </row>
    <row r="654" spans="1:21" ht="17.399999999999999" x14ac:dyDescent="0.3">
      <c r="A654" s="21" t="s">
        <v>1398</v>
      </c>
      <c r="B654" s="21" t="s">
        <v>1399</v>
      </c>
      <c r="C654" s="23" t="s">
        <v>3519</v>
      </c>
      <c r="D654" s="21" t="s">
        <v>3517</v>
      </c>
      <c r="E654" s="24">
        <v>45050</v>
      </c>
      <c r="F654" s="24">
        <v>45058</v>
      </c>
      <c r="G654" s="22" t="s">
        <v>3535</v>
      </c>
      <c r="H654" s="25">
        <v>28712</v>
      </c>
      <c r="I654" s="25">
        <v>481</v>
      </c>
      <c r="J654" s="26">
        <v>667.64</v>
      </c>
      <c r="K654" s="25">
        <v>32</v>
      </c>
      <c r="L654" s="21" t="s">
        <v>21</v>
      </c>
      <c r="M654" s="22" t="s">
        <v>3535</v>
      </c>
      <c r="N654" s="27">
        <f t="shared" si="80"/>
        <v>8</v>
      </c>
      <c r="O654" s="28">
        <f t="shared" si="81"/>
        <v>1.6752577319587628E-2</v>
      </c>
      <c r="P654" s="28">
        <f t="shared" si="82"/>
        <v>6.6528066528066532E-2</v>
      </c>
      <c r="Q654" s="26">
        <f t="shared" si="83"/>
        <v>1.388024948024948</v>
      </c>
      <c r="R654" s="29">
        <f t="shared" si="84"/>
        <v>20.86375</v>
      </c>
      <c r="S654" s="30">
        <f t="shared" si="85"/>
        <v>5</v>
      </c>
      <c r="T654" s="30">
        <f t="shared" si="86"/>
        <v>2023</v>
      </c>
      <c r="U654" s="29" t="str">
        <f t="shared" si="87"/>
        <v>May</v>
      </c>
    </row>
    <row r="655" spans="1:21" ht="17.399999999999999" x14ac:dyDescent="0.3">
      <c r="A655" s="21" t="s">
        <v>2813</v>
      </c>
      <c r="B655" s="21" t="s">
        <v>2814</v>
      </c>
      <c r="C655" s="23" t="s">
        <v>3519</v>
      </c>
      <c r="D655" s="21" t="s">
        <v>3520</v>
      </c>
      <c r="E655" s="24">
        <v>45050</v>
      </c>
      <c r="F655" s="24">
        <v>45078</v>
      </c>
      <c r="G655" s="22" t="s">
        <v>31</v>
      </c>
      <c r="H655" s="25">
        <v>51072</v>
      </c>
      <c r="I655" s="25">
        <v>2552</v>
      </c>
      <c r="J655" s="26">
        <v>3186.93</v>
      </c>
      <c r="K655" s="25">
        <v>378</v>
      </c>
      <c r="L655" s="21" t="s">
        <v>21</v>
      </c>
      <c r="M655" s="22" t="s">
        <v>31</v>
      </c>
      <c r="N655" s="27">
        <f t="shared" si="80"/>
        <v>28</v>
      </c>
      <c r="O655" s="28">
        <f t="shared" si="81"/>
        <v>4.9968671679197996E-2</v>
      </c>
      <c r="P655" s="28">
        <f t="shared" si="82"/>
        <v>0.14811912225705329</v>
      </c>
      <c r="Q655" s="26">
        <f t="shared" si="83"/>
        <v>1.2487970219435736</v>
      </c>
      <c r="R655" s="29">
        <f t="shared" si="84"/>
        <v>8.4310317460317457</v>
      </c>
      <c r="S655" s="30">
        <f t="shared" si="85"/>
        <v>5</v>
      </c>
      <c r="T655" s="30">
        <f t="shared" si="86"/>
        <v>2023</v>
      </c>
      <c r="U655" s="29" t="str">
        <f t="shared" si="87"/>
        <v>May</v>
      </c>
    </row>
    <row r="656" spans="1:21" ht="17.399999999999999" x14ac:dyDescent="0.3">
      <c r="A656" s="21" t="s">
        <v>2206</v>
      </c>
      <c r="B656" s="21" t="s">
        <v>2207</v>
      </c>
      <c r="C656" s="23" t="s">
        <v>3518</v>
      </c>
      <c r="D656" s="21" t="s">
        <v>3520</v>
      </c>
      <c r="E656" s="24">
        <v>45050</v>
      </c>
      <c r="F656" s="24">
        <v>45057</v>
      </c>
      <c r="G656" s="22" t="s">
        <v>31</v>
      </c>
      <c r="H656" s="25">
        <v>46765</v>
      </c>
      <c r="I656" s="25">
        <v>877</v>
      </c>
      <c r="J656" s="26">
        <v>1333.67</v>
      </c>
      <c r="K656" s="25">
        <v>152</v>
      </c>
      <c r="L656" s="21" t="s">
        <v>17</v>
      </c>
      <c r="M656" s="22" t="s">
        <v>31</v>
      </c>
      <c r="N656" s="27">
        <f t="shared" si="80"/>
        <v>7</v>
      </c>
      <c r="O656" s="28">
        <f t="shared" si="81"/>
        <v>1.8753341173954882E-2</v>
      </c>
      <c r="P656" s="28">
        <f t="shared" si="82"/>
        <v>0.1733181299885975</v>
      </c>
      <c r="Q656" s="26">
        <f t="shared" si="83"/>
        <v>1.5207183580387686</v>
      </c>
      <c r="R656" s="29">
        <f t="shared" si="84"/>
        <v>8.7741447368421053</v>
      </c>
      <c r="S656" s="30">
        <f t="shared" si="85"/>
        <v>5</v>
      </c>
      <c r="T656" s="30">
        <f t="shared" si="86"/>
        <v>2023</v>
      </c>
      <c r="U656" s="29" t="str">
        <f t="shared" si="87"/>
        <v>May</v>
      </c>
    </row>
    <row r="657" spans="1:21" ht="17.399999999999999" x14ac:dyDescent="0.3">
      <c r="A657" s="21" t="s">
        <v>980</v>
      </c>
      <c r="B657" s="21" t="s">
        <v>981</v>
      </c>
      <c r="C657" s="23" t="s">
        <v>3515</v>
      </c>
      <c r="D657" s="21" t="s">
        <v>3521</v>
      </c>
      <c r="E657" s="24">
        <v>45050</v>
      </c>
      <c r="F657" s="24">
        <v>45074</v>
      </c>
      <c r="G657" s="22" t="s">
        <v>16</v>
      </c>
      <c r="H657" s="25">
        <v>39304</v>
      </c>
      <c r="I657" s="25">
        <v>629</v>
      </c>
      <c r="J657" s="26">
        <v>342.01</v>
      </c>
      <c r="K657" s="25">
        <v>37</v>
      </c>
      <c r="L657" s="21" t="s">
        <v>17</v>
      </c>
      <c r="M657" s="22" t="s">
        <v>16</v>
      </c>
      <c r="N657" s="27">
        <f t="shared" si="80"/>
        <v>24</v>
      </c>
      <c r="O657" s="28">
        <f t="shared" si="81"/>
        <v>1.6003460207612456E-2</v>
      </c>
      <c r="P657" s="28">
        <f t="shared" si="82"/>
        <v>5.8823529411764705E-2</v>
      </c>
      <c r="Q657" s="26">
        <f t="shared" si="83"/>
        <v>0.54373608903020665</v>
      </c>
      <c r="R657" s="29">
        <f t="shared" si="84"/>
        <v>9.2435135135135127</v>
      </c>
      <c r="S657" s="30">
        <f t="shared" si="85"/>
        <v>5</v>
      </c>
      <c r="T657" s="30">
        <f t="shared" si="86"/>
        <v>2023</v>
      </c>
      <c r="U657" s="29" t="str">
        <f t="shared" si="87"/>
        <v>May</v>
      </c>
    </row>
    <row r="658" spans="1:21" ht="17.399999999999999" x14ac:dyDescent="0.3">
      <c r="A658" s="21" t="s">
        <v>994</v>
      </c>
      <c r="B658" s="21" t="s">
        <v>995</v>
      </c>
      <c r="C658" s="23" t="s">
        <v>3515</v>
      </c>
      <c r="D658" s="21" t="s">
        <v>3521</v>
      </c>
      <c r="E658" s="24">
        <v>45050</v>
      </c>
      <c r="F658" s="24">
        <v>45056</v>
      </c>
      <c r="G658" s="22" t="s">
        <v>24</v>
      </c>
      <c r="H658" s="25">
        <v>13161</v>
      </c>
      <c r="I658" s="25">
        <v>180</v>
      </c>
      <c r="J658" s="26">
        <v>351.54</v>
      </c>
      <c r="K658" s="25">
        <v>10</v>
      </c>
      <c r="L658" s="21" t="s">
        <v>21</v>
      </c>
      <c r="M658" s="22" t="s">
        <v>3536</v>
      </c>
      <c r="N658" s="27">
        <f t="shared" si="80"/>
        <v>6</v>
      </c>
      <c r="O658" s="28">
        <f t="shared" si="81"/>
        <v>1.3676772281741509E-2</v>
      </c>
      <c r="P658" s="28">
        <f t="shared" si="82"/>
        <v>5.5555555555555552E-2</v>
      </c>
      <c r="Q658" s="26">
        <f t="shared" si="83"/>
        <v>1.9530000000000001</v>
      </c>
      <c r="R658" s="29">
        <f t="shared" si="84"/>
        <v>35.154000000000003</v>
      </c>
      <c r="S658" s="30">
        <f t="shared" si="85"/>
        <v>5</v>
      </c>
      <c r="T658" s="30">
        <f t="shared" si="86"/>
        <v>2023</v>
      </c>
      <c r="U658" s="29" t="str">
        <f t="shared" si="87"/>
        <v>May</v>
      </c>
    </row>
    <row r="659" spans="1:21" ht="17.399999999999999" x14ac:dyDescent="0.3">
      <c r="A659" s="21" t="s">
        <v>384</v>
      </c>
      <c r="B659" s="21" t="s">
        <v>385</v>
      </c>
      <c r="C659" s="23" t="s">
        <v>3518</v>
      </c>
      <c r="D659" s="21" t="s">
        <v>3520</v>
      </c>
      <c r="E659" s="24">
        <v>45051</v>
      </c>
      <c r="F659" s="24">
        <v>45072</v>
      </c>
      <c r="G659" s="22" t="s">
        <v>24</v>
      </c>
      <c r="H659" s="25">
        <v>90474</v>
      </c>
      <c r="I659" s="25">
        <v>4014</v>
      </c>
      <c r="J659" s="26">
        <v>4136.6099999999997</v>
      </c>
      <c r="K659" s="25">
        <v>516</v>
      </c>
      <c r="L659" s="21" t="s">
        <v>21</v>
      </c>
      <c r="M659" s="22" t="s">
        <v>3536</v>
      </c>
      <c r="N659" s="27">
        <f t="shared" si="80"/>
        <v>21</v>
      </c>
      <c r="O659" s="28">
        <f t="shared" si="81"/>
        <v>4.4366337290271236E-2</v>
      </c>
      <c r="P659" s="28">
        <f t="shared" si="82"/>
        <v>0.12855007473841554</v>
      </c>
      <c r="Q659" s="26">
        <f t="shared" si="83"/>
        <v>1.0305455904334828</v>
      </c>
      <c r="R659" s="29">
        <f t="shared" si="84"/>
        <v>8.0166860465116265</v>
      </c>
      <c r="S659" s="30">
        <f t="shared" si="85"/>
        <v>5</v>
      </c>
      <c r="T659" s="30">
        <f t="shared" si="86"/>
        <v>2023</v>
      </c>
      <c r="U659" s="29" t="str">
        <f t="shared" si="87"/>
        <v>May</v>
      </c>
    </row>
    <row r="660" spans="1:21" ht="17.399999999999999" x14ac:dyDescent="0.3">
      <c r="A660" s="21" t="s">
        <v>1421</v>
      </c>
      <c r="B660" s="22" t="s">
        <v>3721</v>
      </c>
      <c r="C660" s="23" t="s">
        <v>3515</v>
      </c>
      <c r="D660" s="22" t="s">
        <v>3545</v>
      </c>
      <c r="E660" s="24">
        <v>45051</v>
      </c>
      <c r="F660" s="24">
        <v>45052</v>
      </c>
      <c r="G660" s="22" t="s">
        <v>11</v>
      </c>
      <c r="H660" s="25">
        <v>76880</v>
      </c>
      <c r="I660" s="25">
        <v>1751</v>
      </c>
      <c r="J660" s="26">
        <v>2936.7</v>
      </c>
      <c r="K660" s="25">
        <v>116</v>
      </c>
      <c r="L660" s="21" t="s">
        <v>21</v>
      </c>
      <c r="M660" s="22" t="s">
        <v>11</v>
      </c>
      <c r="N660" s="27">
        <f t="shared" si="80"/>
        <v>1</v>
      </c>
      <c r="O660" s="28">
        <f t="shared" si="81"/>
        <v>2.2775754422476587E-2</v>
      </c>
      <c r="P660" s="28">
        <f t="shared" si="82"/>
        <v>6.6247858366647636E-2</v>
      </c>
      <c r="Q660" s="26">
        <f t="shared" si="83"/>
        <v>1.6771559109080525</v>
      </c>
      <c r="R660" s="29">
        <f t="shared" si="84"/>
        <v>25.316379310344825</v>
      </c>
      <c r="S660" s="30">
        <f t="shared" si="85"/>
        <v>5</v>
      </c>
      <c r="T660" s="30">
        <f t="shared" si="86"/>
        <v>2023</v>
      </c>
      <c r="U660" s="29" t="str">
        <f t="shared" si="87"/>
        <v>May</v>
      </c>
    </row>
    <row r="661" spans="1:21" ht="17.399999999999999" x14ac:dyDescent="0.3">
      <c r="A661" s="21" t="s">
        <v>3153</v>
      </c>
      <c r="B661" s="22" t="s">
        <v>3722</v>
      </c>
      <c r="C661" s="23" t="s">
        <v>3515</v>
      </c>
      <c r="D661" s="22" t="s">
        <v>3545</v>
      </c>
      <c r="E661" s="24">
        <v>45051</v>
      </c>
      <c r="F661" s="24">
        <v>45071</v>
      </c>
      <c r="G661" s="22" t="s">
        <v>11</v>
      </c>
      <c r="H661" s="25">
        <v>77919</v>
      </c>
      <c r="I661" s="25">
        <v>1885</v>
      </c>
      <c r="J661" s="26">
        <v>1262.8499999999999</v>
      </c>
      <c r="K661" s="25">
        <v>316</v>
      </c>
      <c r="L661" s="21" t="s">
        <v>21</v>
      </c>
      <c r="M661" s="22" t="s">
        <v>11</v>
      </c>
      <c r="N661" s="27">
        <f t="shared" si="80"/>
        <v>20</v>
      </c>
      <c r="O661" s="28">
        <f t="shared" si="81"/>
        <v>2.4191788908995239E-2</v>
      </c>
      <c r="P661" s="28">
        <f t="shared" si="82"/>
        <v>0.16763925729442972</v>
      </c>
      <c r="Q661" s="26">
        <f t="shared" si="83"/>
        <v>0.66994694960212198</v>
      </c>
      <c r="R661" s="29">
        <f t="shared" si="84"/>
        <v>3.9963607594936708</v>
      </c>
      <c r="S661" s="30">
        <f t="shared" si="85"/>
        <v>5</v>
      </c>
      <c r="T661" s="30">
        <f t="shared" si="86"/>
        <v>2023</v>
      </c>
      <c r="U661" s="29" t="str">
        <f t="shared" si="87"/>
        <v>May</v>
      </c>
    </row>
    <row r="662" spans="1:21" ht="17.399999999999999" x14ac:dyDescent="0.3">
      <c r="A662" s="21" t="s">
        <v>12</v>
      </c>
      <c r="B662" s="21" t="s">
        <v>13</v>
      </c>
      <c r="C662" s="23" t="s">
        <v>3519</v>
      </c>
      <c r="D662" s="21" t="s">
        <v>3520</v>
      </c>
      <c r="E662" s="24">
        <v>45052</v>
      </c>
      <c r="F662" s="24">
        <v>45058</v>
      </c>
      <c r="G662" s="22" t="s">
        <v>14</v>
      </c>
      <c r="H662" s="25">
        <v>1860</v>
      </c>
      <c r="I662" s="25">
        <v>30</v>
      </c>
      <c r="J662" s="26">
        <v>24.33</v>
      </c>
      <c r="K662" s="25">
        <v>1</v>
      </c>
      <c r="L662" s="21" t="s">
        <v>17</v>
      </c>
      <c r="M662" s="22" t="s">
        <v>3537</v>
      </c>
      <c r="N662" s="27">
        <f t="shared" si="80"/>
        <v>6</v>
      </c>
      <c r="O662" s="28">
        <f t="shared" si="81"/>
        <v>1.6129032258064516E-2</v>
      </c>
      <c r="P662" s="28">
        <f t="shared" si="82"/>
        <v>3.3333333333333333E-2</v>
      </c>
      <c r="Q662" s="26">
        <f t="shared" si="83"/>
        <v>0.81099999999999994</v>
      </c>
      <c r="R662" s="29">
        <f t="shared" si="84"/>
        <v>24.33</v>
      </c>
      <c r="S662" s="30">
        <f t="shared" si="85"/>
        <v>5</v>
      </c>
      <c r="T662" s="30">
        <f t="shared" si="86"/>
        <v>2023</v>
      </c>
      <c r="U662" s="29" t="str">
        <f t="shared" si="87"/>
        <v>May</v>
      </c>
    </row>
    <row r="663" spans="1:21" ht="17.399999999999999" x14ac:dyDescent="0.3">
      <c r="A663" s="21" t="s">
        <v>188</v>
      </c>
      <c r="B663" s="21" t="s">
        <v>189</v>
      </c>
      <c r="C663" s="23" t="s">
        <v>3516</v>
      </c>
      <c r="D663" s="21" t="s">
        <v>3517</v>
      </c>
      <c r="E663" s="24">
        <v>45052</v>
      </c>
      <c r="F663" s="24">
        <v>45059</v>
      </c>
      <c r="G663" s="22" t="s">
        <v>31</v>
      </c>
      <c r="H663" s="25">
        <v>68563</v>
      </c>
      <c r="I663" s="25">
        <v>2276</v>
      </c>
      <c r="J663" s="26">
        <v>2471.4899999999998</v>
      </c>
      <c r="K663" s="25">
        <v>403</v>
      </c>
      <c r="L663" s="21" t="s">
        <v>21</v>
      </c>
      <c r="M663" s="22" t="s">
        <v>31</v>
      </c>
      <c r="N663" s="27">
        <f t="shared" si="80"/>
        <v>7</v>
      </c>
      <c r="O663" s="28">
        <f t="shared" si="81"/>
        <v>3.3195746977232619E-2</v>
      </c>
      <c r="P663" s="28">
        <f t="shared" si="82"/>
        <v>0.17706502636203866</v>
      </c>
      <c r="Q663" s="26">
        <f t="shared" si="83"/>
        <v>1.0858919156414761</v>
      </c>
      <c r="R663" s="29">
        <f t="shared" si="84"/>
        <v>6.1327295285359797</v>
      </c>
      <c r="S663" s="30">
        <f t="shared" si="85"/>
        <v>5</v>
      </c>
      <c r="T663" s="30">
        <f t="shared" si="86"/>
        <v>2023</v>
      </c>
      <c r="U663" s="29" t="str">
        <f t="shared" si="87"/>
        <v>May</v>
      </c>
    </row>
    <row r="664" spans="1:21" ht="17.399999999999999" x14ac:dyDescent="0.3">
      <c r="A664" s="21" t="s">
        <v>3270</v>
      </c>
      <c r="B664" s="22" t="s">
        <v>3723</v>
      </c>
      <c r="C664" s="23" t="s">
        <v>3516</v>
      </c>
      <c r="D664" s="22" t="s">
        <v>3545</v>
      </c>
      <c r="E664" s="24">
        <v>45052</v>
      </c>
      <c r="F664" s="24">
        <v>45063</v>
      </c>
      <c r="G664" s="22" t="s">
        <v>3535</v>
      </c>
      <c r="H664" s="25">
        <v>6776</v>
      </c>
      <c r="I664" s="25">
        <v>239</v>
      </c>
      <c r="J664" s="26">
        <v>477.11</v>
      </c>
      <c r="K664" s="25">
        <v>0</v>
      </c>
      <c r="L664" s="21" t="s">
        <v>21</v>
      </c>
      <c r="M664" s="22" t="s">
        <v>3535</v>
      </c>
      <c r="N664" s="27">
        <f t="shared" si="80"/>
        <v>11</v>
      </c>
      <c r="O664" s="28">
        <f t="shared" si="81"/>
        <v>3.5271546635182997E-2</v>
      </c>
      <c r="P664" s="28">
        <f t="shared" si="82"/>
        <v>0</v>
      </c>
      <c r="Q664" s="26">
        <f t="shared" si="83"/>
        <v>1.9962761506276152</v>
      </c>
      <c r="R664" s="29" t="str">
        <f t="shared" si="84"/>
        <v>0</v>
      </c>
      <c r="S664" s="30">
        <f t="shared" si="85"/>
        <v>5</v>
      </c>
      <c r="T664" s="30">
        <f t="shared" si="86"/>
        <v>2023</v>
      </c>
      <c r="U664" s="29" t="str">
        <f t="shared" si="87"/>
        <v>May</v>
      </c>
    </row>
    <row r="665" spans="1:21" ht="17.399999999999999" x14ac:dyDescent="0.3">
      <c r="A665" s="21" t="s">
        <v>1373</v>
      </c>
      <c r="B665" s="21" t="s">
        <v>1374</v>
      </c>
      <c r="C665" s="23" t="s">
        <v>3515</v>
      </c>
      <c r="D665" s="21" t="s">
        <v>3520</v>
      </c>
      <c r="E665" s="24">
        <v>45052</v>
      </c>
      <c r="F665" s="24">
        <v>45059</v>
      </c>
      <c r="G665" s="22" t="s">
        <v>14</v>
      </c>
      <c r="H665" s="25">
        <v>57178</v>
      </c>
      <c r="I665" s="25">
        <v>1387</v>
      </c>
      <c r="J665" s="26">
        <v>956.45</v>
      </c>
      <c r="K665" s="25">
        <v>0</v>
      </c>
      <c r="L665" s="21" t="s">
        <v>21</v>
      </c>
      <c r="M665" s="22" t="s">
        <v>3537</v>
      </c>
      <c r="N665" s="27">
        <f t="shared" si="80"/>
        <v>7</v>
      </c>
      <c r="O665" s="28">
        <f t="shared" si="81"/>
        <v>2.4257581587323798E-2</v>
      </c>
      <c r="P665" s="28">
        <f t="shared" si="82"/>
        <v>0</v>
      </c>
      <c r="Q665" s="26">
        <f t="shared" si="83"/>
        <v>0.68958183129055517</v>
      </c>
      <c r="R665" s="29" t="str">
        <f t="shared" si="84"/>
        <v>0</v>
      </c>
      <c r="S665" s="30">
        <f t="shared" si="85"/>
        <v>5</v>
      </c>
      <c r="T665" s="30">
        <f t="shared" si="86"/>
        <v>2023</v>
      </c>
      <c r="U665" s="29" t="str">
        <f t="shared" si="87"/>
        <v>May</v>
      </c>
    </row>
    <row r="666" spans="1:21" ht="17.399999999999999" x14ac:dyDescent="0.3">
      <c r="A666" s="21" t="s">
        <v>1881</v>
      </c>
      <c r="B666" s="21" t="s">
        <v>1882</v>
      </c>
      <c r="C666" s="23" t="s">
        <v>3515</v>
      </c>
      <c r="D666" s="21" t="s">
        <v>3520</v>
      </c>
      <c r="E666" s="24">
        <v>45052</v>
      </c>
      <c r="F666" s="24">
        <v>45071</v>
      </c>
      <c r="G666" s="22" t="s">
        <v>31</v>
      </c>
      <c r="H666" s="25">
        <v>40809</v>
      </c>
      <c r="I666" s="25">
        <v>1012</v>
      </c>
      <c r="J666" s="26">
        <v>678.35</v>
      </c>
      <c r="K666" s="25">
        <v>201</v>
      </c>
      <c r="L666" s="21" t="s">
        <v>17</v>
      </c>
      <c r="M666" s="22" t="s">
        <v>31</v>
      </c>
      <c r="N666" s="27">
        <f t="shared" si="80"/>
        <v>19</v>
      </c>
      <c r="O666" s="28">
        <f t="shared" si="81"/>
        <v>2.4798451322012301E-2</v>
      </c>
      <c r="P666" s="28">
        <f t="shared" si="82"/>
        <v>0.19861660079051383</v>
      </c>
      <c r="Q666" s="26">
        <f t="shared" si="83"/>
        <v>0.67030632411067192</v>
      </c>
      <c r="R666" s="29">
        <f t="shared" si="84"/>
        <v>3.3748756218905474</v>
      </c>
      <c r="S666" s="30">
        <f t="shared" si="85"/>
        <v>5</v>
      </c>
      <c r="T666" s="30">
        <f t="shared" si="86"/>
        <v>2023</v>
      </c>
      <c r="U666" s="29" t="str">
        <f t="shared" si="87"/>
        <v>May</v>
      </c>
    </row>
    <row r="667" spans="1:21" ht="17.399999999999999" x14ac:dyDescent="0.3">
      <c r="A667" s="21" t="s">
        <v>3096</v>
      </c>
      <c r="B667" s="21" t="s">
        <v>3097</v>
      </c>
      <c r="C667" s="23" t="s">
        <v>3516</v>
      </c>
      <c r="D667" s="21" t="s">
        <v>3521</v>
      </c>
      <c r="E667" s="24">
        <v>45052</v>
      </c>
      <c r="F667" s="24">
        <v>45057</v>
      </c>
      <c r="G667" s="22" t="s">
        <v>16</v>
      </c>
      <c r="H667" s="25">
        <v>76418</v>
      </c>
      <c r="I667" s="25">
        <v>1942</v>
      </c>
      <c r="J667" s="26">
        <v>3829.18</v>
      </c>
      <c r="K667" s="25">
        <v>179</v>
      </c>
      <c r="L667" s="21" t="s">
        <v>21</v>
      </c>
      <c r="M667" s="22" t="s">
        <v>16</v>
      </c>
      <c r="N667" s="27">
        <f t="shared" si="80"/>
        <v>5</v>
      </c>
      <c r="O667" s="28">
        <f t="shared" si="81"/>
        <v>2.5412860844303699E-2</v>
      </c>
      <c r="P667" s="28">
        <f t="shared" si="82"/>
        <v>9.2173017507723998E-2</v>
      </c>
      <c r="Q667" s="26">
        <f t="shared" si="83"/>
        <v>1.9717713697219361</v>
      </c>
      <c r="R667" s="29">
        <f t="shared" si="84"/>
        <v>21.392067039106145</v>
      </c>
      <c r="S667" s="30">
        <f t="shared" si="85"/>
        <v>5</v>
      </c>
      <c r="T667" s="30">
        <f t="shared" si="86"/>
        <v>2023</v>
      </c>
      <c r="U667" s="29" t="str">
        <f t="shared" si="87"/>
        <v>May</v>
      </c>
    </row>
    <row r="668" spans="1:21" ht="17.399999999999999" x14ac:dyDescent="0.3">
      <c r="A668" s="21" t="s">
        <v>1361</v>
      </c>
      <c r="B668" s="21" t="s">
        <v>1362</v>
      </c>
      <c r="C668" s="23" t="s">
        <v>3519</v>
      </c>
      <c r="D668" s="21" t="s">
        <v>3517</v>
      </c>
      <c r="E668" s="24">
        <v>45053</v>
      </c>
      <c r="F668" s="24">
        <v>45074</v>
      </c>
      <c r="G668" s="22" t="s">
        <v>3535</v>
      </c>
      <c r="H668" s="25">
        <v>36547</v>
      </c>
      <c r="I668" s="25">
        <v>1025</v>
      </c>
      <c r="J668" s="26">
        <v>700.09</v>
      </c>
      <c r="K668" s="25">
        <v>0</v>
      </c>
      <c r="L668" s="21" t="s">
        <v>21</v>
      </c>
      <c r="M668" s="22" t="s">
        <v>3535</v>
      </c>
      <c r="N668" s="27">
        <f t="shared" si="80"/>
        <v>21</v>
      </c>
      <c r="O668" s="28">
        <f t="shared" si="81"/>
        <v>2.8046077653432568E-2</v>
      </c>
      <c r="P668" s="28">
        <f t="shared" si="82"/>
        <v>0</v>
      </c>
      <c r="Q668" s="26">
        <f t="shared" si="83"/>
        <v>0.68301463414634145</v>
      </c>
      <c r="R668" s="29" t="str">
        <f t="shared" si="84"/>
        <v>0</v>
      </c>
      <c r="S668" s="30">
        <f t="shared" si="85"/>
        <v>5</v>
      </c>
      <c r="T668" s="30">
        <f t="shared" si="86"/>
        <v>2023</v>
      </c>
      <c r="U668" s="29" t="str">
        <f t="shared" si="87"/>
        <v>May</v>
      </c>
    </row>
    <row r="669" spans="1:21" ht="17.399999999999999" x14ac:dyDescent="0.3">
      <c r="A669" s="21" t="s">
        <v>1713</v>
      </c>
      <c r="B669" s="21" t="s">
        <v>1714</v>
      </c>
      <c r="C669" s="23" t="s">
        <v>3519</v>
      </c>
      <c r="D669" s="21" t="s">
        <v>3517</v>
      </c>
      <c r="E669" s="24">
        <v>45053</v>
      </c>
      <c r="F669" s="24">
        <v>45076</v>
      </c>
      <c r="G669" s="22" t="s">
        <v>24</v>
      </c>
      <c r="H669" s="25">
        <v>39518</v>
      </c>
      <c r="I669" s="25">
        <v>1144</v>
      </c>
      <c r="J669" s="26">
        <v>1736.12</v>
      </c>
      <c r="K669" s="25">
        <v>222</v>
      </c>
      <c r="L669" s="21" t="s">
        <v>17</v>
      </c>
      <c r="M669" s="22" t="s">
        <v>3536</v>
      </c>
      <c r="N669" s="27">
        <f t="shared" si="80"/>
        <v>23</v>
      </c>
      <c r="O669" s="28">
        <f t="shared" si="81"/>
        <v>2.8948833442988004E-2</v>
      </c>
      <c r="P669" s="28">
        <f t="shared" si="82"/>
        <v>0.19405594405594406</v>
      </c>
      <c r="Q669" s="26">
        <f t="shared" si="83"/>
        <v>1.5175874125874125</v>
      </c>
      <c r="R669" s="29">
        <f t="shared" si="84"/>
        <v>7.8203603603603602</v>
      </c>
      <c r="S669" s="30">
        <f t="shared" si="85"/>
        <v>5</v>
      </c>
      <c r="T669" s="30">
        <f t="shared" si="86"/>
        <v>2023</v>
      </c>
      <c r="U669" s="29" t="str">
        <f t="shared" si="87"/>
        <v>May</v>
      </c>
    </row>
    <row r="670" spans="1:21" ht="17.399999999999999" x14ac:dyDescent="0.3">
      <c r="A670" s="21" t="s">
        <v>68</v>
      </c>
      <c r="B670" s="21" t="s">
        <v>69</v>
      </c>
      <c r="C670" s="23" t="s">
        <v>3518</v>
      </c>
      <c r="D670" s="21" t="s">
        <v>3521</v>
      </c>
      <c r="E670" s="24">
        <v>45053</v>
      </c>
      <c r="F670" s="24">
        <v>45075</v>
      </c>
      <c r="G670" s="22" t="s">
        <v>24</v>
      </c>
      <c r="H670" s="25">
        <v>66725</v>
      </c>
      <c r="I670" s="25">
        <v>1424</v>
      </c>
      <c r="J670" s="26">
        <v>2759.35</v>
      </c>
      <c r="K670" s="25">
        <v>251</v>
      </c>
      <c r="L670" s="21" t="s">
        <v>21</v>
      </c>
      <c r="M670" s="22" t="s">
        <v>3536</v>
      </c>
      <c r="N670" s="27">
        <f t="shared" si="80"/>
        <v>22</v>
      </c>
      <c r="O670" s="28">
        <f t="shared" si="81"/>
        <v>2.134132633945298E-2</v>
      </c>
      <c r="P670" s="28">
        <f t="shared" si="82"/>
        <v>0.17626404494382023</v>
      </c>
      <c r="Q670" s="26">
        <f t="shared" si="83"/>
        <v>1.9377457865168539</v>
      </c>
      <c r="R670" s="29">
        <f t="shared" si="84"/>
        <v>10.993426294820717</v>
      </c>
      <c r="S670" s="30">
        <f t="shared" si="85"/>
        <v>5</v>
      </c>
      <c r="T670" s="30">
        <f t="shared" si="86"/>
        <v>2023</v>
      </c>
      <c r="U670" s="29" t="str">
        <f t="shared" si="87"/>
        <v>May</v>
      </c>
    </row>
    <row r="671" spans="1:21" ht="17.399999999999999" x14ac:dyDescent="0.3">
      <c r="A671" s="21" t="s">
        <v>1687</v>
      </c>
      <c r="B671" s="21" t="s">
        <v>1688</v>
      </c>
      <c r="C671" s="23" t="s">
        <v>3516</v>
      </c>
      <c r="D671" s="21" t="s">
        <v>3520</v>
      </c>
      <c r="E671" s="24">
        <v>45053</v>
      </c>
      <c r="F671" s="24">
        <v>45082</v>
      </c>
      <c r="G671" s="22" t="s">
        <v>31</v>
      </c>
      <c r="H671" s="25">
        <v>5621</v>
      </c>
      <c r="I671" s="25">
        <v>277</v>
      </c>
      <c r="J671" s="26">
        <v>499.22</v>
      </c>
      <c r="K671" s="25">
        <v>39</v>
      </c>
      <c r="L671" s="21" t="s">
        <v>21</v>
      </c>
      <c r="M671" s="22" t="s">
        <v>31</v>
      </c>
      <c r="N671" s="27">
        <f t="shared" si="80"/>
        <v>29</v>
      </c>
      <c r="O671" s="28">
        <f t="shared" si="81"/>
        <v>4.9279487635652021E-2</v>
      </c>
      <c r="P671" s="28">
        <f t="shared" si="82"/>
        <v>0.1407942238267148</v>
      </c>
      <c r="Q671" s="26">
        <f t="shared" si="83"/>
        <v>1.8022382671480146</v>
      </c>
      <c r="R671" s="29">
        <f t="shared" si="84"/>
        <v>12.800512820512822</v>
      </c>
      <c r="S671" s="30">
        <f t="shared" si="85"/>
        <v>5</v>
      </c>
      <c r="T671" s="30">
        <f t="shared" si="86"/>
        <v>2023</v>
      </c>
      <c r="U671" s="29" t="str">
        <f t="shared" si="87"/>
        <v>May</v>
      </c>
    </row>
    <row r="672" spans="1:21" ht="17.399999999999999" x14ac:dyDescent="0.3">
      <c r="A672" s="21" t="s">
        <v>223</v>
      </c>
      <c r="B672" s="22" t="s">
        <v>3724</v>
      </c>
      <c r="C672" s="23" t="s">
        <v>3519</v>
      </c>
      <c r="D672" s="22" t="s">
        <v>3545</v>
      </c>
      <c r="E672" s="24">
        <v>45054</v>
      </c>
      <c r="F672" s="24">
        <v>45083</v>
      </c>
      <c r="G672" s="22" t="s">
        <v>16</v>
      </c>
      <c r="H672" s="25">
        <v>53256</v>
      </c>
      <c r="I672" s="25">
        <v>1329</v>
      </c>
      <c r="J672" s="26">
        <v>1669.23</v>
      </c>
      <c r="K672" s="25">
        <v>241</v>
      </c>
      <c r="L672" s="21" t="s">
        <v>17</v>
      </c>
      <c r="M672" s="22" t="s">
        <v>16</v>
      </c>
      <c r="N672" s="27">
        <f t="shared" si="80"/>
        <v>29</v>
      </c>
      <c r="O672" s="28">
        <f t="shared" si="81"/>
        <v>2.4954934655250113E-2</v>
      </c>
      <c r="P672" s="28">
        <f t="shared" si="82"/>
        <v>0.18133935289691497</v>
      </c>
      <c r="Q672" s="26">
        <f t="shared" si="83"/>
        <v>1.2560045146726861</v>
      </c>
      <c r="R672" s="29">
        <f t="shared" si="84"/>
        <v>6.9262655601659748</v>
      </c>
      <c r="S672" s="30">
        <f t="shared" si="85"/>
        <v>5</v>
      </c>
      <c r="T672" s="30">
        <f t="shared" si="86"/>
        <v>2023</v>
      </c>
      <c r="U672" s="29" t="str">
        <f t="shared" si="87"/>
        <v>May</v>
      </c>
    </row>
    <row r="673" spans="1:21" ht="17.399999999999999" x14ac:dyDescent="0.3">
      <c r="A673" s="21" t="s">
        <v>1595</v>
      </c>
      <c r="B673" s="21" t="s">
        <v>1596</v>
      </c>
      <c r="C673" s="23" t="s">
        <v>3519</v>
      </c>
      <c r="D673" s="21" t="s">
        <v>3520</v>
      </c>
      <c r="E673" s="24">
        <v>45054</v>
      </c>
      <c r="F673" s="24">
        <v>45073</v>
      </c>
      <c r="G673" s="22" t="s">
        <v>24</v>
      </c>
      <c r="H673" s="25">
        <v>72774</v>
      </c>
      <c r="I673" s="25">
        <v>1494</v>
      </c>
      <c r="J673" s="26">
        <v>2936.53</v>
      </c>
      <c r="K673" s="25">
        <v>256</v>
      </c>
      <c r="L673" s="21" t="s">
        <v>17</v>
      </c>
      <c r="M673" s="22" t="s">
        <v>3536</v>
      </c>
      <c r="N673" s="27">
        <f t="shared" si="80"/>
        <v>19</v>
      </c>
      <c r="O673" s="28">
        <f t="shared" si="81"/>
        <v>2.0529309918377443E-2</v>
      </c>
      <c r="P673" s="28">
        <f t="shared" si="82"/>
        <v>0.17135207496653279</v>
      </c>
      <c r="Q673" s="26">
        <f t="shared" si="83"/>
        <v>1.9655488621151274</v>
      </c>
      <c r="R673" s="29">
        <f t="shared" si="84"/>
        <v>11.470820312500001</v>
      </c>
      <c r="S673" s="30">
        <f t="shared" si="85"/>
        <v>5</v>
      </c>
      <c r="T673" s="30">
        <f t="shared" si="86"/>
        <v>2023</v>
      </c>
      <c r="U673" s="29" t="str">
        <f t="shared" si="87"/>
        <v>May</v>
      </c>
    </row>
    <row r="674" spans="1:21" ht="17.399999999999999" x14ac:dyDescent="0.3">
      <c r="A674" s="21" t="s">
        <v>2034</v>
      </c>
      <c r="B674" s="21" t="s">
        <v>2035</v>
      </c>
      <c r="C674" s="23" t="s">
        <v>3519</v>
      </c>
      <c r="D674" s="21" t="s">
        <v>3520</v>
      </c>
      <c r="E674" s="24">
        <v>45054</v>
      </c>
      <c r="F674" s="24">
        <v>45074</v>
      </c>
      <c r="G674" s="22" t="s">
        <v>31</v>
      </c>
      <c r="H674" s="25">
        <v>45028</v>
      </c>
      <c r="I674" s="25">
        <v>1793</v>
      </c>
      <c r="J674" s="26">
        <v>2480.67</v>
      </c>
      <c r="K674" s="25">
        <v>256</v>
      </c>
      <c r="L674" s="21" t="s">
        <v>21</v>
      </c>
      <c r="M674" s="22" t="s">
        <v>31</v>
      </c>
      <c r="N674" s="27">
        <f t="shared" si="80"/>
        <v>20</v>
      </c>
      <c r="O674" s="28">
        <f t="shared" si="81"/>
        <v>3.9819667762281248E-2</v>
      </c>
      <c r="P674" s="28">
        <f t="shared" si="82"/>
        <v>0.14277746793084217</v>
      </c>
      <c r="Q674" s="26">
        <f t="shared" si="83"/>
        <v>1.3835303959843837</v>
      </c>
      <c r="R674" s="29">
        <f t="shared" si="84"/>
        <v>9.6901171875000003</v>
      </c>
      <c r="S674" s="30">
        <f t="shared" si="85"/>
        <v>5</v>
      </c>
      <c r="T674" s="30">
        <f t="shared" si="86"/>
        <v>2023</v>
      </c>
      <c r="U674" s="29" t="str">
        <f t="shared" si="87"/>
        <v>May</v>
      </c>
    </row>
    <row r="675" spans="1:21" ht="17.399999999999999" x14ac:dyDescent="0.3">
      <c r="A675" s="21" t="s">
        <v>3075</v>
      </c>
      <c r="B675" s="21" t="s">
        <v>3076</v>
      </c>
      <c r="C675" s="23" t="s">
        <v>3519</v>
      </c>
      <c r="D675" s="21" t="s">
        <v>3517</v>
      </c>
      <c r="E675" s="24">
        <v>45054</v>
      </c>
      <c r="F675" s="24">
        <v>45073</v>
      </c>
      <c r="G675" s="22" t="s">
        <v>31</v>
      </c>
      <c r="H675" s="25">
        <v>43534</v>
      </c>
      <c r="I675" s="25">
        <v>738</v>
      </c>
      <c r="J675" s="26">
        <v>567.82000000000005</v>
      </c>
      <c r="K675" s="25">
        <v>43</v>
      </c>
      <c r="L675" s="21" t="s">
        <v>21</v>
      </c>
      <c r="M675" s="22" t="s">
        <v>31</v>
      </c>
      <c r="N675" s="27">
        <f t="shared" si="80"/>
        <v>19</v>
      </c>
      <c r="O675" s="28">
        <f t="shared" si="81"/>
        <v>1.6952267193457986E-2</v>
      </c>
      <c r="P675" s="28">
        <f t="shared" si="82"/>
        <v>5.8265582655826556E-2</v>
      </c>
      <c r="Q675" s="26">
        <f t="shared" si="83"/>
        <v>0.76940379403794046</v>
      </c>
      <c r="R675" s="29">
        <f t="shared" si="84"/>
        <v>13.205116279069768</v>
      </c>
      <c r="S675" s="30">
        <f t="shared" si="85"/>
        <v>5</v>
      </c>
      <c r="T675" s="30">
        <f t="shared" si="86"/>
        <v>2023</v>
      </c>
      <c r="U675" s="29" t="str">
        <f t="shared" si="87"/>
        <v>May</v>
      </c>
    </row>
    <row r="676" spans="1:21" ht="17.399999999999999" x14ac:dyDescent="0.3">
      <c r="A676" s="21" t="s">
        <v>455</v>
      </c>
      <c r="B676" s="21" t="s">
        <v>456</v>
      </c>
      <c r="C676" s="23" t="s">
        <v>3518</v>
      </c>
      <c r="D676" s="21" t="s">
        <v>3517</v>
      </c>
      <c r="E676" s="24">
        <v>45054</v>
      </c>
      <c r="F676" s="24">
        <v>45081</v>
      </c>
      <c r="G676" s="22" t="s">
        <v>11</v>
      </c>
      <c r="H676" s="25">
        <v>35754</v>
      </c>
      <c r="I676" s="25">
        <v>1269</v>
      </c>
      <c r="J676" s="26">
        <v>1699.66</v>
      </c>
      <c r="K676" s="25">
        <v>175</v>
      </c>
      <c r="L676" s="21" t="s">
        <v>17</v>
      </c>
      <c r="M676" s="22" t="s">
        <v>11</v>
      </c>
      <c r="N676" s="27">
        <f t="shared" si="80"/>
        <v>27</v>
      </c>
      <c r="O676" s="28">
        <f t="shared" si="81"/>
        <v>3.5492532304077867E-2</v>
      </c>
      <c r="P676" s="28">
        <f t="shared" si="82"/>
        <v>0.13790386130811663</v>
      </c>
      <c r="Q676" s="26">
        <f t="shared" si="83"/>
        <v>1.3393695823483058</v>
      </c>
      <c r="R676" s="29">
        <f t="shared" si="84"/>
        <v>9.7123428571428576</v>
      </c>
      <c r="S676" s="30">
        <f t="shared" si="85"/>
        <v>5</v>
      </c>
      <c r="T676" s="30">
        <f t="shared" si="86"/>
        <v>2023</v>
      </c>
      <c r="U676" s="29" t="str">
        <f t="shared" si="87"/>
        <v>May</v>
      </c>
    </row>
    <row r="677" spans="1:21" ht="17.399999999999999" x14ac:dyDescent="0.3">
      <c r="A677" s="21" t="s">
        <v>1711</v>
      </c>
      <c r="B677" s="21" t="s">
        <v>1712</v>
      </c>
      <c r="C677" s="23" t="s">
        <v>3518</v>
      </c>
      <c r="D677" s="21" t="s">
        <v>3520</v>
      </c>
      <c r="E677" s="24">
        <v>45054</v>
      </c>
      <c r="F677" s="24">
        <v>45062</v>
      </c>
      <c r="G677" s="22" t="s">
        <v>31</v>
      </c>
      <c r="H677" s="25">
        <v>74688</v>
      </c>
      <c r="I677" s="25">
        <v>2083</v>
      </c>
      <c r="J677" s="26">
        <v>2697.39</v>
      </c>
      <c r="K677" s="25">
        <v>336</v>
      </c>
      <c r="L677" s="21" t="s">
        <v>21</v>
      </c>
      <c r="M677" s="22" t="s">
        <v>31</v>
      </c>
      <c r="N677" s="27">
        <f t="shared" si="80"/>
        <v>8</v>
      </c>
      <c r="O677" s="28">
        <f t="shared" si="81"/>
        <v>2.7889353041988002E-2</v>
      </c>
      <c r="P677" s="28">
        <f t="shared" si="82"/>
        <v>0.1613058089294287</v>
      </c>
      <c r="Q677" s="26">
        <f t="shared" si="83"/>
        <v>1.2949543927028324</v>
      </c>
      <c r="R677" s="29">
        <f t="shared" si="84"/>
        <v>8.027946428571429</v>
      </c>
      <c r="S677" s="30">
        <f t="shared" si="85"/>
        <v>5</v>
      </c>
      <c r="T677" s="30">
        <f t="shared" si="86"/>
        <v>2023</v>
      </c>
      <c r="U677" s="29" t="str">
        <f t="shared" si="87"/>
        <v>May</v>
      </c>
    </row>
    <row r="678" spans="1:21" ht="17.399999999999999" x14ac:dyDescent="0.3">
      <c r="A678" s="21" t="s">
        <v>1785</v>
      </c>
      <c r="B678" s="21" t="s">
        <v>1786</v>
      </c>
      <c r="C678" s="23" t="s">
        <v>3516</v>
      </c>
      <c r="D678" s="21" t="s">
        <v>3521</v>
      </c>
      <c r="E678" s="24">
        <v>45054</v>
      </c>
      <c r="F678" s="24">
        <v>45083</v>
      </c>
      <c r="G678" s="22" t="s">
        <v>14</v>
      </c>
      <c r="H678" s="25">
        <v>72158</v>
      </c>
      <c r="I678" s="25">
        <v>3237</v>
      </c>
      <c r="J678" s="26">
        <v>4582.1899999999996</v>
      </c>
      <c r="K678" s="25">
        <v>291</v>
      </c>
      <c r="L678" s="21" t="s">
        <v>21</v>
      </c>
      <c r="M678" s="22" t="s">
        <v>3537</v>
      </c>
      <c r="N678" s="27">
        <f t="shared" si="80"/>
        <v>29</v>
      </c>
      <c r="O678" s="28">
        <f t="shared" si="81"/>
        <v>4.4859890795199427E-2</v>
      </c>
      <c r="P678" s="28">
        <f t="shared" si="82"/>
        <v>8.989805375347544E-2</v>
      </c>
      <c r="Q678" s="26">
        <f t="shared" si="83"/>
        <v>1.4155668829162804</v>
      </c>
      <c r="R678" s="29">
        <f t="shared" si="84"/>
        <v>15.746357388316151</v>
      </c>
      <c r="S678" s="30">
        <f t="shared" si="85"/>
        <v>5</v>
      </c>
      <c r="T678" s="30">
        <f t="shared" si="86"/>
        <v>2023</v>
      </c>
      <c r="U678" s="29" t="str">
        <f t="shared" si="87"/>
        <v>May</v>
      </c>
    </row>
    <row r="679" spans="1:21" ht="17.399999999999999" x14ac:dyDescent="0.3">
      <c r="A679" s="21" t="s">
        <v>303</v>
      </c>
      <c r="B679" s="21" t="s">
        <v>304</v>
      </c>
      <c r="C679" s="23" t="s">
        <v>3515</v>
      </c>
      <c r="D679" s="21" t="s">
        <v>3521</v>
      </c>
      <c r="E679" s="24">
        <v>45054</v>
      </c>
      <c r="F679" s="24">
        <v>45080</v>
      </c>
      <c r="G679" s="22" t="s">
        <v>31</v>
      </c>
      <c r="H679" s="25">
        <v>96259</v>
      </c>
      <c r="I679" s="25">
        <v>1611</v>
      </c>
      <c r="J679" s="26">
        <v>2247.61</v>
      </c>
      <c r="K679" s="25">
        <v>143</v>
      </c>
      <c r="L679" s="21" t="s">
        <v>21</v>
      </c>
      <c r="M679" s="22" t="s">
        <v>31</v>
      </c>
      <c r="N679" s="27">
        <f t="shared" si="80"/>
        <v>26</v>
      </c>
      <c r="O679" s="28">
        <f t="shared" si="81"/>
        <v>1.673609740387912E-2</v>
      </c>
      <c r="P679" s="28">
        <f t="shared" si="82"/>
        <v>8.8764742396027316E-2</v>
      </c>
      <c r="Q679" s="26">
        <f t="shared" si="83"/>
        <v>1.3951644941030417</v>
      </c>
      <c r="R679" s="29">
        <f t="shared" si="84"/>
        <v>15.717552447552448</v>
      </c>
      <c r="S679" s="30">
        <f t="shared" si="85"/>
        <v>5</v>
      </c>
      <c r="T679" s="30">
        <f t="shared" si="86"/>
        <v>2023</v>
      </c>
      <c r="U679" s="29" t="str">
        <f t="shared" si="87"/>
        <v>May</v>
      </c>
    </row>
    <row r="680" spans="1:21" ht="17.399999999999999" x14ac:dyDescent="0.3">
      <c r="A680" s="21" t="s">
        <v>1107</v>
      </c>
      <c r="B680" s="21" t="s">
        <v>1108</v>
      </c>
      <c r="C680" s="23" t="s">
        <v>3519</v>
      </c>
      <c r="D680" s="21" t="s">
        <v>3517</v>
      </c>
      <c r="E680" s="24">
        <v>45055</v>
      </c>
      <c r="F680" s="24">
        <v>45083</v>
      </c>
      <c r="G680" s="22" t="s">
        <v>31</v>
      </c>
      <c r="H680" s="25">
        <v>25466</v>
      </c>
      <c r="I680" s="25">
        <v>468</v>
      </c>
      <c r="J680" s="26">
        <v>473.06</v>
      </c>
      <c r="K680" s="25">
        <v>30</v>
      </c>
      <c r="L680" s="21" t="s">
        <v>17</v>
      </c>
      <c r="M680" s="22" t="s">
        <v>31</v>
      </c>
      <c r="N680" s="27">
        <f t="shared" si="80"/>
        <v>28</v>
      </c>
      <c r="O680" s="28">
        <f t="shared" si="81"/>
        <v>1.8377444435718211E-2</v>
      </c>
      <c r="P680" s="28">
        <f t="shared" si="82"/>
        <v>6.4102564102564097E-2</v>
      </c>
      <c r="Q680" s="26">
        <f t="shared" si="83"/>
        <v>1.0108119658119659</v>
      </c>
      <c r="R680" s="29">
        <f t="shared" si="84"/>
        <v>15.768666666666666</v>
      </c>
      <c r="S680" s="30">
        <f t="shared" si="85"/>
        <v>5</v>
      </c>
      <c r="T680" s="30">
        <f t="shared" si="86"/>
        <v>2023</v>
      </c>
      <c r="U680" s="29" t="str">
        <f t="shared" si="87"/>
        <v>May</v>
      </c>
    </row>
    <row r="681" spans="1:21" ht="17.399999999999999" x14ac:dyDescent="0.3">
      <c r="A681" s="21" t="s">
        <v>2903</v>
      </c>
      <c r="B681" s="21" t="s">
        <v>2904</v>
      </c>
      <c r="C681" s="23" t="s">
        <v>3519</v>
      </c>
      <c r="D681" s="21" t="s">
        <v>3520</v>
      </c>
      <c r="E681" s="24">
        <v>45055</v>
      </c>
      <c r="F681" s="24">
        <v>45084</v>
      </c>
      <c r="G681" s="22" t="s">
        <v>16</v>
      </c>
      <c r="H681" s="25">
        <v>56554</v>
      </c>
      <c r="I681" s="25">
        <v>2334</v>
      </c>
      <c r="J681" s="26">
        <v>3501.23</v>
      </c>
      <c r="K681" s="25">
        <v>175</v>
      </c>
      <c r="L681" s="21" t="s">
        <v>17</v>
      </c>
      <c r="M681" s="22" t="s">
        <v>16</v>
      </c>
      <c r="N681" s="27">
        <f t="shared" si="80"/>
        <v>29</v>
      </c>
      <c r="O681" s="28">
        <f t="shared" si="81"/>
        <v>4.1270290341974041E-2</v>
      </c>
      <c r="P681" s="28">
        <f t="shared" si="82"/>
        <v>7.4978577549271633E-2</v>
      </c>
      <c r="Q681" s="26">
        <f t="shared" si="83"/>
        <v>1.5000985432733505</v>
      </c>
      <c r="R681" s="29">
        <f t="shared" si="84"/>
        <v>20.00702857142857</v>
      </c>
      <c r="S681" s="30">
        <f t="shared" si="85"/>
        <v>5</v>
      </c>
      <c r="T681" s="30">
        <f t="shared" si="86"/>
        <v>2023</v>
      </c>
      <c r="U681" s="29" t="str">
        <f t="shared" si="87"/>
        <v>May</v>
      </c>
    </row>
    <row r="682" spans="1:21" ht="17.399999999999999" x14ac:dyDescent="0.3">
      <c r="A682" s="21" t="s">
        <v>634</v>
      </c>
      <c r="B682" s="21" t="s">
        <v>635</v>
      </c>
      <c r="C682" s="23" t="s">
        <v>3518</v>
      </c>
      <c r="D682" s="21" t="s">
        <v>3520</v>
      </c>
      <c r="E682" s="24">
        <v>45055</v>
      </c>
      <c r="F682" s="24">
        <v>45068</v>
      </c>
      <c r="G682" s="22" t="s">
        <v>14</v>
      </c>
      <c r="H682" s="25">
        <v>75543</v>
      </c>
      <c r="I682" s="25">
        <v>824</v>
      </c>
      <c r="J682" s="26">
        <v>1166.9100000000001</v>
      </c>
      <c r="K682" s="25">
        <v>138</v>
      </c>
      <c r="L682" s="21" t="s">
        <v>21</v>
      </c>
      <c r="M682" s="22" t="s">
        <v>3537</v>
      </c>
      <c r="N682" s="27">
        <f t="shared" si="80"/>
        <v>13</v>
      </c>
      <c r="O682" s="28">
        <f t="shared" si="81"/>
        <v>1.0907694955191083E-2</v>
      </c>
      <c r="P682" s="28">
        <f t="shared" si="82"/>
        <v>0.16747572815533981</v>
      </c>
      <c r="Q682" s="26">
        <f t="shared" si="83"/>
        <v>1.4161529126213592</v>
      </c>
      <c r="R682" s="29">
        <f t="shared" si="84"/>
        <v>8.4558695652173927</v>
      </c>
      <c r="S682" s="30">
        <f t="shared" si="85"/>
        <v>5</v>
      </c>
      <c r="T682" s="30">
        <f t="shared" si="86"/>
        <v>2023</v>
      </c>
      <c r="U682" s="29" t="str">
        <f t="shared" si="87"/>
        <v>May</v>
      </c>
    </row>
    <row r="683" spans="1:21" ht="17.399999999999999" x14ac:dyDescent="0.3">
      <c r="A683" s="21" t="s">
        <v>2544</v>
      </c>
      <c r="B683" s="22" t="s">
        <v>3725</v>
      </c>
      <c r="C683" s="23" t="s">
        <v>3518</v>
      </c>
      <c r="D683" s="22" t="s">
        <v>3545</v>
      </c>
      <c r="E683" s="24">
        <v>45055</v>
      </c>
      <c r="F683" s="24">
        <v>45063</v>
      </c>
      <c r="G683" s="22" t="s">
        <v>11</v>
      </c>
      <c r="H683" s="25">
        <v>92248</v>
      </c>
      <c r="I683" s="25">
        <v>4424</v>
      </c>
      <c r="J683" s="26">
        <v>5760.01</v>
      </c>
      <c r="K683" s="25">
        <v>396</v>
      </c>
      <c r="L683" s="21" t="s">
        <v>21</v>
      </c>
      <c r="M683" s="22" t="s">
        <v>11</v>
      </c>
      <c r="N683" s="27">
        <f t="shared" si="80"/>
        <v>8</v>
      </c>
      <c r="O683" s="28">
        <f t="shared" si="81"/>
        <v>4.7957679299280201E-2</v>
      </c>
      <c r="P683" s="28">
        <f t="shared" si="82"/>
        <v>8.9511754068716087E-2</v>
      </c>
      <c r="Q683" s="26">
        <f t="shared" si="83"/>
        <v>1.301991410488246</v>
      </c>
      <c r="R683" s="29">
        <f t="shared" si="84"/>
        <v>14.545479797979798</v>
      </c>
      <c r="S683" s="30">
        <f t="shared" si="85"/>
        <v>5</v>
      </c>
      <c r="T683" s="30">
        <f t="shared" si="86"/>
        <v>2023</v>
      </c>
      <c r="U683" s="29" t="str">
        <f t="shared" si="87"/>
        <v>May</v>
      </c>
    </row>
    <row r="684" spans="1:21" ht="17.399999999999999" x14ac:dyDescent="0.3">
      <c r="A684" s="21" t="s">
        <v>2657</v>
      </c>
      <c r="B684" s="21" t="s">
        <v>2658</v>
      </c>
      <c r="C684" s="23" t="s">
        <v>3518</v>
      </c>
      <c r="D684" s="21" t="s">
        <v>3521</v>
      </c>
      <c r="E684" s="24">
        <v>45055</v>
      </c>
      <c r="F684" s="24">
        <v>45071</v>
      </c>
      <c r="G684" s="22" t="s">
        <v>3535</v>
      </c>
      <c r="H684" s="25">
        <v>55756</v>
      </c>
      <c r="I684" s="25">
        <v>900</v>
      </c>
      <c r="J684" s="26">
        <v>609.6</v>
      </c>
      <c r="K684" s="25">
        <v>171</v>
      </c>
      <c r="L684" s="21" t="s">
        <v>21</v>
      </c>
      <c r="M684" s="22" t="s">
        <v>3535</v>
      </c>
      <c r="N684" s="27">
        <f t="shared" si="80"/>
        <v>16</v>
      </c>
      <c r="O684" s="28">
        <f t="shared" si="81"/>
        <v>1.6141760528014922E-2</v>
      </c>
      <c r="P684" s="28">
        <f t="shared" si="82"/>
        <v>0.19</v>
      </c>
      <c r="Q684" s="26">
        <f t="shared" si="83"/>
        <v>0.67733333333333334</v>
      </c>
      <c r="R684" s="29">
        <f t="shared" si="84"/>
        <v>3.5649122807017544</v>
      </c>
      <c r="S684" s="30">
        <f t="shared" si="85"/>
        <v>5</v>
      </c>
      <c r="T684" s="30">
        <f t="shared" si="86"/>
        <v>2023</v>
      </c>
      <c r="U684" s="29" t="str">
        <f t="shared" si="87"/>
        <v>May</v>
      </c>
    </row>
    <row r="685" spans="1:21" ht="17.399999999999999" x14ac:dyDescent="0.3">
      <c r="A685" s="21" t="s">
        <v>80</v>
      </c>
      <c r="B685" s="21" t="s">
        <v>81</v>
      </c>
      <c r="C685" s="23" t="s">
        <v>3516</v>
      </c>
      <c r="D685" s="21" t="s">
        <v>3520</v>
      </c>
      <c r="E685" s="24">
        <v>45055</v>
      </c>
      <c r="F685" s="24">
        <v>45071</v>
      </c>
      <c r="G685" s="22" t="s">
        <v>16</v>
      </c>
      <c r="H685" s="25">
        <v>12394</v>
      </c>
      <c r="I685" s="25">
        <v>324</v>
      </c>
      <c r="J685" s="26">
        <v>418.96</v>
      </c>
      <c r="K685" s="25">
        <v>22</v>
      </c>
      <c r="L685" s="21" t="s">
        <v>21</v>
      </c>
      <c r="M685" s="22" t="s">
        <v>16</v>
      </c>
      <c r="N685" s="27">
        <f t="shared" si="80"/>
        <v>16</v>
      </c>
      <c r="O685" s="28">
        <f t="shared" si="81"/>
        <v>2.6141681458770372E-2</v>
      </c>
      <c r="P685" s="28">
        <f t="shared" si="82"/>
        <v>6.7901234567901231E-2</v>
      </c>
      <c r="Q685" s="26">
        <f t="shared" si="83"/>
        <v>1.2930864197530862</v>
      </c>
      <c r="R685" s="29">
        <f t="shared" si="84"/>
        <v>19.043636363636363</v>
      </c>
      <c r="S685" s="30">
        <f t="shared" si="85"/>
        <v>5</v>
      </c>
      <c r="T685" s="30">
        <f t="shared" si="86"/>
        <v>2023</v>
      </c>
      <c r="U685" s="29" t="str">
        <f t="shared" si="87"/>
        <v>May</v>
      </c>
    </row>
    <row r="686" spans="1:21" ht="17.399999999999999" x14ac:dyDescent="0.3">
      <c r="A686" s="21" t="s">
        <v>202</v>
      </c>
      <c r="B686" s="21" t="s">
        <v>203</v>
      </c>
      <c r="C686" s="23" t="s">
        <v>3516</v>
      </c>
      <c r="D686" s="21" t="s">
        <v>3520</v>
      </c>
      <c r="E686" s="24">
        <v>45055</v>
      </c>
      <c r="F686" s="24">
        <v>45063</v>
      </c>
      <c r="G686" s="22" t="s">
        <v>24</v>
      </c>
      <c r="H686" s="25">
        <v>62858</v>
      </c>
      <c r="I686" s="25">
        <v>2991</v>
      </c>
      <c r="J686" s="26">
        <v>5391.63</v>
      </c>
      <c r="K686" s="25">
        <v>457</v>
      </c>
      <c r="L686" s="21" t="s">
        <v>17</v>
      </c>
      <c r="M686" s="22" t="s">
        <v>3536</v>
      </c>
      <c r="N686" s="27">
        <f t="shared" si="80"/>
        <v>8</v>
      </c>
      <c r="O686" s="28">
        <f t="shared" si="81"/>
        <v>4.7583442043972128E-2</v>
      </c>
      <c r="P686" s="28">
        <f t="shared" si="82"/>
        <v>0.15279170845870946</v>
      </c>
      <c r="Q686" s="26">
        <f t="shared" si="83"/>
        <v>1.802617853560682</v>
      </c>
      <c r="R686" s="29">
        <f t="shared" si="84"/>
        <v>11.797877461706783</v>
      </c>
      <c r="S686" s="30">
        <f t="shared" si="85"/>
        <v>5</v>
      </c>
      <c r="T686" s="30">
        <f t="shared" si="86"/>
        <v>2023</v>
      </c>
      <c r="U686" s="29" t="str">
        <f t="shared" si="87"/>
        <v>May</v>
      </c>
    </row>
    <row r="687" spans="1:21" ht="17.399999999999999" x14ac:dyDescent="0.3">
      <c r="A687" s="21" t="s">
        <v>940</v>
      </c>
      <c r="B687" s="21" t="s">
        <v>941</v>
      </c>
      <c r="C687" s="23" t="s">
        <v>3515</v>
      </c>
      <c r="D687" s="21" t="s">
        <v>3521</v>
      </c>
      <c r="E687" s="24">
        <v>45055</v>
      </c>
      <c r="F687" s="24">
        <v>45058</v>
      </c>
      <c r="G687" s="22" t="s">
        <v>24</v>
      </c>
      <c r="H687" s="25">
        <v>10540</v>
      </c>
      <c r="I687" s="25">
        <v>523</v>
      </c>
      <c r="J687" s="26">
        <v>437.21</v>
      </c>
      <c r="K687" s="25">
        <v>95</v>
      </c>
      <c r="L687" s="21" t="s">
        <v>21</v>
      </c>
      <c r="M687" s="22" t="s">
        <v>3536</v>
      </c>
      <c r="N687" s="27">
        <f t="shared" si="80"/>
        <v>3</v>
      </c>
      <c r="O687" s="28">
        <f t="shared" si="81"/>
        <v>4.9620493358633777E-2</v>
      </c>
      <c r="P687" s="28">
        <f t="shared" si="82"/>
        <v>0.18164435946462715</v>
      </c>
      <c r="Q687" s="26">
        <f t="shared" si="83"/>
        <v>0.83596558317399616</v>
      </c>
      <c r="R687" s="29">
        <f t="shared" si="84"/>
        <v>4.6022105263157895</v>
      </c>
      <c r="S687" s="30">
        <f t="shared" si="85"/>
        <v>5</v>
      </c>
      <c r="T687" s="30">
        <f t="shared" si="86"/>
        <v>2023</v>
      </c>
      <c r="U687" s="29" t="str">
        <f t="shared" si="87"/>
        <v>May</v>
      </c>
    </row>
    <row r="688" spans="1:21" ht="17.399999999999999" x14ac:dyDescent="0.3">
      <c r="A688" s="21" t="s">
        <v>2983</v>
      </c>
      <c r="B688" s="21" t="s">
        <v>2984</v>
      </c>
      <c r="C688" s="23" t="s">
        <v>3515</v>
      </c>
      <c r="D688" s="21" t="s">
        <v>3520</v>
      </c>
      <c r="E688" s="24">
        <v>45055</v>
      </c>
      <c r="F688" s="24">
        <v>45084</v>
      </c>
      <c r="G688" s="22" t="s">
        <v>14</v>
      </c>
      <c r="H688" s="25">
        <v>26559</v>
      </c>
      <c r="I688" s="25">
        <v>985</v>
      </c>
      <c r="J688" s="26">
        <v>884.16</v>
      </c>
      <c r="K688" s="25">
        <v>176</v>
      </c>
      <c r="L688" s="21" t="s">
        <v>21</v>
      </c>
      <c r="M688" s="22" t="s">
        <v>3537</v>
      </c>
      <c r="N688" s="27">
        <f t="shared" si="80"/>
        <v>29</v>
      </c>
      <c r="O688" s="28">
        <f t="shared" si="81"/>
        <v>3.7087239730411538E-2</v>
      </c>
      <c r="P688" s="28">
        <f t="shared" si="82"/>
        <v>0.17868020304568527</v>
      </c>
      <c r="Q688" s="26">
        <f t="shared" si="83"/>
        <v>0.89762436548223346</v>
      </c>
      <c r="R688" s="29">
        <f t="shared" si="84"/>
        <v>5.0236363636363635</v>
      </c>
      <c r="S688" s="30">
        <f t="shared" si="85"/>
        <v>5</v>
      </c>
      <c r="T688" s="30">
        <f t="shared" si="86"/>
        <v>2023</v>
      </c>
      <c r="U688" s="29" t="str">
        <f t="shared" si="87"/>
        <v>May</v>
      </c>
    </row>
    <row r="689" spans="1:21" ht="17.399999999999999" x14ac:dyDescent="0.3">
      <c r="A689" s="21" t="s">
        <v>514</v>
      </c>
      <c r="B689" s="21" t="s">
        <v>515</v>
      </c>
      <c r="C689" s="23" t="s">
        <v>3518</v>
      </c>
      <c r="D689" s="21" t="s">
        <v>3521</v>
      </c>
      <c r="E689" s="24">
        <v>45056</v>
      </c>
      <c r="F689" s="24">
        <v>45059</v>
      </c>
      <c r="G689" s="22" t="s">
        <v>3535</v>
      </c>
      <c r="H689" s="25">
        <v>73694</v>
      </c>
      <c r="I689" s="25">
        <v>1417</v>
      </c>
      <c r="J689" s="26">
        <v>1245.82</v>
      </c>
      <c r="K689" s="25">
        <v>177</v>
      </c>
      <c r="L689" s="21" t="s">
        <v>21</v>
      </c>
      <c r="M689" s="22" t="s">
        <v>3535</v>
      </c>
      <c r="N689" s="27">
        <f t="shared" si="80"/>
        <v>3</v>
      </c>
      <c r="O689" s="28">
        <f t="shared" si="81"/>
        <v>1.9228159687355823E-2</v>
      </c>
      <c r="P689" s="28">
        <f t="shared" si="82"/>
        <v>0.12491178546224418</v>
      </c>
      <c r="Q689" s="26">
        <f t="shared" si="83"/>
        <v>0.87919548341566689</v>
      </c>
      <c r="R689" s="29">
        <f t="shared" si="84"/>
        <v>7.0385310734463271</v>
      </c>
      <c r="S689" s="30">
        <f t="shared" si="85"/>
        <v>5</v>
      </c>
      <c r="T689" s="30">
        <f t="shared" si="86"/>
        <v>2023</v>
      </c>
      <c r="U689" s="29" t="str">
        <f t="shared" si="87"/>
        <v>May</v>
      </c>
    </row>
    <row r="690" spans="1:21" ht="17.399999999999999" x14ac:dyDescent="0.3">
      <c r="A690" s="21" t="s">
        <v>1471</v>
      </c>
      <c r="B690" s="22" t="s">
        <v>3726</v>
      </c>
      <c r="C690" s="23" t="s">
        <v>3516</v>
      </c>
      <c r="D690" s="22" t="s">
        <v>3545</v>
      </c>
      <c r="E690" s="24">
        <v>45056</v>
      </c>
      <c r="F690" s="24">
        <v>45077</v>
      </c>
      <c r="G690" s="22" t="s">
        <v>31</v>
      </c>
      <c r="H690" s="25">
        <v>38744</v>
      </c>
      <c r="I690" s="25">
        <v>562</v>
      </c>
      <c r="J690" s="26">
        <v>553.05999999999995</v>
      </c>
      <c r="K690" s="25">
        <v>89</v>
      </c>
      <c r="L690" s="21" t="s">
        <v>17</v>
      </c>
      <c r="M690" s="22" t="s">
        <v>31</v>
      </c>
      <c r="N690" s="27">
        <f t="shared" si="80"/>
        <v>21</v>
      </c>
      <c r="O690" s="28">
        <f t="shared" si="81"/>
        <v>1.4505471814990708E-2</v>
      </c>
      <c r="P690" s="28">
        <f t="shared" si="82"/>
        <v>0.15836298932384341</v>
      </c>
      <c r="Q690" s="26">
        <f t="shared" si="83"/>
        <v>0.98409252669039138</v>
      </c>
      <c r="R690" s="29">
        <f t="shared" si="84"/>
        <v>6.2141573033707855</v>
      </c>
      <c r="S690" s="30">
        <f t="shared" si="85"/>
        <v>5</v>
      </c>
      <c r="T690" s="30">
        <f t="shared" si="86"/>
        <v>2023</v>
      </c>
      <c r="U690" s="29" t="str">
        <f t="shared" si="87"/>
        <v>May</v>
      </c>
    </row>
    <row r="691" spans="1:21" ht="17.399999999999999" x14ac:dyDescent="0.3">
      <c r="A691" s="21" t="s">
        <v>3309</v>
      </c>
      <c r="B691" s="21" t="s">
        <v>3310</v>
      </c>
      <c r="C691" s="23" t="s">
        <v>3515</v>
      </c>
      <c r="D691" s="21" t="s">
        <v>3521</v>
      </c>
      <c r="E691" s="24">
        <v>45056</v>
      </c>
      <c r="F691" s="24">
        <v>45070</v>
      </c>
      <c r="G691" s="22" t="s">
        <v>24</v>
      </c>
      <c r="H691" s="25">
        <v>9712</v>
      </c>
      <c r="I691" s="25">
        <v>303</v>
      </c>
      <c r="J691" s="26">
        <v>571.6</v>
      </c>
      <c r="K691" s="25">
        <v>15</v>
      </c>
      <c r="L691" s="21" t="s">
        <v>17</v>
      </c>
      <c r="M691" s="22" t="s">
        <v>3536</v>
      </c>
      <c r="N691" s="27">
        <f t="shared" si="80"/>
        <v>14</v>
      </c>
      <c r="O691" s="28">
        <f t="shared" si="81"/>
        <v>3.119851729818781E-2</v>
      </c>
      <c r="P691" s="28">
        <f t="shared" si="82"/>
        <v>4.9504950495049507E-2</v>
      </c>
      <c r="Q691" s="26">
        <f t="shared" si="83"/>
        <v>1.8864686468646865</v>
      </c>
      <c r="R691" s="29">
        <f t="shared" si="84"/>
        <v>38.106666666666669</v>
      </c>
      <c r="S691" s="30">
        <f t="shared" si="85"/>
        <v>5</v>
      </c>
      <c r="T691" s="30">
        <f t="shared" si="86"/>
        <v>2023</v>
      </c>
      <c r="U691" s="29" t="str">
        <f t="shared" si="87"/>
        <v>May</v>
      </c>
    </row>
    <row r="692" spans="1:21" ht="17.399999999999999" x14ac:dyDescent="0.3">
      <c r="A692" s="21" t="s">
        <v>625</v>
      </c>
      <c r="B692" s="21" t="s">
        <v>626</v>
      </c>
      <c r="C692" s="23" t="s">
        <v>3519</v>
      </c>
      <c r="D692" s="21" t="s">
        <v>3517</v>
      </c>
      <c r="E692" s="24">
        <v>45056</v>
      </c>
      <c r="F692" s="24">
        <v>45264</v>
      </c>
      <c r="G692" s="22" t="s">
        <v>11</v>
      </c>
      <c r="H692" s="25">
        <v>40790</v>
      </c>
      <c r="I692" s="25">
        <v>1584</v>
      </c>
      <c r="J692" s="26">
        <v>2629.55</v>
      </c>
      <c r="K692" s="25">
        <v>83</v>
      </c>
      <c r="L692" s="21" t="s">
        <v>17</v>
      </c>
      <c r="M692" s="22" t="s">
        <v>11</v>
      </c>
      <c r="N692" s="27">
        <f t="shared" si="80"/>
        <v>208</v>
      </c>
      <c r="O692" s="28">
        <f t="shared" si="81"/>
        <v>3.883304731551851E-2</v>
      </c>
      <c r="P692" s="28">
        <f t="shared" si="82"/>
        <v>5.2398989898989896E-2</v>
      </c>
      <c r="Q692" s="26">
        <f t="shared" si="83"/>
        <v>1.6600694444444446</v>
      </c>
      <c r="R692" s="29">
        <f t="shared" si="84"/>
        <v>31.681325301204822</v>
      </c>
      <c r="S692" s="30">
        <f t="shared" si="85"/>
        <v>5</v>
      </c>
      <c r="T692" s="30">
        <f t="shared" si="86"/>
        <v>2023</v>
      </c>
      <c r="U692" s="29" t="str">
        <f t="shared" si="87"/>
        <v>May</v>
      </c>
    </row>
    <row r="693" spans="1:21" ht="17.399999999999999" x14ac:dyDescent="0.3">
      <c r="A693" s="21" t="s">
        <v>258</v>
      </c>
      <c r="B693" s="22" t="s">
        <v>3727</v>
      </c>
      <c r="C693" s="23" t="s">
        <v>3519</v>
      </c>
      <c r="D693" s="22" t="s">
        <v>3545</v>
      </c>
      <c r="E693" s="24">
        <v>45057</v>
      </c>
      <c r="F693" s="24">
        <v>45060</v>
      </c>
      <c r="G693" s="22" t="s">
        <v>14</v>
      </c>
      <c r="H693" s="25">
        <v>1206</v>
      </c>
      <c r="I693" s="25">
        <v>48</v>
      </c>
      <c r="J693" s="26">
        <v>92.31</v>
      </c>
      <c r="K693" s="25">
        <v>2</v>
      </c>
      <c r="L693" s="21" t="s">
        <v>21</v>
      </c>
      <c r="M693" s="22" t="s">
        <v>3537</v>
      </c>
      <c r="N693" s="27">
        <f t="shared" si="80"/>
        <v>3</v>
      </c>
      <c r="O693" s="28">
        <f t="shared" si="81"/>
        <v>3.9800995024875621E-2</v>
      </c>
      <c r="P693" s="28">
        <f t="shared" si="82"/>
        <v>4.1666666666666664E-2</v>
      </c>
      <c r="Q693" s="26">
        <f t="shared" si="83"/>
        <v>1.923125</v>
      </c>
      <c r="R693" s="29">
        <f t="shared" si="84"/>
        <v>46.155000000000001</v>
      </c>
      <c r="S693" s="30">
        <f t="shared" si="85"/>
        <v>5</v>
      </c>
      <c r="T693" s="30">
        <f t="shared" si="86"/>
        <v>2023</v>
      </c>
      <c r="U693" s="29" t="str">
        <f t="shared" si="87"/>
        <v>May</v>
      </c>
    </row>
    <row r="694" spans="1:21" ht="17.399999999999999" x14ac:dyDescent="0.3">
      <c r="A694" s="21" t="s">
        <v>3185</v>
      </c>
      <c r="B694" s="21" t="s">
        <v>3186</v>
      </c>
      <c r="C694" s="23" t="s">
        <v>3518</v>
      </c>
      <c r="D694" s="21" t="s">
        <v>3517</v>
      </c>
      <c r="E694" s="24">
        <v>45057</v>
      </c>
      <c r="F694" s="24">
        <v>45074</v>
      </c>
      <c r="G694" s="22" t="s">
        <v>16</v>
      </c>
      <c r="H694" s="25">
        <v>30241</v>
      </c>
      <c r="I694" s="25">
        <v>819</v>
      </c>
      <c r="J694" s="26">
        <v>834.39</v>
      </c>
      <c r="K694" s="25">
        <v>121</v>
      </c>
      <c r="L694" s="21" t="s">
        <v>21</v>
      </c>
      <c r="M694" s="22" t="s">
        <v>16</v>
      </c>
      <c r="N694" s="27">
        <f t="shared" si="80"/>
        <v>17</v>
      </c>
      <c r="O694" s="28">
        <f t="shared" si="81"/>
        <v>2.7082437750074403E-2</v>
      </c>
      <c r="P694" s="28">
        <f t="shared" si="82"/>
        <v>0.14774114774114774</v>
      </c>
      <c r="Q694" s="26">
        <f t="shared" si="83"/>
        <v>1.0187912087912088</v>
      </c>
      <c r="R694" s="29">
        <f t="shared" si="84"/>
        <v>6.8957851239669417</v>
      </c>
      <c r="S694" s="30">
        <f t="shared" si="85"/>
        <v>5</v>
      </c>
      <c r="T694" s="30">
        <f t="shared" si="86"/>
        <v>2023</v>
      </c>
      <c r="U694" s="29" t="str">
        <f t="shared" si="87"/>
        <v>May</v>
      </c>
    </row>
    <row r="695" spans="1:21" ht="17.399999999999999" x14ac:dyDescent="0.3">
      <c r="A695" s="21" t="s">
        <v>1405</v>
      </c>
      <c r="B695" s="21" t="s">
        <v>1406</v>
      </c>
      <c r="C695" s="23" t="s">
        <v>3516</v>
      </c>
      <c r="D695" s="21" t="s">
        <v>3521</v>
      </c>
      <c r="E695" s="24">
        <v>45057</v>
      </c>
      <c r="F695" s="24">
        <v>45084</v>
      </c>
      <c r="G695" s="22" t="s">
        <v>14</v>
      </c>
      <c r="H695" s="25">
        <v>5158</v>
      </c>
      <c r="I695" s="25">
        <v>126</v>
      </c>
      <c r="J695" s="26">
        <v>166.33</v>
      </c>
      <c r="K695" s="25">
        <v>6</v>
      </c>
      <c r="L695" s="21" t="s">
        <v>17</v>
      </c>
      <c r="M695" s="22" t="s">
        <v>3537</v>
      </c>
      <c r="N695" s="27">
        <f t="shared" si="80"/>
        <v>27</v>
      </c>
      <c r="O695" s="28">
        <f t="shared" si="81"/>
        <v>2.44280728964715E-2</v>
      </c>
      <c r="P695" s="28">
        <f t="shared" si="82"/>
        <v>4.7619047619047616E-2</v>
      </c>
      <c r="Q695" s="26">
        <f t="shared" si="83"/>
        <v>1.3200793650793652</v>
      </c>
      <c r="R695" s="29">
        <f t="shared" si="84"/>
        <v>27.721666666666668</v>
      </c>
      <c r="S695" s="30">
        <f t="shared" si="85"/>
        <v>5</v>
      </c>
      <c r="T695" s="30">
        <f t="shared" si="86"/>
        <v>2023</v>
      </c>
      <c r="U695" s="29" t="str">
        <f t="shared" si="87"/>
        <v>May</v>
      </c>
    </row>
    <row r="696" spans="1:21" ht="17.399999999999999" x14ac:dyDescent="0.3">
      <c r="A696" s="21" t="s">
        <v>2869</v>
      </c>
      <c r="B696" s="21" t="s">
        <v>2870</v>
      </c>
      <c r="C696" s="23" t="s">
        <v>3516</v>
      </c>
      <c r="D696" s="21" t="s">
        <v>3520</v>
      </c>
      <c r="E696" s="24">
        <v>45057</v>
      </c>
      <c r="F696" s="24">
        <v>45081</v>
      </c>
      <c r="G696" s="22" t="s">
        <v>14</v>
      </c>
      <c r="H696" s="25">
        <v>30757</v>
      </c>
      <c r="I696" s="25">
        <v>1353</v>
      </c>
      <c r="J696" s="26">
        <v>1933.18</v>
      </c>
      <c r="K696" s="25">
        <v>151</v>
      </c>
      <c r="L696" s="21" t="s">
        <v>21</v>
      </c>
      <c r="M696" s="22" t="s">
        <v>3537</v>
      </c>
      <c r="N696" s="27">
        <f t="shared" si="80"/>
        <v>24</v>
      </c>
      <c r="O696" s="28">
        <f t="shared" si="81"/>
        <v>4.3989986019442727E-2</v>
      </c>
      <c r="P696" s="28">
        <f t="shared" si="82"/>
        <v>0.11160384331116038</v>
      </c>
      <c r="Q696" s="26">
        <f t="shared" si="83"/>
        <v>1.4288100517368811</v>
      </c>
      <c r="R696" s="29">
        <f t="shared" si="84"/>
        <v>12.802516556291391</v>
      </c>
      <c r="S696" s="30">
        <f t="shared" si="85"/>
        <v>5</v>
      </c>
      <c r="T696" s="30">
        <f t="shared" si="86"/>
        <v>2023</v>
      </c>
      <c r="U696" s="29" t="str">
        <f t="shared" si="87"/>
        <v>May</v>
      </c>
    </row>
    <row r="697" spans="1:21" ht="17.399999999999999" x14ac:dyDescent="0.3">
      <c r="A697" s="21" t="s">
        <v>607</v>
      </c>
      <c r="B697" s="21" t="s">
        <v>608</v>
      </c>
      <c r="C697" s="23" t="s">
        <v>3515</v>
      </c>
      <c r="D697" s="21" t="s">
        <v>3521</v>
      </c>
      <c r="E697" s="24">
        <v>45057</v>
      </c>
      <c r="F697" s="24">
        <v>45080</v>
      </c>
      <c r="G697" s="22" t="s">
        <v>11</v>
      </c>
      <c r="H697" s="25">
        <v>75290</v>
      </c>
      <c r="I697" s="25">
        <v>2483</v>
      </c>
      <c r="J697" s="26">
        <v>2278.66</v>
      </c>
      <c r="K697" s="25">
        <v>244</v>
      </c>
      <c r="L697" s="21" t="s">
        <v>21</v>
      </c>
      <c r="M697" s="22" t="s">
        <v>11</v>
      </c>
      <c r="N697" s="27">
        <f t="shared" si="80"/>
        <v>23</v>
      </c>
      <c r="O697" s="28">
        <f t="shared" si="81"/>
        <v>3.297914729711781E-2</v>
      </c>
      <c r="P697" s="28">
        <f t="shared" si="82"/>
        <v>9.8268223922674189E-2</v>
      </c>
      <c r="Q697" s="26">
        <f t="shared" si="83"/>
        <v>0.91770438985098668</v>
      </c>
      <c r="R697" s="29">
        <f t="shared" si="84"/>
        <v>9.3387704918032775</v>
      </c>
      <c r="S697" s="30">
        <f t="shared" si="85"/>
        <v>5</v>
      </c>
      <c r="T697" s="30">
        <f t="shared" si="86"/>
        <v>2023</v>
      </c>
      <c r="U697" s="29" t="str">
        <f t="shared" si="87"/>
        <v>May</v>
      </c>
    </row>
    <row r="698" spans="1:21" ht="17.399999999999999" x14ac:dyDescent="0.3">
      <c r="A698" s="21" t="s">
        <v>2721</v>
      </c>
      <c r="B698" s="22" t="s">
        <v>3728</v>
      </c>
      <c r="C698" s="23" t="s">
        <v>3515</v>
      </c>
      <c r="D698" s="22" t="s">
        <v>3545</v>
      </c>
      <c r="E698" s="24">
        <v>45057</v>
      </c>
      <c r="F698" s="24">
        <v>45063</v>
      </c>
      <c r="G698" s="22" t="s">
        <v>24</v>
      </c>
      <c r="H698" s="25">
        <v>38265</v>
      </c>
      <c r="I698" s="25">
        <v>1040</v>
      </c>
      <c r="J698" s="26">
        <v>1381.02</v>
      </c>
      <c r="K698" s="25">
        <v>93</v>
      </c>
      <c r="L698" s="21" t="s">
        <v>17</v>
      </c>
      <c r="M698" s="22" t="s">
        <v>3536</v>
      </c>
      <c r="N698" s="27">
        <f t="shared" si="80"/>
        <v>6</v>
      </c>
      <c r="O698" s="28">
        <f t="shared" si="81"/>
        <v>2.7178884097739449E-2</v>
      </c>
      <c r="P698" s="28">
        <f t="shared" si="82"/>
        <v>8.9423076923076925E-2</v>
      </c>
      <c r="Q698" s="26">
        <f t="shared" si="83"/>
        <v>1.3279038461538462</v>
      </c>
      <c r="R698" s="29">
        <f t="shared" si="84"/>
        <v>14.849677419354839</v>
      </c>
      <c r="S698" s="30">
        <f t="shared" si="85"/>
        <v>5</v>
      </c>
      <c r="T698" s="30">
        <f t="shared" si="86"/>
        <v>2023</v>
      </c>
      <c r="U698" s="29" t="str">
        <f t="shared" si="87"/>
        <v>May</v>
      </c>
    </row>
    <row r="699" spans="1:21" ht="17.399999999999999" x14ac:dyDescent="0.3">
      <c r="A699" s="21" t="s">
        <v>3377</v>
      </c>
      <c r="B699" s="21" t="s">
        <v>3378</v>
      </c>
      <c r="C699" s="23" t="s">
        <v>3515</v>
      </c>
      <c r="D699" s="21" t="s">
        <v>3521</v>
      </c>
      <c r="E699" s="24">
        <v>45057</v>
      </c>
      <c r="F699" s="24">
        <v>45068</v>
      </c>
      <c r="G699" s="22" t="s">
        <v>31</v>
      </c>
      <c r="H699" s="25">
        <v>36488</v>
      </c>
      <c r="I699" s="25">
        <v>1795</v>
      </c>
      <c r="J699" s="26">
        <v>2046.82</v>
      </c>
      <c r="K699" s="25">
        <v>158</v>
      </c>
      <c r="L699" s="21" t="s">
        <v>21</v>
      </c>
      <c r="M699" s="22" t="s">
        <v>31</v>
      </c>
      <c r="N699" s="27">
        <f t="shared" si="80"/>
        <v>11</v>
      </c>
      <c r="O699" s="28">
        <f t="shared" si="81"/>
        <v>4.9194255645691735E-2</v>
      </c>
      <c r="P699" s="28">
        <f t="shared" si="82"/>
        <v>8.8022284122562675E-2</v>
      </c>
      <c r="Q699" s="26">
        <f t="shared" si="83"/>
        <v>1.1402896935933147</v>
      </c>
      <c r="R699" s="29">
        <f t="shared" si="84"/>
        <v>12.954556962025316</v>
      </c>
      <c r="S699" s="30">
        <f t="shared" si="85"/>
        <v>5</v>
      </c>
      <c r="T699" s="30">
        <f t="shared" si="86"/>
        <v>2023</v>
      </c>
      <c r="U699" s="29" t="str">
        <f t="shared" si="87"/>
        <v>May</v>
      </c>
    </row>
    <row r="700" spans="1:21" ht="17.399999999999999" x14ac:dyDescent="0.3">
      <c r="A700" s="21" t="s">
        <v>2324</v>
      </c>
      <c r="B700" s="22" t="s">
        <v>3729</v>
      </c>
      <c r="C700" s="23" t="s">
        <v>3519</v>
      </c>
      <c r="D700" s="22" t="s">
        <v>3545</v>
      </c>
      <c r="E700" s="24">
        <v>45058</v>
      </c>
      <c r="F700" s="24">
        <v>45084</v>
      </c>
      <c r="G700" s="22" t="s">
        <v>31</v>
      </c>
      <c r="H700" s="25">
        <v>77534</v>
      </c>
      <c r="I700" s="25">
        <v>2249</v>
      </c>
      <c r="J700" s="26">
        <v>3766.68</v>
      </c>
      <c r="K700" s="25">
        <v>315</v>
      </c>
      <c r="L700" s="21" t="s">
        <v>17</v>
      </c>
      <c r="M700" s="22" t="s">
        <v>31</v>
      </c>
      <c r="N700" s="27">
        <f t="shared" si="80"/>
        <v>26</v>
      </c>
      <c r="O700" s="28">
        <f t="shared" si="81"/>
        <v>2.9006629349704646E-2</v>
      </c>
      <c r="P700" s="28">
        <f t="shared" si="82"/>
        <v>0.14006224988883947</v>
      </c>
      <c r="Q700" s="26">
        <f t="shared" si="83"/>
        <v>1.6748243663850599</v>
      </c>
      <c r="R700" s="29">
        <f t="shared" si="84"/>
        <v>11.957714285714285</v>
      </c>
      <c r="S700" s="30">
        <f t="shared" si="85"/>
        <v>5</v>
      </c>
      <c r="T700" s="30">
        <f t="shared" si="86"/>
        <v>2023</v>
      </c>
      <c r="U700" s="29" t="str">
        <f t="shared" si="87"/>
        <v>May</v>
      </c>
    </row>
    <row r="701" spans="1:21" ht="17.399999999999999" x14ac:dyDescent="0.3">
      <c r="A701" s="21" t="s">
        <v>2875</v>
      </c>
      <c r="B701" s="22" t="s">
        <v>3730</v>
      </c>
      <c r="C701" s="23" t="s">
        <v>3518</v>
      </c>
      <c r="D701" s="22" t="s">
        <v>3545</v>
      </c>
      <c r="E701" s="24">
        <v>45058</v>
      </c>
      <c r="F701" s="24">
        <v>45076</v>
      </c>
      <c r="G701" s="22" t="s">
        <v>16</v>
      </c>
      <c r="H701" s="25">
        <v>49280</v>
      </c>
      <c r="I701" s="25">
        <v>595</v>
      </c>
      <c r="J701" s="26">
        <v>493.07</v>
      </c>
      <c r="K701" s="25">
        <v>75</v>
      </c>
      <c r="L701" s="21" t="s">
        <v>17</v>
      </c>
      <c r="M701" s="22" t="s">
        <v>16</v>
      </c>
      <c r="N701" s="27">
        <f t="shared" si="80"/>
        <v>18</v>
      </c>
      <c r="O701" s="28">
        <f t="shared" si="81"/>
        <v>1.2073863636363636E-2</v>
      </c>
      <c r="P701" s="28">
        <f t="shared" si="82"/>
        <v>0.12605042016806722</v>
      </c>
      <c r="Q701" s="26">
        <f t="shared" si="83"/>
        <v>0.82868907563025207</v>
      </c>
      <c r="R701" s="29">
        <f t="shared" si="84"/>
        <v>6.5742666666666665</v>
      </c>
      <c r="S701" s="30">
        <f t="shared" si="85"/>
        <v>5</v>
      </c>
      <c r="T701" s="30">
        <f t="shared" si="86"/>
        <v>2023</v>
      </c>
      <c r="U701" s="29" t="str">
        <f t="shared" si="87"/>
        <v>May</v>
      </c>
    </row>
    <row r="702" spans="1:21" ht="17.399999999999999" x14ac:dyDescent="0.3">
      <c r="A702" s="21" t="s">
        <v>3054</v>
      </c>
      <c r="B702" s="21" t="s">
        <v>3055</v>
      </c>
      <c r="C702" s="23" t="s">
        <v>3516</v>
      </c>
      <c r="D702" s="21" t="s">
        <v>3521</v>
      </c>
      <c r="E702" s="24">
        <v>45058</v>
      </c>
      <c r="F702" s="24">
        <v>45065</v>
      </c>
      <c r="G702" s="22" t="s">
        <v>31</v>
      </c>
      <c r="H702" s="25">
        <v>50708</v>
      </c>
      <c r="I702" s="25">
        <v>1629</v>
      </c>
      <c r="J702" s="26">
        <v>2858.28</v>
      </c>
      <c r="K702" s="25">
        <v>191</v>
      </c>
      <c r="L702" s="21" t="s">
        <v>17</v>
      </c>
      <c r="M702" s="22" t="s">
        <v>31</v>
      </c>
      <c r="N702" s="27">
        <f t="shared" si="80"/>
        <v>7</v>
      </c>
      <c r="O702" s="28">
        <f t="shared" si="81"/>
        <v>3.2125108464147671E-2</v>
      </c>
      <c r="P702" s="28">
        <f t="shared" si="82"/>
        <v>0.11724984653161449</v>
      </c>
      <c r="Q702" s="26">
        <f t="shared" si="83"/>
        <v>1.7546224677716391</v>
      </c>
      <c r="R702" s="29">
        <f t="shared" si="84"/>
        <v>14.964816753926703</v>
      </c>
      <c r="S702" s="30">
        <f t="shared" si="85"/>
        <v>5</v>
      </c>
      <c r="T702" s="30">
        <f t="shared" si="86"/>
        <v>2023</v>
      </c>
      <c r="U702" s="29" t="str">
        <f t="shared" si="87"/>
        <v>May</v>
      </c>
    </row>
    <row r="703" spans="1:21" ht="17.399999999999999" x14ac:dyDescent="0.3">
      <c r="A703" s="21" t="s">
        <v>3112</v>
      </c>
      <c r="B703" s="22" t="s">
        <v>3731</v>
      </c>
      <c r="C703" s="23" t="s">
        <v>3515</v>
      </c>
      <c r="D703" s="22" t="s">
        <v>3545</v>
      </c>
      <c r="E703" s="24">
        <v>45058</v>
      </c>
      <c r="F703" s="24">
        <v>45294</v>
      </c>
      <c r="G703" s="22" t="s">
        <v>11</v>
      </c>
      <c r="H703" s="25">
        <v>77242</v>
      </c>
      <c r="I703" s="25">
        <v>3067</v>
      </c>
      <c r="J703" s="26">
        <v>3342.7</v>
      </c>
      <c r="K703" s="25">
        <v>280</v>
      </c>
      <c r="L703" s="21" t="s">
        <v>21</v>
      </c>
      <c r="M703" s="22" t="s">
        <v>11</v>
      </c>
      <c r="N703" s="27">
        <f t="shared" si="80"/>
        <v>236</v>
      </c>
      <c r="O703" s="28">
        <f t="shared" si="81"/>
        <v>3.9706377359467644E-2</v>
      </c>
      <c r="P703" s="28">
        <f t="shared" si="82"/>
        <v>9.1294424519074019E-2</v>
      </c>
      <c r="Q703" s="26">
        <f t="shared" si="83"/>
        <v>1.0898924029996739</v>
      </c>
      <c r="R703" s="29">
        <f t="shared" si="84"/>
        <v>11.938214285714285</v>
      </c>
      <c r="S703" s="30">
        <f t="shared" si="85"/>
        <v>5</v>
      </c>
      <c r="T703" s="30">
        <f t="shared" si="86"/>
        <v>2023</v>
      </c>
      <c r="U703" s="29" t="str">
        <f t="shared" si="87"/>
        <v>May</v>
      </c>
    </row>
    <row r="704" spans="1:21" ht="17.399999999999999" x14ac:dyDescent="0.3">
      <c r="A704" s="21" t="s">
        <v>3210</v>
      </c>
      <c r="B704" s="21" t="s">
        <v>3211</v>
      </c>
      <c r="C704" s="23" t="s">
        <v>3515</v>
      </c>
      <c r="D704" s="21" t="s">
        <v>3521</v>
      </c>
      <c r="E704" s="24">
        <v>45058</v>
      </c>
      <c r="F704" s="24">
        <v>45059</v>
      </c>
      <c r="G704" s="22" t="s">
        <v>24</v>
      </c>
      <c r="H704" s="25">
        <v>51975</v>
      </c>
      <c r="I704" s="25">
        <v>2149</v>
      </c>
      <c r="J704" s="26">
        <v>1573.68</v>
      </c>
      <c r="K704" s="25">
        <v>210</v>
      </c>
      <c r="L704" s="21" t="s">
        <v>17</v>
      </c>
      <c r="M704" s="22" t="s">
        <v>3536</v>
      </c>
      <c r="N704" s="27">
        <f t="shared" si="80"/>
        <v>1</v>
      </c>
      <c r="O704" s="28">
        <f t="shared" si="81"/>
        <v>4.1346801346801347E-2</v>
      </c>
      <c r="P704" s="28">
        <f t="shared" si="82"/>
        <v>9.7719869706840393E-2</v>
      </c>
      <c r="Q704" s="26">
        <f t="shared" si="83"/>
        <v>0.73228478362028848</v>
      </c>
      <c r="R704" s="29">
        <f t="shared" si="84"/>
        <v>7.4937142857142858</v>
      </c>
      <c r="S704" s="30">
        <f t="shared" si="85"/>
        <v>5</v>
      </c>
      <c r="T704" s="30">
        <f t="shared" si="86"/>
        <v>2023</v>
      </c>
      <c r="U704" s="29" t="str">
        <f t="shared" si="87"/>
        <v>May</v>
      </c>
    </row>
    <row r="705" spans="1:21" ht="17.399999999999999" x14ac:dyDescent="0.3">
      <c r="A705" s="21" t="s">
        <v>548</v>
      </c>
      <c r="B705" s="22" t="s">
        <v>3732</v>
      </c>
      <c r="C705" s="23" t="s">
        <v>3515</v>
      </c>
      <c r="D705" s="22" t="s">
        <v>3545</v>
      </c>
      <c r="E705" s="24">
        <v>45058</v>
      </c>
      <c r="F705" s="24">
        <v>45063</v>
      </c>
      <c r="G705" s="22" t="s">
        <v>31</v>
      </c>
      <c r="H705" s="25">
        <v>39360</v>
      </c>
      <c r="I705" s="25">
        <v>867</v>
      </c>
      <c r="J705" s="26">
        <v>778.61</v>
      </c>
      <c r="K705" s="25">
        <v>137</v>
      </c>
      <c r="L705" s="21" t="s">
        <v>21</v>
      </c>
      <c r="M705" s="22" t="s">
        <v>31</v>
      </c>
      <c r="N705" s="27">
        <f t="shared" si="80"/>
        <v>5</v>
      </c>
      <c r="O705" s="28">
        <f t="shared" si="81"/>
        <v>2.2027439024390243E-2</v>
      </c>
      <c r="P705" s="28">
        <f t="shared" si="82"/>
        <v>0.1580161476355248</v>
      </c>
      <c r="Q705" s="26">
        <f t="shared" si="83"/>
        <v>0.89805074971164933</v>
      </c>
      <c r="R705" s="29">
        <f t="shared" si="84"/>
        <v>5.6832846715328467</v>
      </c>
      <c r="S705" s="30">
        <f t="shared" si="85"/>
        <v>5</v>
      </c>
      <c r="T705" s="30">
        <f t="shared" si="86"/>
        <v>2023</v>
      </c>
      <c r="U705" s="29" t="str">
        <f t="shared" si="87"/>
        <v>May</v>
      </c>
    </row>
    <row r="706" spans="1:21" ht="17.399999999999999" x14ac:dyDescent="0.3">
      <c r="A706" s="21" t="s">
        <v>408</v>
      </c>
      <c r="B706" s="21" t="s">
        <v>409</v>
      </c>
      <c r="C706" s="23" t="s">
        <v>3518</v>
      </c>
      <c r="D706" s="21" t="s">
        <v>3520</v>
      </c>
      <c r="E706" s="24">
        <v>45059</v>
      </c>
      <c r="F706" s="24">
        <v>45074</v>
      </c>
      <c r="G706" s="22" t="s">
        <v>3535</v>
      </c>
      <c r="H706" s="25">
        <v>27309</v>
      </c>
      <c r="I706" s="25">
        <v>835</v>
      </c>
      <c r="J706" s="26">
        <v>1395.15</v>
      </c>
      <c r="K706" s="25">
        <v>144</v>
      </c>
      <c r="L706" s="21" t="s">
        <v>21</v>
      </c>
      <c r="M706" s="22" t="s">
        <v>3535</v>
      </c>
      <c r="N706" s="27">
        <f t="shared" ref="N706:N769" si="88">F706-E706</f>
        <v>15</v>
      </c>
      <c r="O706" s="28">
        <f t="shared" ref="O706:O769" si="89">I706/H706</f>
        <v>3.0576000585887435E-2</v>
      </c>
      <c r="P706" s="28">
        <f t="shared" ref="P706:P769" si="90">K706/I706</f>
        <v>0.17245508982035929</v>
      </c>
      <c r="Q706" s="26">
        <f t="shared" ref="Q706:Q769" si="91">J706/I706</f>
        <v>1.6708383233532935</v>
      </c>
      <c r="R706" s="29">
        <f t="shared" ref="R706:R769" si="92">IFERROR(J706/K706,"0")</f>
        <v>9.6885416666666675</v>
      </c>
      <c r="S706" s="30">
        <f t="shared" ref="S706:S769" si="93">MONTH(E706)</f>
        <v>5</v>
      </c>
      <c r="T706" s="30">
        <f t="shared" ref="T706:T769" si="94">YEAR(E706)</f>
        <v>2023</v>
      </c>
      <c r="U706" s="29" t="str">
        <f t="shared" ref="U706:U769" si="95">TEXT(E706,"mmmm")</f>
        <v>May</v>
      </c>
    </row>
    <row r="707" spans="1:21" ht="17.399999999999999" x14ac:dyDescent="0.3">
      <c r="A707" s="21" t="s">
        <v>2843</v>
      </c>
      <c r="B707" s="21" t="s">
        <v>2844</v>
      </c>
      <c r="C707" s="23" t="s">
        <v>3516</v>
      </c>
      <c r="D707" s="21" t="s">
        <v>3517</v>
      </c>
      <c r="E707" s="24">
        <v>45059</v>
      </c>
      <c r="F707" s="24">
        <v>45062</v>
      </c>
      <c r="G707" s="22" t="s">
        <v>24</v>
      </c>
      <c r="H707" s="25">
        <v>91816</v>
      </c>
      <c r="I707" s="25">
        <v>4404</v>
      </c>
      <c r="J707" s="26">
        <v>7462.36</v>
      </c>
      <c r="K707" s="25">
        <v>575</v>
      </c>
      <c r="L707" s="21" t="s">
        <v>21</v>
      </c>
      <c r="M707" s="22" t="s">
        <v>3536</v>
      </c>
      <c r="N707" s="27">
        <f t="shared" si="88"/>
        <v>3</v>
      </c>
      <c r="O707" s="28">
        <f t="shared" si="89"/>
        <v>4.7965496209810929E-2</v>
      </c>
      <c r="P707" s="28">
        <f t="shared" si="90"/>
        <v>0.13056312443233425</v>
      </c>
      <c r="Q707" s="26">
        <f t="shared" si="91"/>
        <v>1.6944504995458674</v>
      </c>
      <c r="R707" s="29">
        <f t="shared" si="92"/>
        <v>12.978017391304347</v>
      </c>
      <c r="S707" s="30">
        <f t="shared" si="93"/>
        <v>5</v>
      </c>
      <c r="T707" s="30">
        <f t="shared" si="94"/>
        <v>2023</v>
      </c>
      <c r="U707" s="29" t="str">
        <f t="shared" si="95"/>
        <v>May</v>
      </c>
    </row>
    <row r="708" spans="1:21" ht="17.399999999999999" x14ac:dyDescent="0.3">
      <c r="A708" s="21" t="s">
        <v>1839</v>
      </c>
      <c r="B708" s="22" t="s">
        <v>3733</v>
      </c>
      <c r="C708" s="23" t="s">
        <v>3515</v>
      </c>
      <c r="D708" s="22" t="s">
        <v>3545</v>
      </c>
      <c r="E708" s="24">
        <v>45059</v>
      </c>
      <c r="F708" s="24">
        <v>45065</v>
      </c>
      <c r="G708" s="22" t="s">
        <v>14</v>
      </c>
      <c r="H708" s="25">
        <v>7469</v>
      </c>
      <c r="I708" s="25">
        <v>208</v>
      </c>
      <c r="J708" s="26">
        <v>192.41</v>
      </c>
      <c r="K708" s="25">
        <v>27</v>
      </c>
      <c r="L708" s="21" t="s">
        <v>17</v>
      </c>
      <c r="M708" s="22" t="s">
        <v>3537</v>
      </c>
      <c r="N708" s="27">
        <f t="shared" si="88"/>
        <v>6</v>
      </c>
      <c r="O708" s="28">
        <f t="shared" si="89"/>
        <v>2.7848440219574239E-2</v>
      </c>
      <c r="P708" s="28">
        <f t="shared" si="90"/>
        <v>0.12980769230769232</v>
      </c>
      <c r="Q708" s="26">
        <f t="shared" si="91"/>
        <v>0.92504807692307689</v>
      </c>
      <c r="R708" s="29">
        <f t="shared" si="92"/>
        <v>7.1262962962962959</v>
      </c>
      <c r="S708" s="30">
        <f t="shared" si="93"/>
        <v>5</v>
      </c>
      <c r="T708" s="30">
        <f t="shared" si="94"/>
        <v>2023</v>
      </c>
      <c r="U708" s="29" t="str">
        <f t="shared" si="95"/>
        <v>May</v>
      </c>
    </row>
    <row r="709" spans="1:21" ht="17.399999999999999" x14ac:dyDescent="0.3">
      <c r="A709" s="21" t="s">
        <v>1904</v>
      </c>
      <c r="B709" s="21" t="s">
        <v>1905</v>
      </c>
      <c r="C709" s="23" t="s">
        <v>3519</v>
      </c>
      <c r="D709" s="21" t="s">
        <v>3520</v>
      </c>
      <c r="E709" s="24">
        <v>45060</v>
      </c>
      <c r="F709" s="24">
        <v>45067</v>
      </c>
      <c r="G709" s="22" t="s">
        <v>11</v>
      </c>
      <c r="H709" s="25">
        <v>43078</v>
      </c>
      <c r="I709" s="25">
        <v>442</v>
      </c>
      <c r="J709" s="26">
        <v>749.07</v>
      </c>
      <c r="K709" s="25">
        <v>51</v>
      </c>
      <c r="L709" s="21" t="s">
        <v>21</v>
      </c>
      <c r="M709" s="22" t="s">
        <v>11</v>
      </c>
      <c r="N709" s="27">
        <f t="shared" si="88"/>
        <v>7</v>
      </c>
      <c r="O709" s="28">
        <f t="shared" si="89"/>
        <v>1.0260457774269928E-2</v>
      </c>
      <c r="P709" s="28">
        <f t="shared" si="90"/>
        <v>0.11538461538461539</v>
      </c>
      <c r="Q709" s="26">
        <f t="shared" si="91"/>
        <v>1.6947285067873303</v>
      </c>
      <c r="R709" s="29">
        <f t="shared" si="92"/>
        <v>14.687647058823531</v>
      </c>
      <c r="S709" s="30">
        <f t="shared" si="93"/>
        <v>5</v>
      </c>
      <c r="T709" s="30">
        <f t="shared" si="94"/>
        <v>2023</v>
      </c>
      <c r="U709" s="29" t="str">
        <f t="shared" si="95"/>
        <v>May</v>
      </c>
    </row>
    <row r="710" spans="1:21" ht="17.399999999999999" x14ac:dyDescent="0.3">
      <c r="A710" s="21" t="s">
        <v>2780</v>
      </c>
      <c r="B710" s="21" t="s">
        <v>2781</v>
      </c>
      <c r="C710" s="23" t="s">
        <v>3516</v>
      </c>
      <c r="D710" s="21" t="s">
        <v>3521</v>
      </c>
      <c r="E710" s="24">
        <v>45060</v>
      </c>
      <c r="F710" s="24">
        <v>45088</v>
      </c>
      <c r="G710" s="22" t="s">
        <v>11</v>
      </c>
      <c r="H710" s="25">
        <v>49543</v>
      </c>
      <c r="I710" s="25">
        <v>898</v>
      </c>
      <c r="J710" s="26">
        <v>1411.7</v>
      </c>
      <c r="K710" s="25">
        <v>0</v>
      </c>
      <c r="L710" s="21" t="s">
        <v>21</v>
      </c>
      <c r="M710" s="22" t="s">
        <v>11</v>
      </c>
      <c r="N710" s="27">
        <f t="shared" si="88"/>
        <v>28</v>
      </c>
      <c r="O710" s="28">
        <f t="shared" si="89"/>
        <v>1.8125668611105504E-2</v>
      </c>
      <c r="P710" s="28">
        <f t="shared" si="90"/>
        <v>0</v>
      </c>
      <c r="Q710" s="26">
        <f t="shared" si="91"/>
        <v>1.5720489977728285</v>
      </c>
      <c r="R710" s="29" t="str">
        <f t="shared" si="92"/>
        <v>0</v>
      </c>
      <c r="S710" s="30">
        <f t="shared" si="93"/>
        <v>5</v>
      </c>
      <c r="T710" s="30">
        <f t="shared" si="94"/>
        <v>2023</v>
      </c>
      <c r="U710" s="29" t="str">
        <f t="shared" si="95"/>
        <v>May</v>
      </c>
    </row>
    <row r="711" spans="1:21" ht="17.399999999999999" x14ac:dyDescent="0.3">
      <c r="A711" s="21" t="s">
        <v>90</v>
      </c>
      <c r="B711" s="22" t="s">
        <v>3734</v>
      </c>
      <c r="C711" s="23" t="s">
        <v>3519</v>
      </c>
      <c r="D711" s="22" t="s">
        <v>3545</v>
      </c>
      <c r="E711" s="24">
        <v>45061</v>
      </c>
      <c r="F711" s="24">
        <v>45078</v>
      </c>
      <c r="G711" s="22" t="s">
        <v>16</v>
      </c>
      <c r="H711" s="25">
        <v>81038</v>
      </c>
      <c r="I711" s="25">
        <v>2149</v>
      </c>
      <c r="J711" s="26">
        <v>3729.91</v>
      </c>
      <c r="K711" s="25">
        <v>116</v>
      </c>
      <c r="L711" s="21" t="s">
        <v>21</v>
      </c>
      <c r="M711" s="22" t="s">
        <v>16</v>
      </c>
      <c r="N711" s="27">
        <f t="shared" si="88"/>
        <v>17</v>
      </c>
      <c r="O711" s="28">
        <f t="shared" si="89"/>
        <v>2.6518423455662774E-2</v>
      </c>
      <c r="P711" s="28">
        <f t="shared" si="90"/>
        <v>5.397859469520707E-2</v>
      </c>
      <c r="Q711" s="26">
        <f t="shared" si="91"/>
        <v>1.735649139134481</v>
      </c>
      <c r="R711" s="29">
        <f t="shared" si="92"/>
        <v>32.154396551724133</v>
      </c>
      <c r="S711" s="30">
        <f t="shared" si="93"/>
        <v>5</v>
      </c>
      <c r="T711" s="30">
        <f t="shared" si="94"/>
        <v>2023</v>
      </c>
      <c r="U711" s="29" t="str">
        <f t="shared" si="95"/>
        <v>May</v>
      </c>
    </row>
    <row r="712" spans="1:21" ht="17.399999999999999" x14ac:dyDescent="0.3">
      <c r="A712" s="21" t="s">
        <v>2088</v>
      </c>
      <c r="B712" s="21" t="s">
        <v>2089</v>
      </c>
      <c r="C712" s="23" t="s">
        <v>3518</v>
      </c>
      <c r="D712" s="21" t="s">
        <v>3521</v>
      </c>
      <c r="E712" s="24">
        <v>45061</v>
      </c>
      <c r="F712" s="24">
        <v>45088</v>
      </c>
      <c r="G712" s="22" t="s">
        <v>16</v>
      </c>
      <c r="H712" s="25">
        <v>77325</v>
      </c>
      <c r="I712" s="25">
        <v>783</v>
      </c>
      <c r="J712" s="26">
        <v>498.74</v>
      </c>
      <c r="K712" s="25">
        <v>104</v>
      </c>
      <c r="L712" s="21" t="s">
        <v>21</v>
      </c>
      <c r="M712" s="22" t="s">
        <v>16</v>
      </c>
      <c r="N712" s="27">
        <f t="shared" si="88"/>
        <v>27</v>
      </c>
      <c r="O712" s="28">
        <f t="shared" si="89"/>
        <v>1.0126091173617846E-2</v>
      </c>
      <c r="P712" s="28">
        <f t="shared" si="90"/>
        <v>0.13282247765006386</v>
      </c>
      <c r="Q712" s="26">
        <f t="shared" si="91"/>
        <v>0.63696040868454662</v>
      </c>
      <c r="R712" s="29">
        <f t="shared" si="92"/>
        <v>4.795576923076923</v>
      </c>
      <c r="S712" s="30">
        <f t="shared" si="93"/>
        <v>5</v>
      </c>
      <c r="T712" s="30">
        <f t="shared" si="94"/>
        <v>2023</v>
      </c>
      <c r="U712" s="29" t="str">
        <f t="shared" si="95"/>
        <v>May</v>
      </c>
    </row>
    <row r="713" spans="1:21" ht="17.399999999999999" x14ac:dyDescent="0.3">
      <c r="A713" s="21" t="s">
        <v>2950</v>
      </c>
      <c r="B713" s="21" t="s">
        <v>2951</v>
      </c>
      <c r="C713" s="23" t="s">
        <v>3518</v>
      </c>
      <c r="D713" s="21" t="s">
        <v>3521</v>
      </c>
      <c r="E713" s="24">
        <v>45061</v>
      </c>
      <c r="F713" s="24">
        <v>45081</v>
      </c>
      <c r="G713" s="22" t="s">
        <v>11</v>
      </c>
      <c r="H713" s="25">
        <v>35701</v>
      </c>
      <c r="I713" s="25">
        <v>1692</v>
      </c>
      <c r="J713" s="26">
        <v>1371.35</v>
      </c>
      <c r="K713" s="25">
        <v>259</v>
      </c>
      <c r="L713" s="21" t="s">
        <v>21</v>
      </c>
      <c r="M713" s="22" t="s">
        <v>11</v>
      </c>
      <c r="N713" s="27">
        <f t="shared" si="88"/>
        <v>20</v>
      </c>
      <c r="O713" s="28">
        <f t="shared" si="89"/>
        <v>4.7393630430520153E-2</v>
      </c>
      <c r="P713" s="28">
        <f t="shared" si="90"/>
        <v>0.15307328605200946</v>
      </c>
      <c r="Q713" s="26">
        <f t="shared" si="91"/>
        <v>0.81049054373522456</v>
      </c>
      <c r="R713" s="29">
        <f t="shared" si="92"/>
        <v>5.2947876447876441</v>
      </c>
      <c r="S713" s="30">
        <f t="shared" si="93"/>
        <v>5</v>
      </c>
      <c r="T713" s="30">
        <f t="shared" si="94"/>
        <v>2023</v>
      </c>
      <c r="U713" s="29" t="str">
        <f t="shared" si="95"/>
        <v>May</v>
      </c>
    </row>
    <row r="714" spans="1:21" ht="17.399999999999999" x14ac:dyDescent="0.3">
      <c r="A714" s="21" t="s">
        <v>2654</v>
      </c>
      <c r="B714" s="22" t="s">
        <v>3735</v>
      </c>
      <c r="C714" s="23" t="s">
        <v>3515</v>
      </c>
      <c r="D714" s="22" t="s">
        <v>3545</v>
      </c>
      <c r="E714" s="24">
        <v>45061</v>
      </c>
      <c r="F714" s="24">
        <v>45074</v>
      </c>
      <c r="G714" s="22" t="s">
        <v>11</v>
      </c>
      <c r="H714" s="25">
        <v>52860</v>
      </c>
      <c r="I714" s="25">
        <v>2420</v>
      </c>
      <c r="J714" s="26">
        <v>3586.65</v>
      </c>
      <c r="K714" s="25">
        <v>430</v>
      </c>
      <c r="L714" s="21" t="s">
        <v>21</v>
      </c>
      <c r="M714" s="22" t="s">
        <v>11</v>
      </c>
      <c r="N714" s="27">
        <f t="shared" si="88"/>
        <v>13</v>
      </c>
      <c r="O714" s="28">
        <f t="shared" si="89"/>
        <v>4.5781309118426032E-2</v>
      </c>
      <c r="P714" s="28">
        <f t="shared" si="90"/>
        <v>0.17768595041322313</v>
      </c>
      <c r="Q714" s="26">
        <f t="shared" si="91"/>
        <v>1.4820867768595041</v>
      </c>
      <c r="R714" s="29">
        <f t="shared" si="92"/>
        <v>8.3410465116279067</v>
      </c>
      <c r="S714" s="30">
        <f t="shared" si="93"/>
        <v>5</v>
      </c>
      <c r="T714" s="30">
        <f t="shared" si="94"/>
        <v>2023</v>
      </c>
      <c r="U714" s="29" t="str">
        <f t="shared" si="95"/>
        <v>May</v>
      </c>
    </row>
    <row r="715" spans="1:21" ht="17.399999999999999" x14ac:dyDescent="0.3">
      <c r="A715" s="21" t="s">
        <v>2803</v>
      </c>
      <c r="B715" s="21" t="s">
        <v>2804</v>
      </c>
      <c r="C715" s="23" t="s">
        <v>3515</v>
      </c>
      <c r="D715" s="21" t="s">
        <v>3517</v>
      </c>
      <c r="E715" s="24">
        <v>45061</v>
      </c>
      <c r="F715" s="24">
        <v>45081</v>
      </c>
      <c r="G715" s="22" t="s">
        <v>3535</v>
      </c>
      <c r="H715" s="25">
        <v>13984</v>
      </c>
      <c r="I715" s="25">
        <v>641</v>
      </c>
      <c r="J715" s="26">
        <v>324.19</v>
      </c>
      <c r="K715" s="25">
        <v>110</v>
      </c>
      <c r="L715" s="21" t="s">
        <v>17</v>
      </c>
      <c r="M715" s="22" t="s">
        <v>3535</v>
      </c>
      <c r="N715" s="27">
        <f t="shared" si="88"/>
        <v>20</v>
      </c>
      <c r="O715" s="28">
        <f t="shared" si="89"/>
        <v>4.5838100686498857E-2</v>
      </c>
      <c r="P715" s="28">
        <f t="shared" si="90"/>
        <v>0.17160686427457097</v>
      </c>
      <c r="Q715" s="26">
        <f t="shared" si="91"/>
        <v>0.50575663026521056</v>
      </c>
      <c r="R715" s="29">
        <f t="shared" si="92"/>
        <v>2.9471818181818183</v>
      </c>
      <c r="S715" s="30">
        <f t="shared" si="93"/>
        <v>5</v>
      </c>
      <c r="T715" s="30">
        <f t="shared" si="94"/>
        <v>2023</v>
      </c>
      <c r="U715" s="29" t="str">
        <f t="shared" si="95"/>
        <v>May</v>
      </c>
    </row>
    <row r="716" spans="1:21" ht="17.399999999999999" x14ac:dyDescent="0.3">
      <c r="A716" s="21" t="s">
        <v>3143</v>
      </c>
      <c r="B716" s="21" t="s">
        <v>3144</v>
      </c>
      <c r="C716" s="23" t="s">
        <v>3515</v>
      </c>
      <c r="D716" s="21" t="s">
        <v>3517</v>
      </c>
      <c r="E716" s="24">
        <v>45061</v>
      </c>
      <c r="F716" s="24">
        <v>45090</v>
      </c>
      <c r="G716" s="22" t="s">
        <v>24</v>
      </c>
      <c r="H716" s="25">
        <v>81395</v>
      </c>
      <c r="I716" s="25">
        <v>910</v>
      </c>
      <c r="J716" s="26">
        <v>730</v>
      </c>
      <c r="K716" s="25">
        <v>46</v>
      </c>
      <c r="L716" s="21" t="s">
        <v>21</v>
      </c>
      <c r="M716" s="22" t="s">
        <v>3536</v>
      </c>
      <c r="N716" s="27">
        <f t="shared" si="88"/>
        <v>29</v>
      </c>
      <c r="O716" s="28">
        <f t="shared" si="89"/>
        <v>1.1180047914491061E-2</v>
      </c>
      <c r="P716" s="28">
        <f t="shared" si="90"/>
        <v>5.054945054945055E-2</v>
      </c>
      <c r="Q716" s="26">
        <f t="shared" si="91"/>
        <v>0.80219780219780223</v>
      </c>
      <c r="R716" s="29">
        <f t="shared" si="92"/>
        <v>15.869565217391305</v>
      </c>
      <c r="S716" s="30">
        <f t="shared" si="93"/>
        <v>5</v>
      </c>
      <c r="T716" s="30">
        <f t="shared" si="94"/>
        <v>2023</v>
      </c>
      <c r="U716" s="29" t="str">
        <f t="shared" si="95"/>
        <v>May</v>
      </c>
    </row>
    <row r="717" spans="1:21" ht="17.399999999999999" x14ac:dyDescent="0.3">
      <c r="A717" s="21" t="s">
        <v>717</v>
      </c>
      <c r="B717" s="22" t="s">
        <v>3736</v>
      </c>
      <c r="C717" s="23" t="s">
        <v>3519</v>
      </c>
      <c r="D717" s="22" t="s">
        <v>3545</v>
      </c>
      <c r="E717" s="24">
        <v>45062</v>
      </c>
      <c r="F717" s="24">
        <v>45080</v>
      </c>
      <c r="G717" s="22" t="s">
        <v>11</v>
      </c>
      <c r="H717" s="25">
        <v>20190</v>
      </c>
      <c r="I717" s="25">
        <v>760</v>
      </c>
      <c r="J717" s="26">
        <v>896.21</v>
      </c>
      <c r="K717" s="25">
        <v>89</v>
      </c>
      <c r="L717" s="21" t="s">
        <v>21</v>
      </c>
      <c r="M717" s="22" t="s">
        <v>11</v>
      </c>
      <c r="N717" s="27">
        <f t="shared" si="88"/>
        <v>18</v>
      </c>
      <c r="O717" s="28">
        <f t="shared" si="89"/>
        <v>3.7642397226349676E-2</v>
      </c>
      <c r="P717" s="28">
        <f t="shared" si="90"/>
        <v>0.11710526315789474</v>
      </c>
      <c r="Q717" s="26">
        <f t="shared" si="91"/>
        <v>1.1792236842105264</v>
      </c>
      <c r="R717" s="29">
        <f t="shared" si="92"/>
        <v>10.069775280898877</v>
      </c>
      <c r="S717" s="30">
        <f t="shared" si="93"/>
        <v>5</v>
      </c>
      <c r="T717" s="30">
        <f t="shared" si="94"/>
        <v>2023</v>
      </c>
      <c r="U717" s="29" t="str">
        <f t="shared" si="95"/>
        <v>May</v>
      </c>
    </row>
    <row r="718" spans="1:21" ht="17.399999999999999" x14ac:dyDescent="0.3">
      <c r="A718" s="21" t="s">
        <v>1119</v>
      </c>
      <c r="B718" s="21" t="s">
        <v>1120</v>
      </c>
      <c r="C718" s="23" t="s">
        <v>3519</v>
      </c>
      <c r="D718" s="21" t="s">
        <v>3521</v>
      </c>
      <c r="E718" s="24">
        <v>45062</v>
      </c>
      <c r="F718" s="24">
        <v>45088</v>
      </c>
      <c r="G718" s="22" t="s">
        <v>14</v>
      </c>
      <c r="H718" s="25">
        <v>33307</v>
      </c>
      <c r="I718" s="25">
        <v>416</v>
      </c>
      <c r="J718" s="26">
        <v>799.71</v>
      </c>
      <c r="K718" s="25">
        <v>61</v>
      </c>
      <c r="L718" s="21" t="s">
        <v>21</v>
      </c>
      <c r="M718" s="22" t="s">
        <v>3537</v>
      </c>
      <c r="N718" s="27">
        <f t="shared" si="88"/>
        <v>26</v>
      </c>
      <c r="O718" s="28">
        <f t="shared" si="89"/>
        <v>1.2489866994925991E-2</v>
      </c>
      <c r="P718" s="28">
        <f t="shared" si="90"/>
        <v>0.14663461538461539</v>
      </c>
      <c r="Q718" s="26">
        <f t="shared" si="91"/>
        <v>1.9223798076923078</v>
      </c>
      <c r="R718" s="29">
        <f t="shared" si="92"/>
        <v>13.110000000000001</v>
      </c>
      <c r="S718" s="30">
        <f t="shared" si="93"/>
        <v>5</v>
      </c>
      <c r="T718" s="30">
        <f t="shared" si="94"/>
        <v>2023</v>
      </c>
      <c r="U718" s="29" t="str">
        <f t="shared" si="95"/>
        <v>May</v>
      </c>
    </row>
    <row r="719" spans="1:21" ht="17.399999999999999" x14ac:dyDescent="0.3">
      <c r="A719" s="21" t="s">
        <v>37</v>
      </c>
      <c r="B719" s="21" t="s">
        <v>38</v>
      </c>
      <c r="C719" s="23" t="s">
        <v>3518</v>
      </c>
      <c r="D719" s="21" t="s">
        <v>3520</v>
      </c>
      <c r="E719" s="24">
        <v>45062</v>
      </c>
      <c r="F719" s="24">
        <v>45078</v>
      </c>
      <c r="G719" s="22" t="s">
        <v>31</v>
      </c>
      <c r="H719" s="25">
        <v>68221</v>
      </c>
      <c r="I719" s="25">
        <v>2975</v>
      </c>
      <c r="J719" s="26">
        <v>5292.16</v>
      </c>
      <c r="K719" s="25">
        <v>567</v>
      </c>
      <c r="L719" s="21" t="s">
        <v>17</v>
      </c>
      <c r="M719" s="22" t="s">
        <v>31</v>
      </c>
      <c r="N719" s="27">
        <f t="shared" si="88"/>
        <v>16</v>
      </c>
      <c r="O719" s="28">
        <f t="shared" si="89"/>
        <v>4.360827311238475E-2</v>
      </c>
      <c r="P719" s="28">
        <f t="shared" si="90"/>
        <v>0.19058823529411764</v>
      </c>
      <c r="Q719" s="26">
        <f t="shared" si="91"/>
        <v>1.7788773109243696</v>
      </c>
      <c r="R719" s="29">
        <f t="shared" si="92"/>
        <v>9.3336155202821871</v>
      </c>
      <c r="S719" s="30">
        <f t="shared" si="93"/>
        <v>5</v>
      </c>
      <c r="T719" s="30">
        <f t="shared" si="94"/>
        <v>2023</v>
      </c>
      <c r="U719" s="29" t="str">
        <f t="shared" si="95"/>
        <v>May</v>
      </c>
    </row>
    <row r="720" spans="1:21" ht="17.399999999999999" x14ac:dyDescent="0.3">
      <c r="A720" s="21" t="s">
        <v>1158</v>
      </c>
      <c r="B720" s="21" t="s">
        <v>1159</v>
      </c>
      <c r="C720" s="23" t="s">
        <v>3518</v>
      </c>
      <c r="D720" s="21" t="s">
        <v>3520</v>
      </c>
      <c r="E720" s="24">
        <v>45062</v>
      </c>
      <c r="F720" s="24">
        <v>45067</v>
      </c>
      <c r="G720" s="22" t="s">
        <v>31</v>
      </c>
      <c r="H720" s="25">
        <v>75460</v>
      </c>
      <c r="I720" s="25">
        <v>3116</v>
      </c>
      <c r="J720" s="26">
        <v>5070.29</v>
      </c>
      <c r="K720" s="25">
        <v>0</v>
      </c>
      <c r="L720" s="21" t="s">
        <v>21</v>
      </c>
      <c r="M720" s="22" t="s">
        <v>31</v>
      </c>
      <c r="N720" s="27">
        <f t="shared" si="88"/>
        <v>5</v>
      </c>
      <c r="O720" s="28">
        <f t="shared" si="89"/>
        <v>4.1293400477073944E-2</v>
      </c>
      <c r="P720" s="28">
        <f t="shared" si="90"/>
        <v>0</v>
      </c>
      <c r="Q720" s="26">
        <f t="shared" si="91"/>
        <v>1.6271790757381257</v>
      </c>
      <c r="R720" s="29" t="str">
        <f t="shared" si="92"/>
        <v>0</v>
      </c>
      <c r="S720" s="30">
        <f t="shared" si="93"/>
        <v>5</v>
      </c>
      <c r="T720" s="30">
        <f t="shared" si="94"/>
        <v>2023</v>
      </c>
      <c r="U720" s="29" t="str">
        <f t="shared" si="95"/>
        <v>May</v>
      </c>
    </row>
    <row r="721" spans="1:21" ht="17.399999999999999" x14ac:dyDescent="0.3">
      <c r="A721" s="21" t="s">
        <v>155</v>
      </c>
      <c r="B721" s="21" t="s">
        <v>156</v>
      </c>
      <c r="C721" s="23" t="s">
        <v>3515</v>
      </c>
      <c r="D721" s="21" t="s">
        <v>3520</v>
      </c>
      <c r="E721" s="24">
        <v>45062</v>
      </c>
      <c r="F721" s="24">
        <v>45069</v>
      </c>
      <c r="G721" s="22" t="s">
        <v>11</v>
      </c>
      <c r="H721" s="25">
        <v>56591</v>
      </c>
      <c r="I721" s="25">
        <v>1829</v>
      </c>
      <c r="J721" s="26">
        <v>1748.61</v>
      </c>
      <c r="K721" s="25">
        <v>138</v>
      </c>
      <c r="L721" s="21" t="s">
        <v>17</v>
      </c>
      <c r="M721" s="22" t="s">
        <v>11</v>
      </c>
      <c r="N721" s="27">
        <f t="shared" si="88"/>
        <v>7</v>
      </c>
      <c r="O721" s="28">
        <f t="shared" si="89"/>
        <v>3.2319626795780244E-2</v>
      </c>
      <c r="P721" s="28">
        <f t="shared" si="90"/>
        <v>7.5451066156369595E-2</v>
      </c>
      <c r="Q721" s="26">
        <f t="shared" si="91"/>
        <v>0.95604702022963362</v>
      </c>
      <c r="R721" s="29">
        <f t="shared" si="92"/>
        <v>12.671086956521739</v>
      </c>
      <c r="S721" s="30">
        <f t="shared" si="93"/>
        <v>5</v>
      </c>
      <c r="T721" s="30">
        <f t="shared" si="94"/>
        <v>2023</v>
      </c>
      <c r="U721" s="29" t="str">
        <f t="shared" si="95"/>
        <v>May</v>
      </c>
    </row>
    <row r="722" spans="1:21" ht="17.399999999999999" x14ac:dyDescent="0.3">
      <c r="A722" s="21" t="s">
        <v>578</v>
      </c>
      <c r="B722" s="21" t="s">
        <v>579</v>
      </c>
      <c r="C722" s="23" t="s">
        <v>3515</v>
      </c>
      <c r="D722" s="21" t="s">
        <v>3520</v>
      </c>
      <c r="E722" s="24">
        <v>45062</v>
      </c>
      <c r="F722" s="24">
        <v>45068</v>
      </c>
      <c r="G722" s="22" t="s">
        <v>14</v>
      </c>
      <c r="H722" s="25">
        <v>4987</v>
      </c>
      <c r="I722" s="25">
        <v>150</v>
      </c>
      <c r="J722" s="26">
        <v>190.41</v>
      </c>
      <c r="K722" s="25">
        <v>13</v>
      </c>
      <c r="L722" s="21" t="s">
        <v>17</v>
      </c>
      <c r="M722" s="22" t="s">
        <v>3537</v>
      </c>
      <c r="N722" s="27">
        <f t="shared" si="88"/>
        <v>6</v>
      </c>
      <c r="O722" s="28">
        <f t="shared" si="89"/>
        <v>3.0078203328654501E-2</v>
      </c>
      <c r="P722" s="28">
        <f t="shared" si="90"/>
        <v>8.666666666666667E-2</v>
      </c>
      <c r="Q722" s="26">
        <f t="shared" si="91"/>
        <v>1.2694000000000001</v>
      </c>
      <c r="R722" s="29">
        <f t="shared" si="92"/>
        <v>14.646923076923077</v>
      </c>
      <c r="S722" s="30">
        <f t="shared" si="93"/>
        <v>5</v>
      </c>
      <c r="T722" s="30">
        <f t="shared" si="94"/>
        <v>2023</v>
      </c>
      <c r="U722" s="29" t="str">
        <f t="shared" si="95"/>
        <v>May</v>
      </c>
    </row>
    <row r="723" spans="1:21" ht="17.399999999999999" x14ac:dyDescent="0.3">
      <c r="A723" s="21" t="s">
        <v>1196</v>
      </c>
      <c r="B723" s="21" t="s">
        <v>1197</v>
      </c>
      <c r="C723" s="23" t="s">
        <v>3515</v>
      </c>
      <c r="D723" s="21" t="s">
        <v>3517</v>
      </c>
      <c r="E723" s="24">
        <v>45062</v>
      </c>
      <c r="F723" s="24">
        <v>45084</v>
      </c>
      <c r="G723" s="22" t="s">
        <v>14</v>
      </c>
      <c r="H723" s="25">
        <v>89092</v>
      </c>
      <c r="I723" s="25">
        <v>4178</v>
      </c>
      <c r="J723" s="26">
        <v>6846.2</v>
      </c>
      <c r="K723" s="25">
        <v>0</v>
      </c>
      <c r="L723" s="21" t="s">
        <v>17</v>
      </c>
      <c r="M723" s="22" t="s">
        <v>3537</v>
      </c>
      <c r="N723" s="27">
        <f t="shared" si="88"/>
        <v>22</v>
      </c>
      <c r="O723" s="28">
        <f t="shared" si="89"/>
        <v>4.68953441386432E-2</v>
      </c>
      <c r="P723" s="28">
        <f t="shared" si="90"/>
        <v>0</v>
      </c>
      <c r="Q723" s="26">
        <f t="shared" si="91"/>
        <v>1.6386309238870271</v>
      </c>
      <c r="R723" s="29" t="str">
        <f t="shared" si="92"/>
        <v>0</v>
      </c>
      <c r="S723" s="30">
        <f t="shared" si="93"/>
        <v>5</v>
      </c>
      <c r="T723" s="30">
        <f t="shared" si="94"/>
        <v>2023</v>
      </c>
      <c r="U723" s="29" t="str">
        <f t="shared" si="95"/>
        <v>May</v>
      </c>
    </row>
    <row r="724" spans="1:21" ht="17.399999999999999" x14ac:dyDescent="0.3">
      <c r="A724" s="21" t="s">
        <v>2083</v>
      </c>
      <c r="B724" s="22" t="s">
        <v>3737</v>
      </c>
      <c r="C724" s="23" t="s">
        <v>3515</v>
      </c>
      <c r="D724" s="22" t="s">
        <v>3545</v>
      </c>
      <c r="E724" s="24">
        <v>45062</v>
      </c>
      <c r="F724" s="24">
        <v>45092</v>
      </c>
      <c r="G724" s="22" t="s">
        <v>31</v>
      </c>
      <c r="H724" s="25">
        <v>72315</v>
      </c>
      <c r="I724" s="25">
        <v>2101</v>
      </c>
      <c r="J724" s="26">
        <v>2359.9899999999998</v>
      </c>
      <c r="K724" s="25">
        <v>116</v>
      </c>
      <c r="L724" s="21" t="s">
        <v>17</v>
      </c>
      <c r="M724" s="22" t="s">
        <v>31</v>
      </c>
      <c r="N724" s="27">
        <f t="shared" si="88"/>
        <v>30</v>
      </c>
      <c r="O724" s="28">
        <f t="shared" si="89"/>
        <v>2.9053446726128741E-2</v>
      </c>
      <c r="P724" s="28">
        <f t="shared" si="90"/>
        <v>5.5211803902903381E-2</v>
      </c>
      <c r="Q724" s="26">
        <f t="shared" si="91"/>
        <v>1.1232698714897666</v>
      </c>
      <c r="R724" s="29">
        <f t="shared" si="92"/>
        <v>20.344741379310342</v>
      </c>
      <c r="S724" s="30">
        <f t="shared" si="93"/>
        <v>5</v>
      </c>
      <c r="T724" s="30">
        <f t="shared" si="94"/>
        <v>2023</v>
      </c>
      <c r="U724" s="29" t="str">
        <f t="shared" si="95"/>
        <v>May</v>
      </c>
    </row>
    <row r="725" spans="1:21" ht="17.399999999999999" x14ac:dyDescent="0.3">
      <c r="A725" s="21" t="s">
        <v>1459</v>
      </c>
      <c r="B725" s="21" t="s">
        <v>1460</v>
      </c>
      <c r="C725" s="23" t="s">
        <v>3519</v>
      </c>
      <c r="D725" s="21" t="s">
        <v>3520</v>
      </c>
      <c r="E725" s="24">
        <v>45062</v>
      </c>
      <c r="F725" s="24">
        <v>45174</v>
      </c>
      <c r="G725" s="22" t="s">
        <v>16</v>
      </c>
      <c r="H725" s="25">
        <v>35816</v>
      </c>
      <c r="I725" s="25">
        <v>1291</v>
      </c>
      <c r="J725" s="26">
        <v>1261.81</v>
      </c>
      <c r="K725" s="25">
        <v>82</v>
      </c>
      <c r="L725" s="21" t="s">
        <v>21</v>
      </c>
      <c r="M725" s="22" t="s">
        <v>16</v>
      </c>
      <c r="N725" s="27">
        <f t="shared" si="88"/>
        <v>112</v>
      </c>
      <c r="O725" s="28">
        <f t="shared" si="89"/>
        <v>3.6045342863524683E-2</v>
      </c>
      <c r="P725" s="28">
        <f t="shared" si="90"/>
        <v>6.3516653756777688E-2</v>
      </c>
      <c r="Q725" s="26">
        <f t="shared" si="91"/>
        <v>0.97738962044926414</v>
      </c>
      <c r="R725" s="29">
        <f t="shared" si="92"/>
        <v>15.387926829268292</v>
      </c>
      <c r="S725" s="30">
        <f t="shared" si="93"/>
        <v>5</v>
      </c>
      <c r="T725" s="30">
        <f t="shared" si="94"/>
        <v>2023</v>
      </c>
      <c r="U725" s="29" t="str">
        <f t="shared" si="95"/>
        <v>May</v>
      </c>
    </row>
    <row r="726" spans="1:21" ht="17.399999999999999" x14ac:dyDescent="0.3">
      <c r="A726" s="21" t="s">
        <v>1295</v>
      </c>
      <c r="B726" s="21" t="s">
        <v>1296</v>
      </c>
      <c r="C726" s="23" t="s">
        <v>3519</v>
      </c>
      <c r="D726" s="21" t="s">
        <v>3521</v>
      </c>
      <c r="E726" s="24">
        <v>45063</v>
      </c>
      <c r="F726" s="24">
        <v>45067</v>
      </c>
      <c r="G726" s="22" t="s">
        <v>31</v>
      </c>
      <c r="H726" s="25">
        <v>77539</v>
      </c>
      <c r="I726" s="25">
        <v>1476</v>
      </c>
      <c r="J726" s="26">
        <v>790.1</v>
      </c>
      <c r="K726" s="25">
        <v>178</v>
      </c>
      <c r="L726" s="21" t="s">
        <v>21</v>
      </c>
      <c r="M726" s="22" t="s">
        <v>31</v>
      </c>
      <c r="N726" s="27">
        <f t="shared" si="88"/>
        <v>4</v>
      </c>
      <c r="O726" s="28">
        <f t="shared" si="89"/>
        <v>1.9035582094171964E-2</v>
      </c>
      <c r="P726" s="28">
        <f t="shared" si="90"/>
        <v>0.12059620596205962</v>
      </c>
      <c r="Q726" s="26">
        <f t="shared" si="91"/>
        <v>0.53529810298102987</v>
      </c>
      <c r="R726" s="29">
        <f t="shared" si="92"/>
        <v>4.4387640449438202</v>
      </c>
      <c r="S726" s="30">
        <f t="shared" si="93"/>
        <v>5</v>
      </c>
      <c r="T726" s="30">
        <f t="shared" si="94"/>
        <v>2023</v>
      </c>
      <c r="U726" s="29" t="str">
        <f t="shared" si="95"/>
        <v>May</v>
      </c>
    </row>
    <row r="727" spans="1:21" ht="17.399999999999999" x14ac:dyDescent="0.3">
      <c r="A727" s="21" t="s">
        <v>525</v>
      </c>
      <c r="B727" s="21" t="s">
        <v>526</v>
      </c>
      <c r="C727" s="23" t="s">
        <v>3518</v>
      </c>
      <c r="D727" s="21" t="s">
        <v>3520</v>
      </c>
      <c r="E727" s="24">
        <v>45063</v>
      </c>
      <c r="F727" s="24">
        <v>45086</v>
      </c>
      <c r="G727" s="22" t="s">
        <v>16</v>
      </c>
      <c r="H727" s="25">
        <v>67690</v>
      </c>
      <c r="I727" s="25">
        <v>3372</v>
      </c>
      <c r="J727" s="26">
        <v>3393.83</v>
      </c>
      <c r="K727" s="25">
        <v>0</v>
      </c>
      <c r="L727" s="21" t="s">
        <v>17</v>
      </c>
      <c r="M727" s="22" t="s">
        <v>16</v>
      </c>
      <c r="N727" s="27">
        <f t="shared" si="88"/>
        <v>23</v>
      </c>
      <c r="O727" s="28">
        <f t="shared" si="89"/>
        <v>4.9815334613680012E-2</v>
      </c>
      <c r="P727" s="28">
        <f t="shared" si="90"/>
        <v>0</v>
      </c>
      <c r="Q727" s="26">
        <f t="shared" si="91"/>
        <v>1.0064739027283511</v>
      </c>
      <c r="R727" s="29" t="str">
        <f t="shared" si="92"/>
        <v>0</v>
      </c>
      <c r="S727" s="30">
        <f t="shared" si="93"/>
        <v>5</v>
      </c>
      <c r="T727" s="30">
        <f t="shared" si="94"/>
        <v>2023</v>
      </c>
      <c r="U727" s="29" t="str">
        <f t="shared" si="95"/>
        <v>May</v>
      </c>
    </row>
    <row r="728" spans="1:21" ht="17.399999999999999" x14ac:dyDescent="0.3">
      <c r="A728" s="21" t="s">
        <v>235</v>
      </c>
      <c r="B728" s="22" t="s">
        <v>3738</v>
      </c>
      <c r="C728" s="23" t="s">
        <v>3515</v>
      </c>
      <c r="D728" s="22" t="s">
        <v>3545</v>
      </c>
      <c r="E728" s="24">
        <v>45063</v>
      </c>
      <c r="F728" s="24">
        <v>45088</v>
      </c>
      <c r="G728" s="22" t="s">
        <v>24</v>
      </c>
      <c r="H728" s="25">
        <v>64335</v>
      </c>
      <c r="I728" s="25">
        <v>2690</v>
      </c>
      <c r="J728" s="26">
        <v>3893.68</v>
      </c>
      <c r="K728" s="25">
        <v>0</v>
      </c>
      <c r="L728" s="21" t="s">
        <v>21</v>
      </c>
      <c r="M728" s="22" t="s">
        <v>3536</v>
      </c>
      <c r="N728" s="27">
        <f t="shared" si="88"/>
        <v>25</v>
      </c>
      <c r="O728" s="28">
        <f t="shared" si="89"/>
        <v>4.1812388280096369E-2</v>
      </c>
      <c r="P728" s="28">
        <f t="shared" si="90"/>
        <v>0</v>
      </c>
      <c r="Q728" s="26">
        <f t="shared" si="91"/>
        <v>1.4474646840148697</v>
      </c>
      <c r="R728" s="29" t="str">
        <f t="shared" si="92"/>
        <v>0</v>
      </c>
      <c r="S728" s="30">
        <f t="shared" si="93"/>
        <v>5</v>
      </c>
      <c r="T728" s="30">
        <f t="shared" si="94"/>
        <v>2023</v>
      </c>
      <c r="U728" s="29" t="str">
        <f t="shared" si="95"/>
        <v>May</v>
      </c>
    </row>
    <row r="729" spans="1:21" ht="17.399999999999999" x14ac:dyDescent="0.3">
      <c r="A729" s="21" t="s">
        <v>780</v>
      </c>
      <c r="B729" s="22" t="s">
        <v>3739</v>
      </c>
      <c r="C729" s="23" t="s">
        <v>3515</v>
      </c>
      <c r="D729" s="22" t="s">
        <v>3545</v>
      </c>
      <c r="E729" s="24">
        <v>45063</v>
      </c>
      <c r="F729" s="24">
        <v>45093</v>
      </c>
      <c r="G729" s="22" t="s">
        <v>14</v>
      </c>
      <c r="H729" s="25">
        <v>93772</v>
      </c>
      <c r="I729" s="25">
        <v>2810</v>
      </c>
      <c r="J729" s="26">
        <v>2135.64</v>
      </c>
      <c r="K729" s="25">
        <v>181</v>
      </c>
      <c r="L729" s="21" t="s">
        <v>21</v>
      </c>
      <c r="M729" s="22" t="s">
        <v>3537</v>
      </c>
      <c r="N729" s="27">
        <f t="shared" si="88"/>
        <v>30</v>
      </c>
      <c r="O729" s="28">
        <f t="shared" si="89"/>
        <v>2.9966301241308706E-2</v>
      </c>
      <c r="P729" s="28">
        <f t="shared" si="90"/>
        <v>6.4412811387900351E-2</v>
      </c>
      <c r="Q729" s="26">
        <f t="shared" si="91"/>
        <v>0.76001423487544484</v>
      </c>
      <c r="R729" s="29">
        <f t="shared" si="92"/>
        <v>11.799116022099447</v>
      </c>
      <c r="S729" s="30">
        <f t="shared" si="93"/>
        <v>5</v>
      </c>
      <c r="T729" s="30">
        <f t="shared" si="94"/>
        <v>2023</v>
      </c>
      <c r="U729" s="29" t="str">
        <f t="shared" si="95"/>
        <v>May</v>
      </c>
    </row>
    <row r="730" spans="1:21" ht="17.399999999999999" x14ac:dyDescent="0.3">
      <c r="A730" s="21" t="s">
        <v>1680</v>
      </c>
      <c r="B730" s="21" t="s">
        <v>1681</v>
      </c>
      <c r="C730" s="23" t="s">
        <v>3518</v>
      </c>
      <c r="D730" s="21" t="s">
        <v>3521</v>
      </c>
      <c r="E730" s="24">
        <v>45064</v>
      </c>
      <c r="F730" s="24">
        <v>45089</v>
      </c>
      <c r="G730" s="22" t="s">
        <v>3535</v>
      </c>
      <c r="H730" s="25">
        <v>74686</v>
      </c>
      <c r="I730" s="25">
        <v>3646</v>
      </c>
      <c r="J730" s="26">
        <v>2810.25</v>
      </c>
      <c r="K730" s="25">
        <v>429</v>
      </c>
      <c r="L730" s="21" t="s">
        <v>21</v>
      </c>
      <c r="M730" s="22" t="s">
        <v>3535</v>
      </c>
      <c r="N730" s="27">
        <f t="shared" si="88"/>
        <v>25</v>
      </c>
      <c r="O730" s="28">
        <f t="shared" si="89"/>
        <v>4.881771684117505E-2</v>
      </c>
      <c r="P730" s="28">
        <f t="shared" si="90"/>
        <v>0.1176631925397696</v>
      </c>
      <c r="Q730" s="26">
        <f t="shared" si="91"/>
        <v>0.77077619308831591</v>
      </c>
      <c r="R730" s="29">
        <f t="shared" si="92"/>
        <v>6.5506993006993008</v>
      </c>
      <c r="S730" s="30">
        <f t="shared" si="93"/>
        <v>5</v>
      </c>
      <c r="T730" s="30">
        <f t="shared" si="94"/>
        <v>2023</v>
      </c>
      <c r="U730" s="29" t="str">
        <f t="shared" si="95"/>
        <v>May</v>
      </c>
    </row>
    <row r="731" spans="1:21" ht="17.399999999999999" x14ac:dyDescent="0.3">
      <c r="A731" s="21" t="s">
        <v>1840</v>
      </c>
      <c r="B731" s="21" t="s">
        <v>1841</v>
      </c>
      <c r="C731" s="23" t="s">
        <v>3518</v>
      </c>
      <c r="D731" s="21" t="s">
        <v>3517</v>
      </c>
      <c r="E731" s="24">
        <v>45064</v>
      </c>
      <c r="F731" s="24">
        <v>45083</v>
      </c>
      <c r="G731" s="22" t="s">
        <v>14</v>
      </c>
      <c r="H731" s="25">
        <v>31105</v>
      </c>
      <c r="I731" s="25">
        <v>416</v>
      </c>
      <c r="J731" s="26">
        <v>730.44</v>
      </c>
      <c r="K731" s="25">
        <v>60</v>
      </c>
      <c r="L731" s="21" t="s">
        <v>17</v>
      </c>
      <c r="M731" s="22" t="s">
        <v>3537</v>
      </c>
      <c r="N731" s="27">
        <f t="shared" si="88"/>
        <v>19</v>
      </c>
      <c r="O731" s="28">
        <f t="shared" si="89"/>
        <v>1.3374055618067834E-2</v>
      </c>
      <c r="P731" s="28">
        <f t="shared" si="90"/>
        <v>0.14423076923076922</v>
      </c>
      <c r="Q731" s="26">
        <f t="shared" si="91"/>
        <v>1.7558653846153847</v>
      </c>
      <c r="R731" s="29">
        <f t="shared" si="92"/>
        <v>12.174000000000001</v>
      </c>
      <c r="S731" s="30">
        <f t="shared" si="93"/>
        <v>5</v>
      </c>
      <c r="T731" s="30">
        <f t="shared" si="94"/>
        <v>2023</v>
      </c>
      <c r="U731" s="29" t="str">
        <f t="shared" si="95"/>
        <v>May</v>
      </c>
    </row>
    <row r="732" spans="1:21" ht="17.399999999999999" x14ac:dyDescent="0.3">
      <c r="A732" s="21" t="s">
        <v>2183</v>
      </c>
      <c r="B732" s="21" t="s">
        <v>2184</v>
      </c>
      <c r="C732" s="23" t="s">
        <v>3518</v>
      </c>
      <c r="D732" s="21" t="s">
        <v>3520</v>
      </c>
      <c r="E732" s="24">
        <v>45064</v>
      </c>
      <c r="F732" s="24">
        <v>45071</v>
      </c>
      <c r="G732" s="22" t="s">
        <v>31</v>
      </c>
      <c r="H732" s="25">
        <v>26150</v>
      </c>
      <c r="I732" s="25">
        <v>514</v>
      </c>
      <c r="J732" s="26">
        <v>417.68</v>
      </c>
      <c r="K732" s="25">
        <v>71</v>
      </c>
      <c r="L732" s="21" t="s">
        <v>21</v>
      </c>
      <c r="M732" s="22" t="s">
        <v>31</v>
      </c>
      <c r="N732" s="27">
        <f t="shared" si="88"/>
        <v>7</v>
      </c>
      <c r="O732" s="28">
        <f t="shared" si="89"/>
        <v>1.9655831739961761E-2</v>
      </c>
      <c r="P732" s="28">
        <f t="shared" si="90"/>
        <v>0.13813229571984437</v>
      </c>
      <c r="Q732" s="26">
        <f t="shared" si="91"/>
        <v>0.81260700389105056</v>
      </c>
      <c r="R732" s="29">
        <f t="shared" si="92"/>
        <v>5.882816901408451</v>
      </c>
      <c r="S732" s="30">
        <f t="shared" si="93"/>
        <v>5</v>
      </c>
      <c r="T732" s="30">
        <f t="shared" si="94"/>
        <v>2023</v>
      </c>
      <c r="U732" s="29" t="str">
        <f t="shared" si="95"/>
        <v>May</v>
      </c>
    </row>
    <row r="733" spans="1:21" ht="17.399999999999999" x14ac:dyDescent="0.3">
      <c r="A733" s="21" t="s">
        <v>2845</v>
      </c>
      <c r="B733" s="21" t="s">
        <v>2846</v>
      </c>
      <c r="C733" s="23" t="s">
        <v>3518</v>
      </c>
      <c r="D733" s="21" t="s">
        <v>3517</v>
      </c>
      <c r="E733" s="24">
        <v>45064</v>
      </c>
      <c r="F733" s="24">
        <v>45067</v>
      </c>
      <c r="G733" s="22" t="s">
        <v>3535</v>
      </c>
      <c r="H733" s="25">
        <v>91093</v>
      </c>
      <c r="I733" s="25">
        <v>3214</v>
      </c>
      <c r="J733" s="26">
        <v>5622.59</v>
      </c>
      <c r="K733" s="25">
        <v>162</v>
      </c>
      <c r="L733" s="21" t="s">
        <v>21</v>
      </c>
      <c r="M733" s="22" t="s">
        <v>3535</v>
      </c>
      <c r="N733" s="27">
        <f t="shared" si="88"/>
        <v>3</v>
      </c>
      <c r="O733" s="28">
        <f t="shared" si="89"/>
        <v>3.5282623253158861E-2</v>
      </c>
      <c r="P733" s="28">
        <f t="shared" si="90"/>
        <v>5.0404480398257623E-2</v>
      </c>
      <c r="Q733" s="26">
        <f t="shared" si="91"/>
        <v>1.7494057249533292</v>
      </c>
      <c r="R733" s="29">
        <f t="shared" si="92"/>
        <v>34.707345679012349</v>
      </c>
      <c r="S733" s="30">
        <f t="shared" si="93"/>
        <v>5</v>
      </c>
      <c r="T733" s="30">
        <f t="shared" si="94"/>
        <v>2023</v>
      </c>
      <c r="U733" s="29" t="str">
        <f t="shared" si="95"/>
        <v>May</v>
      </c>
    </row>
    <row r="734" spans="1:21" ht="17.399999999999999" x14ac:dyDescent="0.3">
      <c r="A734" s="21" t="s">
        <v>2090</v>
      </c>
      <c r="B734" s="22" t="s">
        <v>3740</v>
      </c>
      <c r="C734" s="23" t="s">
        <v>3515</v>
      </c>
      <c r="D734" s="22" t="s">
        <v>3545</v>
      </c>
      <c r="E734" s="24">
        <v>45064</v>
      </c>
      <c r="F734" s="24">
        <v>45082</v>
      </c>
      <c r="G734" s="22" t="s">
        <v>16</v>
      </c>
      <c r="H734" s="25">
        <v>13999</v>
      </c>
      <c r="I734" s="25">
        <v>498</v>
      </c>
      <c r="J734" s="26">
        <v>487.06</v>
      </c>
      <c r="K734" s="25">
        <v>45</v>
      </c>
      <c r="L734" s="21" t="s">
        <v>21</v>
      </c>
      <c r="M734" s="22" t="s">
        <v>16</v>
      </c>
      <c r="N734" s="27">
        <f t="shared" si="88"/>
        <v>18</v>
      </c>
      <c r="O734" s="28">
        <f t="shared" si="89"/>
        <v>3.5573969569254946E-2</v>
      </c>
      <c r="P734" s="28">
        <f t="shared" si="90"/>
        <v>9.036144578313253E-2</v>
      </c>
      <c r="Q734" s="26">
        <f t="shared" si="91"/>
        <v>0.97803212851405619</v>
      </c>
      <c r="R734" s="29">
        <f t="shared" si="92"/>
        <v>10.823555555555556</v>
      </c>
      <c r="S734" s="30">
        <f t="shared" si="93"/>
        <v>5</v>
      </c>
      <c r="T734" s="30">
        <f t="shared" si="94"/>
        <v>2023</v>
      </c>
      <c r="U734" s="29" t="str">
        <f t="shared" si="95"/>
        <v>May</v>
      </c>
    </row>
    <row r="735" spans="1:21" ht="17.399999999999999" x14ac:dyDescent="0.3">
      <c r="A735" s="21" t="s">
        <v>2144</v>
      </c>
      <c r="B735" s="22" t="s">
        <v>3741</v>
      </c>
      <c r="C735" s="23" t="s">
        <v>3515</v>
      </c>
      <c r="D735" s="22" t="s">
        <v>3545</v>
      </c>
      <c r="E735" s="24">
        <v>45064</v>
      </c>
      <c r="F735" s="24">
        <v>45075</v>
      </c>
      <c r="G735" s="22" t="s">
        <v>11</v>
      </c>
      <c r="H735" s="25">
        <v>48882</v>
      </c>
      <c r="I735" s="25">
        <v>499</v>
      </c>
      <c r="J735" s="26">
        <v>871.91</v>
      </c>
      <c r="K735" s="25">
        <v>29</v>
      </c>
      <c r="L735" s="21" t="s">
        <v>17</v>
      </c>
      <c r="M735" s="22" t="s">
        <v>11</v>
      </c>
      <c r="N735" s="27">
        <f t="shared" si="88"/>
        <v>11</v>
      </c>
      <c r="O735" s="28">
        <f t="shared" si="89"/>
        <v>1.0208256617977987E-2</v>
      </c>
      <c r="P735" s="28">
        <f t="shared" si="90"/>
        <v>5.8116232464929862E-2</v>
      </c>
      <c r="Q735" s="26">
        <f t="shared" si="91"/>
        <v>1.7473146292585169</v>
      </c>
      <c r="R735" s="29">
        <f t="shared" si="92"/>
        <v>30.065862068965515</v>
      </c>
      <c r="S735" s="30">
        <f t="shared" si="93"/>
        <v>5</v>
      </c>
      <c r="T735" s="30">
        <f t="shared" si="94"/>
        <v>2023</v>
      </c>
      <c r="U735" s="29" t="str">
        <f t="shared" si="95"/>
        <v>May</v>
      </c>
    </row>
    <row r="736" spans="1:21" ht="17.399999999999999" x14ac:dyDescent="0.3">
      <c r="A736" s="21" t="s">
        <v>2336</v>
      </c>
      <c r="B736" s="21" t="s">
        <v>2337</v>
      </c>
      <c r="C736" s="23" t="s">
        <v>3515</v>
      </c>
      <c r="D736" s="21" t="s">
        <v>3521</v>
      </c>
      <c r="E736" s="24">
        <v>45064</v>
      </c>
      <c r="F736" s="24">
        <v>45083</v>
      </c>
      <c r="G736" s="22" t="s">
        <v>24</v>
      </c>
      <c r="H736" s="25">
        <v>86230</v>
      </c>
      <c r="I736" s="25">
        <v>1245</v>
      </c>
      <c r="J736" s="26">
        <v>1196.0899999999999</v>
      </c>
      <c r="K736" s="25">
        <v>142</v>
      </c>
      <c r="L736" s="21" t="s">
        <v>21</v>
      </c>
      <c r="M736" s="22" t="s">
        <v>3536</v>
      </c>
      <c r="N736" s="27">
        <f t="shared" si="88"/>
        <v>19</v>
      </c>
      <c r="O736" s="28">
        <f t="shared" si="89"/>
        <v>1.443813058100429E-2</v>
      </c>
      <c r="P736" s="28">
        <f t="shared" si="90"/>
        <v>0.11405622489959839</v>
      </c>
      <c r="Q736" s="26">
        <f t="shared" si="91"/>
        <v>0.96071485943775092</v>
      </c>
      <c r="R736" s="29">
        <f t="shared" si="92"/>
        <v>8.4231690140845057</v>
      </c>
      <c r="S736" s="30">
        <f t="shared" si="93"/>
        <v>5</v>
      </c>
      <c r="T736" s="30">
        <f t="shared" si="94"/>
        <v>2023</v>
      </c>
      <c r="U736" s="29" t="str">
        <f t="shared" si="95"/>
        <v>May</v>
      </c>
    </row>
    <row r="737" spans="1:21" ht="17.399999999999999" x14ac:dyDescent="0.3">
      <c r="A737" s="21" t="s">
        <v>2958</v>
      </c>
      <c r="B737" s="22" t="s">
        <v>3742</v>
      </c>
      <c r="C737" s="23" t="s">
        <v>3515</v>
      </c>
      <c r="D737" s="22" t="s">
        <v>3545</v>
      </c>
      <c r="E737" s="24">
        <v>45064</v>
      </c>
      <c r="F737" s="24">
        <v>45077</v>
      </c>
      <c r="G737" s="22" t="s">
        <v>16</v>
      </c>
      <c r="H737" s="25">
        <v>24874</v>
      </c>
      <c r="I737" s="25">
        <v>495</v>
      </c>
      <c r="J737" s="26">
        <v>752.69</v>
      </c>
      <c r="K737" s="25">
        <v>32</v>
      </c>
      <c r="L737" s="21" t="s">
        <v>21</v>
      </c>
      <c r="M737" s="22" t="s">
        <v>16</v>
      </c>
      <c r="N737" s="27">
        <f t="shared" si="88"/>
        <v>13</v>
      </c>
      <c r="O737" s="28">
        <f t="shared" si="89"/>
        <v>1.9900297499396962E-2</v>
      </c>
      <c r="P737" s="28">
        <f t="shared" si="90"/>
        <v>6.4646464646464646E-2</v>
      </c>
      <c r="Q737" s="26">
        <f t="shared" si="91"/>
        <v>1.5205858585858587</v>
      </c>
      <c r="R737" s="29">
        <f t="shared" si="92"/>
        <v>23.521562500000002</v>
      </c>
      <c r="S737" s="30">
        <f t="shared" si="93"/>
        <v>5</v>
      </c>
      <c r="T737" s="30">
        <f t="shared" si="94"/>
        <v>2023</v>
      </c>
      <c r="U737" s="29" t="str">
        <f t="shared" si="95"/>
        <v>May</v>
      </c>
    </row>
    <row r="738" spans="1:21" ht="17.399999999999999" x14ac:dyDescent="0.3">
      <c r="A738" s="21" t="s">
        <v>425</v>
      </c>
      <c r="B738" s="22" t="s">
        <v>3743</v>
      </c>
      <c r="C738" s="23" t="s">
        <v>3519</v>
      </c>
      <c r="D738" s="22" t="s">
        <v>3545</v>
      </c>
      <c r="E738" s="24">
        <v>45065</v>
      </c>
      <c r="F738" s="24">
        <v>45085</v>
      </c>
      <c r="G738" s="22" t="s">
        <v>24</v>
      </c>
      <c r="H738" s="25">
        <v>53083</v>
      </c>
      <c r="I738" s="25">
        <v>1172</v>
      </c>
      <c r="J738" s="26">
        <v>1081.6099999999999</v>
      </c>
      <c r="K738" s="25">
        <v>197</v>
      </c>
      <c r="L738" s="21" t="s">
        <v>21</v>
      </c>
      <c r="M738" s="22" t="s">
        <v>3536</v>
      </c>
      <c r="N738" s="27">
        <f t="shared" si="88"/>
        <v>20</v>
      </c>
      <c r="O738" s="28">
        <f t="shared" si="89"/>
        <v>2.2078631576964377E-2</v>
      </c>
      <c r="P738" s="28">
        <f t="shared" si="90"/>
        <v>0.16808873720136519</v>
      </c>
      <c r="Q738" s="26">
        <f t="shared" si="91"/>
        <v>0.92287542662116029</v>
      </c>
      <c r="R738" s="29">
        <f t="shared" si="92"/>
        <v>5.4904060913705575</v>
      </c>
      <c r="S738" s="30">
        <f t="shared" si="93"/>
        <v>5</v>
      </c>
      <c r="T738" s="30">
        <f t="shared" si="94"/>
        <v>2023</v>
      </c>
      <c r="U738" s="29" t="str">
        <f t="shared" si="95"/>
        <v>May</v>
      </c>
    </row>
    <row r="739" spans="1:21" ht="17.399999999999999" x14ac:dyDescent="0.3">
      <c r="A739" s="21" t="s">
        <v>340</v>
      </c>
      <c r="B739" s="21" t="s">
        <v>341</v>
      </c>
      <c r="C739" s="23" t="s">
        <v>3519</v>
      </c>
      <c r="D739" s="21" t="s">
        <v>3521</v>
      </c>
      <c r="E739" s="24">
        <v>45066</v>
      </c>
      <c r="F739" s="24">
        <v>45090</v>
      </c>
      <c r="G739" s="22" t="s">
        <v>14</v>
      </c>
      <c r="H739" s="25">
        <v>59053</v>
      </c>
      <c r="I739" s="25">
        <v>1608</v>
      </c>
      <c r="J739" s="26">
        <v>2955.25</v>
      </c>
      <c r="K739" s="25">
        <v>230</v>
      </c>
      <c r="L739" s="21" t="s">
        <v>21</v>
      </c>
      <c r="M739" s="22" t="s">
        <v>3537</v>
      </c>
      <c r="N739" s="27">
        <f t="shared" si="88"/>
        <v>24</v>
      </c>
      <c r="O739" s="28">
        <f t="shared" si="89"/>
        <v>2.7229776641322201E-2</v>
      </c>
      <c r="P739" s="28">
        <f t="shared" si="90"/>
        <v>0.14303482587064675</v>
      </c>
      <c r="Q739" s="26">
        <f t="shared" si="91"/>
        <v>1.8378420398009949</v>
      </c>
      <c r="R739" s="29">
        <f t="shared" si="92"/>
        <v>12.848913043478261</v>
      </c>
      <c r="S739" s="30">
        <f t="shared" si="93"/>
        <v>5</v>
      </c>
      <c r="T739" s="30">
        <f t="shared" si="94"/>
        <v>2023</v>
      </c>
      <c r="U739" s="29" t="str">
        <f t="shared" si="95"/>
        <v>May</v>
      </c>
    </row>
    <row r="740" spans="1:21" ht="17.399999999999999" x14ac:dyDescent="0.3">
      <c r="A740" s="21" t="s">
        <v>3411</v>
      </c>
      <c r="B740" s="22" t="s">
        <v>3744</v>
      </c>
      <c r="C740" s="23" t="s">
        <v>3519</v>
      </c>
      <c r="D740" s="22" t="s">
        <v>3545</v>
      </c>
      <c r="E740" s="24">
        <v>45066</v>
      </c>
      <c r="F740" s="24">
        <v>45083</v>
      </c>
      <c r="G740" s="22" t="s">
        <v>11</v>
      </c>
      <c r="H740" s="25">
        <v>51861</v>
      </c>
      <c r="I740" s="25">
        <v>2079</v>
      </c>
      <c r="J740" s="26">
        <v>4074.61</v>
      </c>
      <c r="K740" s="25">
        <v>113</v>
      </c>
      <c r="L740" s="21" t="s">
        <v>21</v>
      </c>
      <c r="M740" s="22" t="s">
        <v>11</v>
      </c>
      <c r="N740" s="27">
        <f t="shared" si="88"/>
        <v>17</v>
      </c>
      <c r="O740" s="28">
        <f t="shared" si="89"/>
        <v>4.0087927344247119E-2</v>
      </c>
      <c r="P740" s="28">
        <f t="shared" si="90"/>
        <v>5.4353054353054354E-2</v>
      </c>
      <c r="Q740" s="26">
        <f t="shared" si="91"/>
        <v>1.95988936988937</v>
      </c>
      <c r="R740" s="29">
        <f t="shared" si="92"/>
        <v>36.058495575221237</v>
      </c>
      <c r="S740" s="30">
        <f t="shared" si="93"/>
        <v>5</v>
      </c>
      <c r="T740" s="30">
        <f t="shared" si="94"/>
        <v>2023</v>
      </c>
      <c r="U740" s="29" t="str">
        <f t="shared" si="95"/>
        <v>May</v>
      </c>
    </row>
    <row r="741" spans="1:21" ht="17.399999999999999" x14ac:dyDescent="0.3">
      <c r="A741" s="21" t="s">
        <v>3441</v>
      </c>
      <c r="B741" s="21" t="s">
        <v>3442</v>
      </c>
      <c r="C741" s="23" t="s">
        <v>3519</v>
      </c>
      <c r="D741" s="21" t="s">
        <v>3521</v>
      </c>
      <c r="E741" s="24">
        <v>45066</v>
      </c>
      <c r="F741" s="24">
        <v>45082</v>
      </c>
      <c r="G741" s="22" t="s">
        <v>14</v>
      </c>
      <c r="H741" s="25">
        <v>4389</v>
      </c>
      <c r="I741" s="25">
        <v>75</v>
      </c>
      <c r="J741" s="26">
        <v>46.41</v>
      </c>
      <c r="K741" s="25">
        <v>4</v>
      </c>
      <c r="L741" s="21" t="s">
        <v>17</v>
      </c>
      <c r="M741" s="22" t="s">
        <v>3537</v>
      </c>
      <c r="N741" s="27">
        <f t="shared" si="88"/>
        <v>16</v>
      </c>
      <c r="O741" s="28">
        <f t="shared" si="89"/>
        <v>1.7088174982911826E-2</v>
      </c>
      <c r="P741" s="28">
        <f t="shared" si="90"/>
        <v>5.3333333333333337E-2</v>
      </c>
      <c r="Q741" s="26">
        <f t="shared" si="91"/>
        <v>0.61879999999999991</v>
      </c>
      <c r="R741" s="29">
        <f t="shared" si="92"/>
        <v>11.602499999999999</v>
      </c>
      <c r="S741" s="30">
        <f t="shared" si="93"/>
        <v>5</v>
      </c>
      <c r="T741" s="30">
        <f t="shared" si="94"/>
        <v>2023</v>
      </c>
      <c r="U741" s="29" t="str">
        <f t="shared" si="95"/>
        <v>May</v>
      </c>
    </row>
    <row r="742" spans="1:21" ht="17.399999999999999" x14ac:dyDescent="0.3">
      <c r="A742" s="21" t="s">
        <v>781</v>
      </c>
      <c r="B742" s="21" t="s">
        <v>782</v>
      </c>
      <c r="C742" s="23" t="s">
        <v>3516</v>
      </c>
      <c r="D742" s="21" t="s">
        <v>3517</v>
      </c>
      <c r="E742" s="24">
        <v>45066</v>
      </c>
      <c r="F742" s="24">
        <v>45094</v>
      </c>
      <c r="G742" s="22" t="s">
        <v>11</v>
      </c>
      <c r="H742" s="25">
        <v>81135</v>
      </c>
      <c r="I742" s="25">
        <v>1674</v>
      </c>
      <c r="J742" s="26">
        <v>2056.89</v>
      </c>
      <c r="K742" s="25">
        <v>196</v>
      </c>
      <c r="L742" s="21" t="s">
        <v>21</v>
      </c>
      <c r="M742" s="22" t="s">
        <v>11</v>
      </c>
      <c r="N742" s="27">
        <f t="shared" si="88"/>
        <v>28</v>
      </c>
      <c r="O742" s="28">
        <f t="shared" si="89"/>
        <v>2.0632279534109815E-2</v>
      </c>
      <c r="P742" s="28">
        <f t="shared" si="90"/>
        <v>0.11708482676224612</v>
      </c>
      <c r="Q742" s="26">
        <f t="shared" si="91"/>
        <v>1.2287275985663082</v>
      </c>
      <c r="R742" s="29">
        <f t="shared" si="92"/>
        <v>10.494336734693876</v>
      </c>
      <c r="S742" s="30">
        <f t="shared" si="93"/>
        <v>5</v>
      </c>
      <c r="T742" s="30">
        <f t="shared" si="94"/>
        <v>2023</v>
      </c>
      <c r="U742" s="29" t="str">
        <f t="shared" si="95"/>
        <v>May</v>
      </c>
    </row>
    <row r="743" spans="1:21" ht="17.399999999999999" x14ac:dyDescent="0.3">
      <c r="A743" s="21" t="s">
        <v>488</v>
      </c>
      <c r="B743" s="21" t="s">
        <v>489</v>
      </c>
      <c r="C743" s="23" t="s">
        <v>3515</v>
      </c>
      <c r="D743" s="21" t="s">
        <v>3520</v>
      </c>
      <c r="E743" s="24">
        <v>45066</v>
      </c>
      <c r="F743" s="24">
        <v>45085</v>
      </c>
      <c r="G743" s="22" t="s">
        <v>24</v>
      </c>
      <c r="H743" s="25">
        <v>86981</v>
      </c>
      <c r="I743" s="25">
        <v>3114</v>
      </c>
      <c r="J743" s="26">
        <v>5021.03</v>
      </c>
      <c r="K743" s="25">
        <v>482</v>
      </c>
      <c r="L743" s="21" t="s">
        <v>21</v>
      </c>
      <c r="M743" s="22" t="s">
        <v>3536</v>
      </c>
      <c r="N743" s="27">
        <f t="shared" si="88"/>
        <v>19</v>
      </c>
      <c r="O743" s="28">
        <f t="shared" si="89"/>
        <v>3.5800922040445618E-2</v>
      </c>
      <c r="P743" s="28">
        <f t="shared" si="90"/>
        <v>0.15478484264611433</v>
      </c>
      <c r="Q743" s="26">
        <f t="shared" si="91"/>
        <v>1.6124052665382145</v>
      </c>
      <c r="R743" s="29">
        <f t="shared" si="92"/>
        <v>10.41707468879668</v>
      </c>
      <c r="S743" s="30">
        <f t="shared" si="93"/>
        <v>5</v>
      </c>
      <c r="T743" s="30">
        <f t="shared" si="94"/>
        <v>2023</v>
      </c>
      <c r="U743" s="29" t="str">
        <f t="shared" si="95"/>
        <v>May</v>
      </c>
    </row>
    <row r="744" spans="1:21" ht="17.399999999999999" x14ac:dyDescent="0.3">
      <c r="A744" s="21" t="s">
        <v>947</v>
      </c>
      <c r="B744" s="21" t="s">
        <v>948</v>
      </c>
      <c r="C744" s="23" t="s">
        <v>3515</v>
      </c>
      <c r="D744" s="21" t="s">
        <v>3521</v>
      </c>
      <c r="E744" s="24">
        <v>45066</v>
      </c>
      <c r="F744" s="24">
        <v>45067</v>
      </c>
      <c r="G744" s="22" t="s">
        <v>31</v>
      </c>
      <c r="H744" s="25">
        <v>52991</v>
      </c>
      <c r="I744" s="25">
        <v>1077</v>
      </c>
      <c r="J744" s="26">
        <v>609.65</v>
      </c>
      <c r="K744" s="25">
        <v>161</v>
      </c>
      <c r="L744" s="21" t="s">
        <v>17</v>
      </c>
      <c r="M744" s="22" t="s">
        <v>31</v>
      </c>
      <c r="N744" s="27">
        <f t="shared" si="88"/>
        <v>1</v>
      </c>
      <c r="O744" s="28">
        <f t="shared" si="89"/>
        <v>2.0324205997244816E-2</v>
      </c>
      <c r="P744" s="28">
        <f t="shared" si="90"/>
        <v>0.14948932219127206</v>
      </c>
      <c r="Q744" s="26">
        <f t="shared" si="91"/>
        <v>0.56606313834726085</v>
      </c>
      <c r="R744" s="29">
        <f t="shared" si="92"/>
        <v>3.7866459627329192</v>
      </c>
      <c r="S744" s="30">
        <f t="shared" si="93"/>
        <v>5</v>
      </c>
      <c r="T744" s="30">
        <f t="shared" si="94"/>
        <v>2023</v>
      </c>
      <c r="U744" s="29" t="str">
        <f t="shared" si="95"/>
        <v>May</v>
      </c>
    </row>
    <row r="745" spans="1:21" ht="17.399999999999999" x14ac:dyDescent="0.3">
      <c r="A745" s="21" t="s">
        <v>2923</v>
      </c>
      <c r="B745" s="21" t="s">
        <v>2924</v>
      </c>
      <c r="C745" s="23" t="s">
        <v>3515</v>
      </c>
      <c r="D745" s="21" t="s">
        <v>3517</v>
      </c>
      <c r="E745" s="24">
        <v>45066</v>
      </c>
      <c r="F745" s="24">
        <v>45086</v>
      </c>
      <c r="G745" s="22" t="s">
        <v>3535</v>
      </c>
      <c r="H745" s="25">
        <v>27172</v>
      </c>
      <c r="I745" s="25">
        <v>607</v>
      </c>
      <c r="J745" s="26">
        <v>751.8</v>
      </c>
      <c r="K745" s="25">
        <v>103</v>
      </c>
      <c r="L745" s="21" t="s">
        <v>17</v>
      </c>
      <c r="M745" s="22" t="s">
        <v>3535</v>
      </c>
      <c r="N745" s="27">
        <f t="shared" si="88"/>
        <v>20</v>
      </c>
      <c r="O745" s="28">
        <f t="shared" si="89"/>
        <v>2.2339172677756515E-2</v>
      </c>
      <c r="P745" s="28">
        <f t="shared" si="90"/>
        <v>0.16968698517298189</v>
      </c>
      <c r="Q745" s="26">
        <f t="shared" si="91"/>
        <v>1.2385502471169687</v>
      </c>
      <c r="R745" s="29">
        <f t="shared" si="92"/>
        <v>7.2990291262135916</v>
      </c>
      <c r="S745" s="30">
        <f t="shared" si="93"/>
        <v>5</v>
      </c>
      <c r="T745" s="30">
        <f t="shared" si="94"/>
        <v>2023</v>
      </c>
      <c r="U745" s="29" t="str">
        <f t="shared" si="95"/>
        <v>May</v>
      </c>
    </row>
    <row r="746" spans="1:21" ht="17.399999999999999" x14ac:dyDescent="0.3">
      <c r="A746" s="21" t="s">
        <v>735</v>
      </c>
      <c r="B746" s="21" t="s">
        <v>736</v>
      </c>
      <c r="C746" s="23" t="s">
        <v>3519</v>
      </c>
      <c r="D746" s="21" t="s">
        <v>3517</v>
      </c>
      <c r="E746" s="24">
        <v>45067</v>
      </c>
      <c r="F746" s="24">
        <v>45074</v>
      </c>
      <c r="G746" s="22" t="s">
        <v>14</v>
      </c>
      <c r="H746" s="25">
        <v>78575</v>
      </c>
      <c r="I746" s="25">
        <v>2058</v>
      </c>
      <c r="J746" s="26">
        <v>1214.52</v>
      </c>
      <c r="K746" s="25">
        <v>119</v>
      </c>
      <c r="L746" s="21" t="s">
        <v>17</v>
      </c>
      <c r="M746" s="22" t="s">
        <v>3537</v>
      </c>
      <c r="N746" s="27">
        <f t="shared" si="88"/>
        <v>7</v>
      </c>
      <c r="O746" s="28">
        <f t="shared" si="89"/>
        <v>2.6191536748329622E-2</v>
      </c>
      <c r="P746" s="28">
        <f t="shared" si="90"/>
        <v>5.7823129251700682E-2</v>
      </c>
      <c r="Q746" s="26">
        <f t="shared" si="91"/>
        <v>0.5901457725947522</v>
      </c>
      <c r="R746" s="29">
        <f t="shared" si="92"/>
        <v>10.206050420168067</v>
      </c>
      <c r="S746" s="30">
        <f t="shared" si="93"/>
        <v>5</v>
      </c>
      <c r="T746" s="30">
        <f t="shared" si="94"/>
        <v>2023</v>
      </c>
      <c r="U746" s="29" t="str">
        <f t="shared" si="95"/>
        <v>May</v>
      </c>
    </row>
    <row r="747" spans="1:21" ht="17.399999999999999" x14ac:dyDescent="0.3">
      <c r="A747" s="21" t="s">
        <v>1234</v>
      </c>
      <c r="B747" s="21" t="s">
        <v>1235</v>
      </c>
      <c r="C747" s="23" t="s">
        <v>3519</v>
      </c>
      <c r="D747" s="21" t="s">
        <v>3521</v>
      </c>
      <c r="E747" s="24">
        <v>45067</v>
      </c>
      <c r="F747" s="24">
        <v>45073</v>
      </c>
      <c r="G747" s="22" t="s">
        <v>24</v>
      </c>
      <c r="H747" s="25">
        <v>26289</v>
      </c>
      <c r="I747" s="25">
        <v>594</v>
      </c>
      <c r="J747" s="26">
        <v>1166.6500000000001</v>
      </c>
      <c r="K747" s="25">
        <v>0</v>
      </c>
      <c r="L747" s="21" t="s">
        <v>17</v>
      </c>
      <c r="M747" s="22" t="s">
        <v>3536</v>
      </c>
      <c r="N747" s="27">
        <f t="shared" si="88"/>
        <v>6</v>
      </c>
      <c r="O747" s="28">
        <f t="shared" si="89"/>
        <v>2.2595001711742554E-2</v>
      </c>
      <c r="P747" s="28">
        <f t="shared" si="90"/>
        <v>0</v>
      </c>
      <c r="Q747" s="26">
        <f t="shared" si="91"/>
        <v>1.9640572390572393</v>
      </c>
      <c r="R747" s="29" t="str">
        <f t="shared" si="92"/>
        <v>0</v>
      </c>
      <c r="S747" s="30">
        <f t="shared" si="93"/>
        <v>5</v>
      </c>
      <c r="T747" s="30">
        <f t="shared" si="94"/>
        <v>2023</v>
      </c>
      <c r="U747" s="29" t="str">
        <f t="shared" si="95"/>
        <v>May</v>
      </c>
    </row>
    <row r="748" spans="1:21" ht="17.399999999999999" x14ac:dyDescent="0.3">
      <c r="A748" s="21" t="s">
        <v>1746</v>
      </c>
      <c r="B748" s="21" t="s">
        <v>1747</v>
      </c>
      <c r="C748" s="23" t="s">
        <v>3518</v>
      </c>
      <c r="D748" s="21" t="s">
        <v>3520</v>
      </c>
      <c r="E748" s="24">
        <v>45067</v>
      </c>
      <c r="F748" s="24">
        <v>45081</v>
      </c>
      <c r="G748" s="22" t="s">
        <v>16</v>
      </c>
      <c r="H748" s="25">
        <v>13910</v>
      </c>
      <c r="I748" s="25">
        <v>458</v>
      </c>
      <c r="J748" s="26">
        <v>363.1</v>
      </c>
      <c r="K748" s="25">
        <v>83</v>
      </c>
      <c r="L748" s="21" t="s">
        <v>21</v>
      </c>
      <c r="M748" s="22" t="s">
        <v>16</v>
      </c>
      <c r="N748" s="27">
        <f t="shared" si="88"/>
        <v>14</v>
      </c>
      <c r="O748" s="28">
        <f t="shared" si="89"/>
        <v>3.2925952552120774E-2</v>
      </c>
      <c r="P748" s="28">
        <f t="shared" si="90"/>
        <v>0.18122270742358079</v>
      </c>
      <c r="Q748" s="26">
        <f t="shared" si="91"/>
        <v>0.79279475982532754</v>
      </c>
      <c r="R748" s="29">
        <f t="shared" si="92"/>
        <v>4.3746987951807235</v>
      </c>
      <c r="S748" s="30">
        <f t="shared" si="93"/>
        <v>5</v>
      </c>
      <c r="T748" s="30">
        <f t="shared" si="94"/>
        <v>2023</v>
      </c>
      <c r="U748" s="29" t="str">
        <f t="shared" si="95"/>
        <v>May</v>
      </c>
    </row>
    <row r="749" spans="1:21" ht="17.399999999999999" x14ac:dyDescent="0.3">
      <c r="A749" s="21" t="s">
        <v>2192</v>
      </c>
      <c r="B749" s="22" t="s">
        <v>3745</v>
      </c>
      <c r="C749" s="23" t="s">
        <v>3518</v>
      </c>
      <c r="D749" s="22" t="s">
        <v>3545</v>
      </c>
      <c r="E749" s="24">
        <v>45067</v>
      </c>
      <c r="F749" s="24">
        <v>45078</v>
      </c>
      <c r="G749" s="22" t="s">
        <v>24</v>
      </c>
      <c r="H749" s="25">
        <v>9070</v>
      </c>
      <c r="I749" s="25">
        <v>167</v>
      </c>
      <c r="J749" s="26">
        <v>117.98</v>
      </c>
      <c r="K749" s="25">
        <v>28</v>
      </c>
      <c r="L749" s="21" t="s">
        <v>21</v>
      </c>
      <c r="M749" s="22" t="s">
        <v>3536</v>
      </c>
      <c r="N749" s="27">
        <f t="shared" si="88"/>
        <v>11</v>
      </c>
      <c r="O749" s="28">
        <f t="shared" si="89"/>
        <v>1.8412348401323043E-2</v>
      </c>
      <c r="P749" s="28">
        <f t="shared" si="90"/>
        <v>0.16766467065868262</v>
      </c>
      <c r="Q749" s="26">
        <f t="shared" si="91"/>
        <v>0.70646706586826347</v>
      </c>
      <c r="R749" s="29">
        <f t="shared" si="92"/>
        <v>4.213571428571429</v>
      </c>
      <c r="S749" s="30">
        <f t="shared" si="93"/>
        <v>5</v>
      </c>
      <c r="T749" s="30">
        <f t="shared" si="94"/>
        <v>2023</v>
      </c>
      <c r="U749" s="29" t="str">
        <f t="shared" si="95"/>
        <v>May</v>
      </c>
    </row>
    <row r="750" spans="1:21" ht="17.399999999999999" x14ac:dyDescent="0.3">
      <c r="A750" s="21" t="s">
        <v>2255</v>
      </c>
      <c r="B750" s="22" t="s">
        <v>3746</v>
      </c>
      <c r="C750" s="23" t="s">
        <v>3518</v>
      </c>
      <c r="D750" s="22" t="s">
        <v>3545</v>
      </c>
      <c r="E750" s="24">
        <v>45067</v>
      </c>
      <c r="F750" s="24">
        <v>45091</v>
      </c>
      <c r="G750" s="22" t="s">
        <v>14</v>
      </c>
      <c r="H750" s="25">
        <v>3482</v>
      </c>
      <c r="I750" s="25">
        <v>72</v>
      </c>
      <c r="J750" s="26">
        <v>123.7</v>
      </c>
      <c r="K750" s="25">
        <v>13</v>
      </c>
      <c r="L750" s="21" t="s">
        <v>21</v>
      </c>
      <c r="M750" s="22" t="s">
        <v>3537</v>
      </c>
      <c r="N750" s="27">
        <f t="shared" si="88"/>
        <v>24</v>
      </c>
      <c r="O750" s="28">
        <f t="shared" si="89"/>
        <v>2.067777139574957E-2</v>
      </c>
      <c r="P750" s="28">
        <f t="shared" si="90"/>
        <v>0.18055555555555555</v>
      </c>
      <c r="Q750" s="26">
        <f t="shared" si="91"/>
        <v>1.7180555555555557</v>
      </c>
      <c r="R750" s="29">
        <f t="shared" si="92"/>
        <v>9.5153846153846153</v>
      </c>
      <c r="S750" s="30">
        <f t="shared" si="93"/>
        <v>5</v>
      </c>
      <c r="T750" s="30">
        <f t="shared" si="94"/>
        <v>2023</v>
      </c>
      <c r="U750" s="29" t="str">
        <f t="shared" si="95"/>
        <v>May</v>
      </c>
    </row>
    <row r="751" spans="1:21" ht="17.399999999999999" x14ac:dyDescent="0.3">
      <c r="A751" s="21" t="s">
        <v>862</v>
      </c>
      <c r="B751" s="21" t="s">
        <v>863</v>
      </c>
      <c r="C751" s="23" t="s">
        <v>3516</v>
      </c>
      <c r="D751" s="21" t="s">
        <v>3517</v>
      </c>
      <c r="E751" s="24">
        <v>45067</v>
      </c>
      <c r="F751" s="24">
        <v>45082</v>
      </c>
      <c r="G751" s="22" t="s">
        <v>31</v>
      </c>
      <c r="H751" s="25">
        <v>4343</v>
      </c>
      <c r="I751" s="25">
        <v>212</v>
      </c>
      <c r="J751" s="26">
        <v>116.11</v>
      </c>
      <c r="K751" s="25">
        <v>0</v>
      </c>
      <c r="L751" s="21" t="s">
        <v>17</v>
      </c>
      <c r="M751" s="22" t="s">
        <v>31</v>
      </c>
      <c r="N751" s="27">
        <f t="shared" si="88"/>
        <v>15</v>
      </c>
      <c r="O751" s="28">
        <f t="shared" si="89"/>
        <v>4.881418374395579E-2</v>
      </c>
      <c r="P751" s="28">
        <f t="shared" si="90"/>
        <v>0</v>
      </c>
      <c r="Q751" s="26">
        <f t="shared" si="91"/>
        <v>0.54768867924528297</v>
      </c>
      <c r="R751" s="29" t="str">
        <f t="shared" si="92"/>
        <v>0</v>
      </c>
      <c r="S751" s="30">
        <f t="shared" si="93"/>
        <v>5</v>
      </c>
      <c r="T751" s="30">
        <f t="shared" si="94"/>
        <v>2023</v>
      </c>
      <c r="U751" s="29" t="str">
        <f t="shared" si="95"/>
        <v>May</v>
      </c>
    </row>
    <row r="752" spans="1:21" ht="17.399999999999999" x14ac:dyDescent="0.3">
      <c r="A752" s="21" t="s">
        <v>1109</v>
      </c>
      <c r="B752" s="22" t="s">
        <v>3747</v>
      </c>
      <c r="C752" s="23" t="s">
        <v>3516</v>
      </c>
      <c r="D752" s="22" t="s">
        <v>3545</v>
      </c>
      <c r="E752" s="24">
        <v>45067</v>
      </c>
      <c r="F752" s="24">
        <v>45086</v>
      </c>
      <c r="G752" s="22" t="s">
        <v>11</v>
      </c>
      <c r="H752" s="25">
        <v>37939</v>
      </c>
      <c r="I752" s="25">
        <v>1631</v>
      </c>
      <c r="J752" s="26">
        <v>2784.84</v>
      </c>
      <c r="K752" s="25">
        <v>253</v>
      </c>
      <c r="L752" s="21" t="s">
        <v>17</v>
      </c>
      <c r="M752" s="22" t="s">
        <v>11</v>
      </c>
      <c r="N752" s="27">
        <f t="shared" si="88"/>
        <v>19</v>
      </c>
      <c r="O752" s="28">
        <f t="shared" si="89"/>
        <v>4.2990062995861777E-2</v>
      </c>
      <c r="P752" s="28">
        <f t="shared" si="90"/>
        <v>0.15511955855303494</v>
      </c>
      <c r="Q752" s="26">
        <f t="shared" si="91"/>
        <v>1.7074432863274065</v>
      </c>
      <c r="R752" s="29">
        <f t="shared" si="92"/>
        <v>11.007272727272728</v>
      </c>
      <c r="S752" s="30">
        <f t="shared" si="93"/>
        <v>5</v>
      </c>
      <c r="T752" s="30">
        <f t="shared" si="94"/>
        <v>2023</v>
      </c>
      <c r="U752" s="29" t="str">
        <f t="shared" si="95"/>
        <v>May</v>
      </c>
    </row>
    <row r="753" spans="1:21" ht="17.399999999999999" x14ac:dyDescent="0.3">
      <c r="A753" s="21" t="s">
        <v>1386</v>
      </c>
      <c r="B753" s="21" t="s">
        <v>1387</v>
      </c>
      <c r="C753" s="23" t="s">
        <v>3516</v>
      </c>
      <c r="D753" s="21" t="s">
        <v>3520</v>
      </c>
      <c r="E753" s="24">
        <v>45067</v>
      </c>
      <c r="F753" s="24">
        <v>45071</v>
      </c>
      <c r="G753" s="22" t="s">
        <v>14</v>
      </c>
      <c r="H753" s="25">
        <v>59141</v>
      </c>
      <c r="I753" s="25">
        <v>1821</v>
      </c>
      <c r="J753" s="26">
        <v>2748.38</v>
      </c>
      <c r="K753" s="25">
        <v>208</v>
      </c>
      <c r="L753" s="21" t="s">
        <v>17</v>
      </c>
      <c r="M753" s="22" t="s">
        <v>3537</v>
      </c>
      <c r="N753" s="27">
        <f t="shared" si="88"/>
        <v>4</v>
      </c>
      <c r="O753" s="28">
        <f t="shared" si="89"/>
        <v>3.0790821934022081E-2</v>
      </c>
      <c r="P753" s="28">
        <f t="shared" si="90"/>
        <v>0.11422295442064799</v>
      </c>
      <c r="Q753" s="26">
        <f t="shared" si="91"/>
        <v>1.5092696320702912</v>
      </c>
      <c r="R753" s="29">
        <f t="shared" si="92"/>
        <v>13.213365384615384</v>
      </c>
      <c r="S753" s="30">
        <f t="shared" si="93"/>
        <v>5</v>
      </c>
      <c r="T753" s="30">
        <f t="shared" si="94"/>
        <v>2023</v>
      </c>
      <c r="U753" s="29" t="str">
        <f t="shared" si="95"/>
        <v>May</v>
      </c>
    </row>
    <row r="754" spans="1:21" ht="17.399999999999999" x14ac:dyDescent="0.3">
      <c r="A754" s="21" t="s">
        <v>2640</v>
      </c>
      <c r="B754" s="21" t="s">
        <v>2641</v>
      </c>
      <c r="C754" s="23" t="s">
        <v>3519</v>
      </c>
      <c r="D754" s="21" t="s">
        <v>3520</v>
      </c>
      <c r="E754" s="24">
        <v>45067</v>
      </c>
      <c r="F754" s="24">
        <v>45174</v>
      </c>
      <c r="G754" s="22" t="s">
        <v>31</v>
      </c>
      <c r="H754" s="25">
        <v>58134</v>
      </c>
      <c r="I754" s="25">
        <v>688</v>
      </c>
      <c r="J754" s="26">
        <v>1327</v>
      </c>
      <c r="K754" s="25">
        <v>113</v>
      </c>
      <c r="L754" s="21" t="s">
        <v>21</v>
      </c>
      <c r="M754" s="22" t="s">
        <v>31</v>
      </c>
      <c r="N754" s="27">
        <f t="shared" si="88"/>
        <v>107</v>
      </c>
      <c r="O754" s="28">
        <f t="shared" si="89"/>
        <v>1.1834726665978601E-2</v>
      </c>
      <c r="P754" s="28">
        <f t="shared" si="90"/>
        <v>0.16424418604651161</v>
      </c>
      <c r="Q754" s="26">
        <f t="shared" si="91"/>
        <v>1.9287790697674418</v>
      </c>
      <c r="R754" s="29">
        <f t="shared" si="92"/>
        <v>11.743362831858407</v>
      </c>
      <c r="S754" s="30">
        <f t="shared" si="93"/>
        <v>5</v>
      </c>
      <c r="T754" s="30">
        <f t="shared" si="94"/>
        <v>2023</v>
      </c>
      <c r="U754" s="29" t="str">
        <f t="shared" si="95"/>
        <v>May</v>
      </c>
    </row>
    <row r="755" spans="1:21" ht="17.399999999999999" x14ac:dyDescent="0.3">
      <c r="A755" s="21" t="s">
        <v>2730</v>
      </c>
      <c r="B755" s="22" t="s">
        <v>3748</v>
      </c>
      <c r="C755" s="23" t="s">
        <v>3518</v>
      </c>
      <c r="D755" s="22" t="s">
        <v>3545</v>
      </c>
      <c r="E755" s="24">
        <v>45068</v>
      </c>
      <c r="F755" s="24">
        <v>45094</v>
      </c>
      <c r="G755" s="22" t="s">
        <v>14</v>
      </c>
      <c r="H755" s="25">
        <v>97443</v>
      </c>
      <c r="I755" s="25">
        <v>1771</v>
      </c>
      <c r="J755" s="26">
        <v>2283.04</v>
      </c>
      <c r="K755" s="25">
        <v>217</v>
      </c>
      <c r="L755" s="21" t="s">
        <v>21</v>
      </c>
      <c r="M755" s="22" t="s">
        <v>3537</v>
      </c>
      <c r="N755" s="27">
        <f t="shared" si="88"/>
        <v>26</v>
      </c>
      <c r="O755" s="28">
        <f t="shared" si="89"/>
        <v>1.8174727789579549E-2</v>
      </c>
      <c r="P755" s="28">
        <f t="shared" si="90"/>
        <v>0.1225296442687747</v>
      </c>
      <c r="Q755" s="26">
        <f t="shared" si="91"/>
        <v>1.289124788255223</v>
      </c>
      <c r="R755" s="29">
        <f t="shared" si="92"/>
        <v>10.520921658986175</v>
      </c>
      <c r="S755" s="30">
        <f t="shared" si="93"/>
        <v>5</v>
      </c>
      <c r="T755" s="30">
        <f t="shared" si="94"/>
        <v>2023</v>
      </c>
      <c r="U755" s="29" t="str">
        <f t="shared" si="95"/>
        <v>May</v>
      </c>
    </row>
    <row r="756" spans="1:21" ht="17.399999999999999" x14ac:dyDescent="0.3">
      <c r="A756" s="21" t="s">
        <v>1550</v>
      </c>
      <c r="B756" s="21" t="s">
        <v>1551</v>
      </c>
      <c r="C756" s="23" t="s">
        <v>3516</v>
      </c>
      <c r="D756" s="21" t="s">
        <v>3521</v>
      </c>
      <c r="E756" s="24">
        <v>45068</v>
      </c>
      <c r="F756" s="24">
        <v>45089</v>
      </c>
      <c r="G756" s="22" t="s">
        <v>16</v>
      </c>
      <c r="H756" s="25">
        <v>57800</v>
      </c>
      <c r="I756" s="25">
        <v>1460</v>
      </c>
      <c r="J756" s="26">
        <v>1403.49</v>
      </c>
      <c r="K756" s="25">
        <v>93</v>
      </c>
      <c r="L756" s="21" t="s">
        <v>21</v>
      </c>
      <c r="M756" s="22" t="s">
        <v>16</v>
      </c>
      <c r="N756" s="27">
        <f t="shared" si="88"/>
        <v>21</v>
      </c>
      <c r="O756" s="28">
        <f t="shared" si="89"/>
        <v>2.5259515570934254E-2</v>
      </c>
      <c r="P756" s="28">
        <f t="shared" si="90"/>
        <v>6.3698630136986303E-2</v>
      </c>
      <c r="Q756" s="26">
        <f t="shared" si="91"/>
        <v>0.96129452054794517</v>
      </c>
      <c r="R756" s="29">
        <f t="shared" si="92"/>
        <v>15.091290322580646</v>
      </c>
      <c r="S756" s="30">
        <f t="shared" si="93"/>
        <v>5</v>
      </c>
      <c r="T756" s="30">
        <f t="shared" si="94"/>
        <v>2023</v>
      </c>
      <c r="U756" s="29" t="str">
        <f t="shared" si="95"/>
        <v>May</v>
      </c>
    </row>
    <row r="757" spans="1:21" ht="17.399999999999999" x14ac:dyDescent="0.3">
      <c r="A757" s="21" t="s">
        <v>2121</v>
      </c>
      <c r="B757" s="21" t="s">
        <v>2122</v>
      </c>
      <c r="C757" s="23" t="s">
        <v>3516</v>
      </c>
      <c r="D757" s="21" t="s">
        <v>3521</v>
      </c>
      <c r="E757" s="24">
        <v>45068</v>
      </c>
      <c r="F757" s="24">
        <v>45090</v>
      </c>
      <c r="G757" s="22" t="s">
        <v>16</v>
      </c>
      <c r="H757" s="25">
        <v>65644</v>
      </c>
      <c r="I757" s="25">
        <v>2581</v>
      </c>
      <c r="J757" s="26">
        <v>3658.49</v>
      </c>
      <c r="K757" s="25">
        <v>411</v>
      </c>
      <c r="L757" s="21" t="s">
        <v>21</v>
      </c>
      <c r="M757" s="22" t="s">
        <v>16</v>
      </c>
      <c r="N757" s="27">
        <f t="shared" si="88"/>
        <v>22</v>
      </c>
      <c r="O757" s="28">
        <f t="shared" si="89"/>
        <v>3.9318140271768935E-2</v>
      </c>
      <c r="P757" s="28">
        <f t="shared" si="90"/>
        <v>0.15924060441689267</v>
      </c>
      <c r="Q757" s="26">
        <f t="shared" si="91"/>
        <v>1.417469972878729</v>
      </c>
      <c r="R757" s="29">
        <f t="shared" si="92"/>
        <v>8.9014355231143547</v>
      </c>
      <c r="S757" s="30">
        <f t="shared" si="93"/>
        <v>5</v>
      </c>
      <c r="T757" s="30">
        <f t="shared" si="94"/>
        <v>2023</v>
      </c>
      <c r="U757" s="29" t="str">
        <f t="shared" si="95"/>
        <v>May</v>
      </c>
    </row>
    <row r="758" spans="1:21" ht="17.399999999999999" x14ac:dyDescent="0.3">
      <c r="A758" s="21" t="s">
        <v>2203</v>
      </c>
      <c r="B758" s="21" t="s">
        <v>2204</v>
      </c>
      <c r="C758" s="23" t="s">
        <v>3515</v>
      </c>
      <c r="D758" s="21" t="s">
        <v>3521</v>
      </c>
      <c r="E758" s="24">
        <v>45068</v>
      </c>
      <c r="F758" s="24">
        <v>45090</v>
      </c>
      <c r="G758" s="22" t="s">
        <v>24</v>
      </c>
      <c r="H758" s="25">
        <v>68526</v>
      </c>
      <c r="I758" s="25">
        <v>2993</v>
      </c>
      <c r="J758" s="26">
        <v>1677.38</v>
      </c>
      <c r="K758" s="25">
        <v>435</v>
      </c>
      <c r="L758" s="21" t="s">
        <v>21</v>
      </c>
      <c r="M758" s="22" t="s">
        <v>3536</v>
      </c>
      <c r="N758" s="27">
        <f t="shared" si="88"/>
        <v>22</v>
      </c>
      <c r="O758" s="28">
        <f t="shared" si="89"/>
        <v>4.3676852581501911E-2</v>
      </c>
      <c r="P758" s="28">
        <f t="shared" si="90"/>
        <v>0.14533912462412296</v>
      </c>
      <c r="Q758" s="26">
        <f t="shared" si="91"/>
        <v>0.56043434680922155</v>
      </c>
      <c r="R758" s="29">
        <f t="shared" si="92"/>
        <v>3.8560459770114943</v>
      </c>
      <c r="S758" s="30">
        <f t="shared" si="93"/>
        <v>5</v>
      </c>
      <c r="T758" s="30">
        <f t="shared" si="94"/>
        <v>2023</v>
      </c>
      <c r="U758" s="29" t="str">
        <f t="shared" si="95"/>
        <v>May</v>
      </c>
    </row>
    <row r="759" spans="1:21" ht="17.399999999999999" x14ac:dyDescent="0.3">
      <c r="A759" s="21" t="s">
        <v>2777</v>
      </c>
      <c r="B759" s="22" t="s">
        <v>3749</v>
      </c>
      <c r="C759" s="23" t="s">
        <v>3515</v>
      </c>
      <c r="D759" s="22" t="s">
        <v>3545</v>
      </c>
      <c r="E759" s="24">
        <v>45068</v>
      </c>
      <c r="F759" s="24">
        <v>45082</v>
      </c>
      <c r="G759" s="22" t="s">
        <v>11</v>
      </c>
      <c r="H759" s="25">
        <v>28788</v>
      </c>
      <c r="I759" s="25">
        <v>1120</v>
      </c>
      <c r="J759" s="26">
        <v>1518.29</v>
      </c>
      <c r="K759" s="25">
        <v>115</v>
      </c>
      <c r="L759" s="21" t="s">
        <v>17</v>
      </c>
      <c r="M759" s="22" t="s">
        <v>11</v>
      </c>
      <c r="N759" s="27">
        <f t="shared" si="88"/>
        <v>14</v>
      </c>
      <c r="O759" s="28">
        <f t="shared" si="89"/>
        <v>3.890509934695012E-2</v>
      </c>
      <c r="P759" s="28">
        <f t="shared" si="90"/>
        <v>0.10267857142857142</v>
      </c>
      <c r="Q759" s="26">
        <f t="shared" si="91"/>
        <v>1.3556160714285714</v>
      </c>
      <c r="R759" s="29">
        <f t="shared" si="92"/>
        <v>13.202521739130434</v>
      </c>
      <c r="S759" s="30">
        <f t="shared" si="93"/>
        <v>5</v>
      </c>
      <c r="T759" s="30">
        <f t="shared" si="94"/>
        <v>2023</v>
      </c>
      <c r="U759" s="29" t="str">
        <f t="shared" si="95"/>
        <v>May</v>
      </c>
    </row>
    <row r="760" spans="1:21" ht="17.399999999999999" x14ac:dyDescent="0.3">
      <c r="A760" s="21" t="s">
        <v>1818</v>
      </c>
      <c r="B760" s="22" t="s">
        <v>3750</v>
      </c>
      <c r="C760" s="23" t="s">
        <v>3519</v>
      </c>
      <c r="D760" s="22" t="s">
        <v>3545</v>
      </c>
      <c r="E760" s="24">
        <v>45069</v>
      </c>
      <c r="F760" s="24">
        <v>45091</v>
      </c>
      <c r="G760" s="22" t="s">
        <v>24</v>
      </c>
      <c r="H760" s="25">
        <v>29746</v>
      </c>
      <c r="I760" s="25">
        <v>462</v>
      </c>
      <c r="J760" s="26">
        <v>539.65</v>
      </c>
      <c r="K760" s="25">
        <v>35</v>
      </c>
      <c r="L760" s="21" t="s">
        <v>21</v>
      </c>
      <c r="M760" s="22" t="s">
        <v>3536</v>
      </c>
      <c r="N760" s="27">
        <f t="shared" si="88"/>
        <v>22</v>
      </c>
      <c r="O760" s="28">
        <f t="shared" si="89"/>
        <v>1.5531500033617966E-2</v>
      </c>
      <c r="P760" s="28">
        <f t="shared" si="90"/>
        <v>7.575757575757576E-2</v>
      </c>
      <c r="Q760" s="26">
        <f t="shared" si="91"/>
        <v>1.168073593073593</v>
      </c>
      <c r="R760" s="29">
        <f t="shared" si="92"/>
        <v>15.418571428571427</v>
      </c>
      <c r="S760" s="30">
        <f t="shared" si="93"/>
        <v>5</v>
      </c>
      <c r="T760" s="30">
        <f t="shared" si="94"/>
        <v>2023</v>
      </c>
      <c r="U760" s="29" t="str">
        <f t="shared" si="95"/>
        <v>May</v>
      </c>
    </row>
    <row r="761" spans="1:21" ht="17.399999999999999" x14ac:dyDescent="0.3">
      <c r="A761" s="21" t="s">
        <v>501</v>
      </c>
      <c r="B761" s="21" t="s">
        <v>502</v>
      </c>
      <c r="C761" s="23" t="s">
        <v>3518</v>
      </c>
      <c r="D761" s="21" t="s">
        <v>3521</v>
      </c>
      <c r="E761" s="24">
        <v>45069</v>
      </c>
      <c r="F761" s="24">
        <v>45093</v>
      </c>
      <c r="G761" s="22" t="s">
        <v>11</v>
      </c>
      <c r="H761" s="25">
        <v>17371</v>
      </c>
      <c r="I761" s="25">
        <v>751</v>
      </c>
      <c r="J761" s="26">
        <v>833.49</v>
      </c>
      <c r="K761" s="25">
        <v>53</v>
      </c>
      <c r="L761" s="21" t="s">
        <v>21</v>
      </c>
      <c r="M761" s="22" t="s">
        <v>11</v>
      </c>
      <c r="N761" s="27">
        <f t="shared" si="88"/>
        <v>24</v>
      </c>
      <c r="O761" s="28">
        <f t="shared" si="89"/>
        <v>4.3232974497726097E-2</v>
      </c>
      <c r="P761" s="28">
        <f t="shared" si="90"/>
        <v>7.057256990679095E-2</v>
      </c>
      <c r="Q761" s="26">
        <f t="shared" si="91"/>
        <v>1.1098402130492677</v>
      </c>
      <c r="R761" s="29">
        <f t="shared" si="92"/>
        <v>15.72622641509434</v>
      </c>
      <c r="S761" s="30">
        <f t="shared" si="93"/>
        <v>5</v>
      </c>
      <c r="T761" s="30">
        <f t="shared" si="94"/>
        <v>2023</v>
      </c>
      <c r="U761" s="29" t="str">
        <f t="shared" si="95"/>
        <v>May</v>
      </c>
    </row>
    <row r="762" spans="1:21" ht="17.399999999999999" x14ac:dyDescent="0.3">
      <c r="A762" s="21" t="s">
        <v>27</v>
      </c>
      <c r="B762" s="21" t="s">
        <v>28</v>
      </c>
      <c r="C762" s="23" t="s">
        <v>3515</v>
      </c>
      <c r="D762" s="21" t="s">
        <v>3520</v>
      </c>
      <c r="E762" s="24">
        <v>45069</v>
      </c>
      <c r="F762" s="24">
        <v>45074</v>
      </c>
      <c r="G762" s="22" t="s">
        <v>24</v>
      </c>
      <c r="H762" s="25">
        <v>88498</v>
      </c>
      <c r="I762" s="25">
        <v>1173</v>
      </c>
      <c r="J762" s="26">
        <v>865.7</v>
      </c>
      <c r="K762" s="25">
        <v>127</v>
      </c>
      <c r="L762" s="21" t="s">
        <v>21</v>
      </c>
      <c r="M762" s="22" t="s">
        <v>3536</v>
      </c>
      <c r="N762" s="27">
        <f t="shared" si="88"/>
        <v>5</v>
      </c>
      <c r="O762" s="28">
        <f t="shared" si="89"/>
        <v>1.3254536825690976E-2</v>
      </c>
      <c r="P762" s="28">
        <f t="shared" si="90"/>
        <v>0.1082693947144075</v>
      </c>
      <c r="Q762" s="26">
        <f t="shared" si="91"/>
        <v>0.73802216538789434</v>
      </c>
      <c r="R762" s="29">
        <f t="shared" si="92"/>
        <v>6.8165354330708663</v>
      </c>
      <c r="S762" s="30">
        <f t="shared" si="93"/>
        <v>5</v>
      </c>
      <c r="T762" s="30">
        <f t="shared" si="94"/>
        <v>2023</v>
      </c>
      <c r="U762" s="29" t="str">
        <f t="shared" si="95"/>
        <v>May</v>
      </c>
    </row>
    <row r="763" spans="1:21" ht="17.399999999999999" x14ac:dyDescent="0.3">
      <c r="A763" s="21" t="s">
        <v>246</v>
      </c>
      <c r="B763" s="21" t="s">
        <v>247</v>
      </c>
      <c r="C763" s="23" t="s">
        <v>3515</v>
      </c>
      <c r="D763" s="21" t="s">
        <v>3521</v>
      </c>
      <c r="E763" s="24">
        <v>45069</v>
      </c>
      <c r="F763" s="24">
        <v>45085</v>
      </c>
      <c r="G763" s="22" t="s">
        <v>14</v>
      </c>
      <c r="H763" s="25">
        <v>80309</v>
      </c>
      <c r="I763" s="25">
        <v>2657</v>
      </c>
      <c r="J763" s="26">
        <v>4308.83</v>
      </c>
      <c r="K763" s="25">
        <v>253</v>
      </c>
      <c r="L763" s="21" t="s">
        <v>21</v>
      </c>
      <c r="M763" s="22" t="s">
        <v>3537</v>
      </c>
      <c r="N763" s="27">
        <f t="shared" si="88"/>
        <v>16</v>
      </c>
      <c r="O763" s="28">
        <f t="shared" si="89"/>
        <v>3.3084710306441369E-2</v>
      </c>
      <c r="P763" s="28">
        <f t="shared" si="90"/>
        <v>9.5220173127587501E-2</v>
      </c>
      <c r="Q763" s="26">
        <f t="shared" si="91"/>
        <v>1.6216898757997742</v>
      </c>
      <c r="R763" s="29">
        <f t="shared" si="92"/>
        <v>17.030948616600789</v>
      </c>
      <c r="S763" s="30">
        <f t="shared" si="93"/>
        <v>5</v>
      </c>
      <c r="T763" s="30">
        <f t="shared" si="94"/>
        <v>2023</v>
      </c>
      <c r="U763" s="29" t="str">
        <f t="shared" si="95"/>
        <v>May</v>
      </c>
    </row>
    <row r="764" spans="1:21" ht="17.399999999999999" x14ac:dyDescent="0.3">
      <c r="A764" s="21" t="s">
        <v>1226</v>
      </c>
      <c r="B764" s="21" t="s">
        <v>1227</v>
      </c>
      <c r="C764" s="23" t="s">
        <v>3515</v>
      </c>
      <c r="D764" s="21" t="s">
        <v>3521</v>
      </c>
      <c r="E764" s="24">
        <v>45069</v>
      </c>
      <c r="F764" s="24">
        <v>45094</v>
      </c>
      <c r="G764" s="22" t="s">
        <v>16</v>
      </c>
      <c r="H764" s="25">
        <v>20870</v>
      </c>
      <c r="I764" s="25">
        <v>247</v>
      </c>
      <c r="J764" s="26">
        <v>340.18</v>
      </c>
      <c r="K764" s="25">
        <v>16</v>
      </c>
      <c r="L764" s="21" t="s">
        <v>17</v>
      </c>
      <c r="M764" s="22" t="s">
        <v>16</v>
      </c>
      <c r="N764" s="27">
        <f t="shared" si="88"/>
        <v>25</v>
      </c>
      <c r="O764" s="28">
        <f t="shared" si="89"/>
        <v>1.1835170100622903E-2</v>
      </c>
      <c r="P764" s="28">
        <f t="shared" si="90"/>
        <v>6.4777327935222673E-2</v>
      </c>
      <c r="Q764" s="26">
        <f t="shared" si="91"/>
        <v>1.3772469635627531</v>
      </c>
      <c r="R764" s="29">
        <f t="shared" si="92"/>
        <v>21.26125</v>
      </c>
      <c r="S764" s="30">
        <f t="shared" si="93"/>
        <v>5</v>
      </c>
      <c r="T764" s="30">
        <f t="shared" si="94"/>
        <v>2023</v>
      </c>
      <c r="U764" s="29" t="str">
        <f t="shared" si="95"/>
        <v>May</v>
      </c>
    </row>
    <row r="765" spans="1:21" ht="17.399999999999999" x14ac:dyDescent="0.3">
      <c r="A765" s="21" t="s">
        <v>685</v>
      </c>
      <c r="B765" s="21" t="s">
        <v>686</v>
      </c>
      <c r="C765" s="23" t="s">
        <v>3518</v>
      </c>
      <c r="D765" s="21" t="s">
        <v>3517</v>
      </c>
      <c r="E765" s="24">
        <v>45070</v>
      </c>
      <c r="F765" s="24">
        <v>45089</v>
      </c>
      <c r="G765" s="22" t="s">
        <v>14</v>
      </c>
      <c r="H765" s="25">
        <v>24093</v>
      </c>
      <c r="I765" s="25">
        <v>241</v>
      </c>
      <c r="J765" s="26">
        <v>247.17</v>
      </c>
      <c r="K765" s="25">
        <v>19</v>
      </c>
      <c r="L765" s="21" t="s">
        <v>17</v>
      </c>
      <c r="M765" s="22" t="s">
        <v>3537</v>
      </c>
      <c r="N765" s="27">
        <f t="shared" si="88"/>
        <v>19</v>
      </c>
      <c r="O765" s="28">
        <f t="shared" si="89"/>
        <v>1.0002905408209854E-2</v>
      </c>
      <c r="P765" s="28">
        <f t="shared" si="90"/>
        <v>7.8838174273858919E-2</v>
      </c>
      <c r="Q765" s="26">
        <f t="shared" si="91"/>
        <v>1.0256016597510373</v>
      </c>
      <c r="R765" s="29">
        <f t="shared" si="92"/>
        <v>13.008947368421053</v>
      </c>
      <c r="S765" s="30">
        <f t="shared" si="93"/>
        <v>5</v>
      </c>
      <c r="T765" s="30">
        <f t="shared" si="94"/>
        <v>2023</v>
      </c>
      <c r="U765" s="29" t="str">
        <f t="shared" si="95"/>
        <v>May</v>
      </c>
    </row>
    <row r="766" spans="1:21" ht="17.399999999999999" x14ac:dyDescent="0.3">
      <c r="A766" s="21" t="s">
        <v>1966</v>
      </c>
      <c r="B766" s="21" t="s">
        <v>1967</v>
      </c>
      <c r="C766" s="23" t="s">
        <v>3516</v>
      </c>
      <c r="D766" s="21" t="s">
        <v>3520</v>
      </c>
      <c r="E766" s="24">
        <v>45070</v>
      </c>
      <c r="F766" s="24">
        <v>45097</v>
      </c>
      <c r="G766" s="22" t="s">
        <v>11</v>
      </c>
      <c r="H766" s="25">
        <v>74340</v>
      </c>
      <c r="I766" s="25">
        <v>3657</v>
      </c>
      <c r="J766" s="26">
        <v>3610.86</v>
      </c>
      <c r="K766" s="25">
        <v>662</v>
      </c>
      <c r="L766" s="21" t="s">
        <v>21</v>
      </c>
      <c r="M766" s="22" t="s">
        <v>11</v>
      </c>
      <c r="N766" s="27">
        <f t="shared" si="88"/>
        <v>27</v>
      </c>
      <c r="O766" s="28">
        <f t="shared" si="89"/>
        <v>4.9192897497982245E-2</v>
      </c>
      <c r="P766" s="28">
        <f t="shared" si="90"/>
        <v>0.18102269619907027</v>
      </c>
      <c r="Q766" s="26">
        <f t="shared" si="91"/>
        <v>0.98738310090237902</v>
      </c>
      <c r="R766" s="29">
        <f t="shared" si="92"/>
        <v>5.4544712990936555</v>
      </c>
      <c r="S766" s="30">
        <f t="shared" si="93"/>
        <v>5</v>
      </c>
      <c r="T766" s="30">
        <f t="shared" si="94"/>
        <v>2023</v>
      </c>
      <c r="U766" s="29" t="str">
        <f t="shared" si="95"/>
        <v>May</v>
      </c>
    </row>
    <row r="767" spans="1:21" ht="17.399999999999999" x14ac:dyDescent="0.3">
      <c r="A767" s="21" t="s">
        <v>886</v>
      </c>
      <c r="B767" s="21" t="s">
        <v>887</v>
      </c>
      <c r="C767" s="23" t="s">
        <v>3519</v>
      </c>
      <c r="D767" s="21" t="s">
        <v>3517</v>
      </c>
      <c r="E767" s="24">
        <v>45071</v>
      </c>
      <c r="F767" s="24">
        <v>45079</v>
      </c>
      <c r="G767" s="22" t="s">
        <v>3535</v>
      </c>
      <c r="H767" s="25">
        <v>94468</v>
      </c>
      <c r="I767" s="25">
        <v>4632</v>
      </c>
      <c r="J767" s="26">
        <v>2847.1</v>
      </c>
      <c r="K767" s="25">
        <v>400</v>
      </c>
      <c r="L767" s="21" t="s">
        <v>21</v>
      </c>
      <c r="M767" s="22" t="s">
        <v>3535</v>
      </c>
      <c r="N767" s="27">
        <f t="shared" si="88"/>
        <v>8</v>
      </c>
      <c r="O767" s="28">
        <f t="shared" si="89"/>
        <v>4.9032476605834777E-2</v>
      </c>
      <c r="P767" s="28">
        <f t="shared" si="90"/>
        <v>8.6355785837651119E-2</v>
      </c>
      <c r="Q767" s="26">
        <f t="shared" si="91"/>
        <v>0.61465889464594126</v>
      </c>
      <c r="R767" s="29">
        <f t="shared" si="92"/>
        <v>7.11775</v>
      </c>
      <c r="S767" s="30">
        <f t="shared" si="93"/>
        <v>5</v>
      </c>
      <c r="T767" s="30">
        <f t="shared" si="94"/>
        <v>2023</v>
      </c>
      <c r="U767" s="29" t="str">
        <f t="shared" si="95"/>
        <v>May</v>
      </c>
    </row>
    <row r="768" spans="1:21" ht="17.399999999999999" x14ac:dyDescent="0.3">
      <c r="A768" s="21" t="s">
        <v>1424</v>
      </c>
      <c r="B768" s="21" t="s">
        <v>1425</v>
      </c>
      <c r="C768" s="23" t="s">
        <v>3519</v>
      </c>
      <c r="D768" s="21" t="s">
        <v>3521</v>
      </c>
      <c r="E768" s="24">
        <v>45071</v>
      </c>
      <c r="F768" s="24">
        <v>45075</v>
      </c>
      <c r="G768" s="22" t="s">
        <v>11</v>
      </c>
      <c r="H768" s="25">
        <v>1384</v>
      </c>
      <c r="I768" s="25">
        <v>40</v>
      </c>
      <c r="J768" s="26">
        <v>56.33</v>
      </c>
      <c r="K768" s="25">
        <v>7</v>
      </c>
      <c r="L768" s="21" t="s">
        <v>17</v>
      </c>
      <c r="M768" s="22" t="s">
        <v>11</v>
      </c>
      <c r="N768" s="27">
        <f t="shared" si="88"/>
        <v>4</v>
      </c>
      <c r="O768" s="28">
        <f t="shared" si="89"/>
        <v>2.8901734104046242E-2</v>
      </c>
      <c r="P768" s="28">
        <f t="shared" si="90"/>
        <v>0.17499999999999999</v>
      </c>
      <c r="Q768" s="26">
        <f t="shared" si="91"/>
        <v>1.40825</v>
      </c>
      <c r="R768" s="29">
        <f t="shared" si="92"/>
        <v>8.0471428571428572</v>
      </c>
      <c r="S768" s="30">
        <f t="shared" si="93"/>
        <v>5</v>
      </c>
      <c r="T768" s="30">
        <f t="shared" si="94"/>
        <v>2023</v>
      </c>
      <c r="U768" s="29" t="str">
        <f t="shared" si="95"/>
        <v>May</v>
      </c>
    </row>
    <row r="769" spans="1:21" ht="17.399999999999999" x14ac:dyDescent="0.3">
      <c r="A769" s="21" t="s">
        <v>2524</v>
      </c>
      <c r="B769" s="21" t="s">
        <v>2525</v>
      </c>
      <c r="C769" s="23" t="s">
        <v>3518</v>
      </c>
      <c r="D769" s="21" t="s">
        <v>3517</v>
      </c>
      <c r="E769" s="24">
        <v>45071</v>
      </c>
      <c r="F769" s="24">
        <v>45075</v>
      </c>
      <c r="G769" s="22" t="s">
        <v>16</v>
      </c>
      <c r="H769" s="25">
        <v>87145</v>
      </c>
      <c r="I769" s="25">
        <v>3398</v>
      </c>
      <c r="J769" s="26">
        <v>5122.08</v>
      </c>
      <c r="K769" s="25">
        <v>259</v>
      </c>
      <c r="L769" s="21" t="s">
        <v>17</v>
      </c>
      <c r="M769" s="22" t="s">
        <v>16</v>
      </c>
      <c r="N769" s="27">
        <f t="shared" si="88"/>
        <v>4</v>
      </c>
      <c r="O769" s="28">
        <f t="shared" si="89"/>
        <v>3.8992483791382176E-2</v>
      </c>
      <c r="P769" s="28">
        <f t="shared" si="90"/>
        <v>7.6221306650971155E-2</v>
      </c>
      <c r="Q769" s="26">
        <f t="shared" si="91"/>
        <v>1.5073808122424956</v>
      </c>
      <c r="R769" s="29">
        <f t="shared" si="92"/>
        <v>19.776370656370656</v>
      </c>
      <c r="S769" s="30">
        <f t="shared" si="93"/>
        <v>5</v>
      </c>
      <c r="T769" s="30">
        <f t="shared" si="94"/>
        <v>2023</v>
      </c>
      <c r="U769" s="29" t="str">
        <f t="shared" si="95"/>
        <v>May</v>
      </c>
    </row>
    <row r="770" spans="1:21" ht="17.399999999999999" x14ac:dyDescent="0.3">
      <c r="A770" s="21" t="s">
        <v>1153</v>
      </c>
      <c r="B770" s="22" t="s">
        <v>3751</v>
      </c>
      <c r="C770" s="23" t="s">
        <v>3516</v>
      </c>
      <c r="D770" s="22" t="s">
        <v>3545</v>
      </c>
      <c r="E770" s="24">
        <v>45071</v>
      </c>
      <c r="F770" s="24">
        <v>45095</v>
      </c>
      <c r="G770" s="22" t="s">
        <v>16</v>
      </c>
      <c r="H770" s="25">
        <v>10348</v>
      </c>
      <c r="I770" s="25">
        <v>346</v>
      </c>
      <c r="J770" s="26">
        <v>205.12</v>
      </c>
      <c r="K770" s="25">
        <v>45</v>
      </c>
      <c r="L770" s="21" t="s">
        <v>21</v>
      </c>
      <c r="M770" s="22" t="s">
        <v>16</v>
      </c>
      <c r="N770" s="27">
        <f t="shared" ref="N770:N833" si="96">F770-E770</f>
        <v>24</v>
      </c>
      <c r="O770" s="28">
        <f t="shared" ref="O770:O833" si="97">I770/H770</f>
        <v>3.3436412833397759E-2</v>
      </c>
      <c r="P770" s="28">
        <f t="shared" ref="P770:P833" si="98">K770/I770</f>
        <v>0.13005780346820808</v>
      </c>
      <c r="Q770" s="26">
        <f t="shared" ref="Q770:Q833" si="99">J770/I770</f>
        <v>0.59283236994219657</v>
      </c>
      <c r="R770" s="29">
        <f t="shared" ref="R770:R833" si="100">IFERROR(J770/K770,"0")</f>
        <v>4.5582222222222226</v>
      </c>
      <c r="S770" s="30">
        <f t="shared" ref="S770:S833" si="101">MONTH(E770)</f>
        <v>5</v>
      </c>
      <c r="T770" s="30">
        <f t="shared" ref="T770:T833" si="102">YEAR(E770)</f>
        <v>2023</v>
      </c>
      <c r="U770" s="29" t="str">
        <f t="shared" ref="U770:U833" si="103">TEXT(E770,"mmmm")</f>
        <v>May</v>
      </c>
    </row>
    <row r="771" spans="1:21" ht="17.399999999999999" x14ac:dyDescent="0.3">
      <c r="A771" s="21" t="s">
        <v>806</v>
      </c>
      <c r="B771" s="21" t="s">
        <v>807</v>
      </c>
      <c r="C771" s="23" t="s">
        <v>3519</v>
      </c>
      <c r="D771" s="21" t="s">
        <v>3517</v>
      </c>
      <c r="E771" s="24">
        <v>45072</v>
      </c>
      <c r="F771" s="24">
        <v>45091</v>
      </c>
      <c r="G771" s="22" t="s">
        <v>16</v>
      </c>
      <c r="H771" s="25">
        <v>40734</v>
      </c>
      <c r="I771" s="25">
        <v>1480</v>
      </c>
      <c r="J771" s="26">
        <v>2030.75</v>
      </c>
      <c r="K771" s="25">
        <v>225</v>
      </c>
      <c r="L771" s="21" t="s">
        <v>21</v>
      </c>
      <c r="M771" s="22" t="s">
        <v>16</v>
      </c>
      <c r="N771" s="27">
        <f t="shared" si="96"/>
        <v>19</v>
      </c>
      <c r="O771" s="28">
        <f t="shared" si="97"/>
        <v>3.6333284234300586E-2</v>
      </c>
      <c r="P771" s="28">
        <f t="shared" si="98"/>
        <v>0.15202702702702703</v>
      </c>
      <c r="Q771" s="26">
        <f t="shared" si="99"/>
        <v>1.3721283783783784</v>
      </c>
      <c r="R771" s="29">
        <f t="shared" si="100"/>
        <v>9.025555555555556</v>
      </c>
      <c r="S771" s="30">
        <f t="shared" si="101"/>
        <v>5</v>
      </c>
      <c r="T771" s="30">
        <f t="shared" si="102"/>
        <v>2023</v>
      </c>
      <c r="U771" s="29" t="str">
        <f t="shared" si="103"/>
        <v>May</v>
      </c>
    </row>
    <row r="772" spans="1:21" ht="17.399999999999999" x14ac:dyDescent="0.3">
      <c r="A772" s="21" t="s">
        <v>2956</v>
      </c>
      <c r="B772" s="21" t="s">
        <v>2957</v>
      </c>
      <c r="C772" s="23" t="s">
        <v>3519</v>
      </c>
      <c r="D772" s="21" t="s">
        <v>3520</v>
      </c>
      <c r="E772" s="24">
        <v>45072</v>
      </c>
      <c r="F772" s="24">
        <v>45075</v>
      </c>
      <c r="G772" s="22" t="s">
        <v>16</v>
      </c>
      <c r="H772" s="25">
        <v>84560</v>
      </c>
      <c r="I772" s="25">
        <v>2969</v>
      </c>
      <c r="J772" s="26">
        <v>3070.36</v>
      </c>
      <c r="K772" s="25">
        <v>520</v>
      </c>
      <c r="L772" s="21" t="s">
        <v>17</v>
      </c>
      <c r="M772" s="22" t="s">
        <v>16</v>
      </c>
      <c r="N772" s="27">
        <f t="shared" si="96"/>
        <v>3</v>
      </c>
      <c r="O772" s="28">
        <f t="shared" si="97"/>
        <v>3.5111163670766318E-2</v>
      </c>
      <c r="P772" s="28">
        <f t="shared" si="98"/>
        <v>0.17514314584035029</v>
      </c>
      <c r="Q772" s="26">
        <f t="shared" si="99"/>
        <v>1.0341394408891884</v>
      </c>
      <c r="R772" s="29">
        <f t="shared" si="100"/>
        <v>5.9045384615384622</v>
      </c>
      <c r="S772" s="30">
        <f t="shared" si="101"/>
        <v>5</v>
      </c>
      <c r="T772" s="30">
        <f t="shared" si="102"/>
        <v>2023</v>
      </c>
      <c r="U772" s="29" t="str">
        <f t="shared" si="103"/>
        <v>May</v>
      </c>
    </row>
    <row r="773" spans="1:21" ht="17.399999999999999" x14ac:dyDescent="0.3">
      <c r="A773" s="21" t="s">
        <v>1733</v>
      </c>
      <c r="B773" s="22" t="s">
        <v>3752</v>
      </c>
      <c r="C773" s="23" t="s">
        <v>3516</v>
      </c>
      <c r="D773" s="22" t="s">
        <v>3545</v>
      </c>
      <c r="E773" s="24">
        <v>45072</v>
      </c>
      <c r="F773" s="24">
        <v>45092</v>
      </c>
      <c r="G773" s="22" t="s">
        <v>24</v>
      </c>
      <c r="H773" s="25">
        <v>7168</v>
      </c>
      <c r="I773" s="25">
        <v>185</v>
      </c>
      <c r="J773" s="26">
        <v>222.9</v>
      </c>
      <c r="K773" s="25">
        <v>26</v>
      </c>
      <c r="L773" s="21" t="s">
        <v>17</v>
      </c>
      <c r="M773" s="22" t="s">
        <v>3536</v>
      </c>
      <c r="N773" s="27">
        <f t="shared" si="96"/>
        <v>20</v>
      </c>
      <c r="O773" s="28">
        <f t="shared" si="97"/>
        <v>2.5809151785714284E-2</v>
      </c>
      <c r="P773" s="28">
        <f t="shared" si="98"/>
        <v>0.14054054054054055</v>
      </c>
      <c r="Q773" s="26">
        <f t="shared" si="99"/>
        <v>1.204864864864865</v>
      </c>
      <c r="R773" s="29">
        <f t="shared" si="100"/>
        <v>8.5730769230769237</v>
      </c>
      <c r="S773" s="30">
        <f t="shared" si="101"/>
        <v>5</v>
      </c>
      <c r="T773" s="30">
        <f t="shared" si="102"/>
        <v>2023</v>
      </c>
      <c r="U773" s="29" t="str">
        <f t="shared" si="103"/>
        <v>May</v>
      </c>
    </row>
    <row r="774" spans="1:21" ht="17.399999999999999" x14ac:dyDescent="0.3">
      <c r="A774" s="21" t="s">
        <v>3447</v>
      </c>
      <c r="B774" s="21" t="s">
        <v>3448</v>
      </c>
      <c r="C774" s="23" t="s">
        <v>3516</v>
      </c>
      <c r="D774" s="21" t="s">
        <v>3520</v>
      </c>
      <c r="E774" s="24">
        <v>45072</v>
      </c>
      <c r="F774" s="24">
        <v>45082</v>
      </c>
      <c r="G774" s="22" t="s">
        <v>11</v>
      </c>
      <c r="H774" s="25">
        <v>25826</v>
      </c>
      <c r="I774" s="25">
        <v>1272</v>
      </c>
      <c r="J774" s="26">
        <v>1426.69</v>
      </c>
      <c r="K774" s="25">
        <v>188</v>
      </c>
      <c r="L774" s="21" t="s">
        <v>21</v>
      </c>
      <c r="M774" s="22" t="s">
        <v>11</v>
      </c>
      <c r="N774" s="27">
        <f t="shared" si="96"/>
        <v>10</v>
      </c>
      <c r="O774" s="28">
        <f t="shared" si="97"/>
        <v>4.9252691086501973E-2</v>
      </c>
      <c r="P774" s="28">
        <f t="shared" si="98"/>
        <v>0.14779874213836477</v>
      </c>
      <c r="Q774" s="26">
        <f t="shared" si="99"/>
        <v>1.1216116352201257</v>
      </c>
      <c r="R774" s="29">
        <f t="shared" si="100"/>
        <v>7.5887765957446813</v>
      </c>
      <c r="S774" s="30">
        <f t="shared" si="101"/>
        <v>5</v>
      </c>
      <c r="T774" s="30">
        <f t="shared" si="102"/>
        <v>2023</v>
      </c>
      <c r="U774" s="29" t="str">
        <f t="shared" si="103"/>
        <v>May</v>
      </c>
    </row>
    <row r="775" spans="1:21" ht="17.399999999999999" x14ac:dyDescent="0.3">
      <c r="A775" s="21" t="s">
        <v>157</v>
      </c>
      <c r="B775" s="21" t="s">
        <v>158</v>
      </c>
      <c r="C775" s="23" t="s">
        <v>3519</v>
      </c>
      <c r="D775" s="21" t="s">
        <v>3517</v>
      </c>
      <c r="E775" s="24">
        <v>45073</v>
      </c>
      <c r="F775" s="24">
        <v>45084</v>
      </c>
      <c r="G775" s="22" t="s">
        <v>24</v>
      </c>
      <c r="H775" s="25">
        <v>90812</v>
      </c>
      <c r="I775" s="25">
        <v>2869</v>
      </c>
      <c r="J775" s="26">
        <v>2803.46</v>
      </c>
      <c r="K775" s="25">
        <v>258</v>
      </c>
      <c r="L775" s="21" t="s">
        <v>21</v>
      </c>
      <c r="M775" s="22" t="s">
        <v>3536</v>
      </c>
      <c r="N775" s="27">
        <f t="shared" si="96"/>
        <v>11</v>
      </c>
      <c r="O775" s="28">
        <f t="shared" si="97"/>
        <v>3.1592741047438665E-2</v>
      </c>
      <c r="P775" s="28">
        <f t="shared" si="98"/>
        <v>8.9926803764377838E-2</v>
      </c>
      <c r="Q775" s="26">
        <f t="shared" si="99"/>
        <v>0.97715580341582431</v>
      </c>
      <c r="R775" s="29">
        <f t="shared" si="100"/>
        <v>10.866124031007752</v>
      </c>
      <c r="S775" s="30">
        <f t="shared" si="101"/>
        <v>5</v>
      </c>
      <c r="T775" s="30">
        <f t="shared" si="102"/>
        <v>2023</v>
      </c>
      <c r="U775" s="29" t="str">
        <f t="shared" si="103"/>
        <v>May</v>
      </c>
    </row>
    <row r="776" spans="1:21" ht="17.399999999999999" x14ac:dyDescent="0.3">
      <c r="A776" s="21" t="s">
        <v>1464</v>
      </c>
      <c r="B776" s="21" t="s">
        <v>1465</v>
      </c>
      <c r="C776" s="23" t="s">
        <v>3519</v>
      </c>
      <c r="D776" s="21" t="s">
        <v>3520</v>
      </c>
      <c r="E776" s="24">
        <v>45073</v>
      </c>
      <c r="F776" s="24">
        <v>45093</v>
      </c>
      <c r="G776" s="22" t="s">
        <v>16</v>
      </c>
      <c r="H776" s="25">
        <v>18100</v>
      </c>
      <c r="I776" s="25">
        <v>774</v>
      </c>
      <c r="J776" s="26">
        <v>721.66</v>
      </c>
      <c r="K776" s="25">
        <v>154</v>
      </c>
      <c r="L776" s="21" t="s">
        <v>21</v>
      </c>
      <c r="M776" s="22" t="s">
        <v>16</v>
      </c>
      <c r="N776" s="27">
        <f t="shared" si="96"/>
        <v>20</v>
      </c>
      <c r="O776" s="28">
        <f t="shared" si="97"/>
        <v>4.276243093922652E-2</v>
      </c>
      <c r="P776" s="28">
        <f t="shared" si="98"/>
        <v>0.19896640826873385</v>
      </c>
      <c r="Q776" s="26">
        <f t="shared" si="99"/>
        <v>0.93237726098191209</v>
      </c>
      <c r="R776" s="29">
        <f t="shared" si="100"/>
        <v>4.6861038961038961</v>
      </c>
      <c r="S776" s="30">
        <f t="shared" si="101"/>
        <v>5</v>
      </c>
      <c r="T776" s="30">
        <f t="shared" si="102"/>
        <v>2023</v>
      </c>
      <c r="U776" s="29" t="str">
        <f t="shared" si="103"/>
        <v>May</v>
      </c>
    </row>
    <row r="777" spans="1:21" ht="17.399999999999999" x14ac:dyDescent="0.3">
      <c r="A777" s="21" t="s">
        <v>2884</v>
      </c>
      <c r="B777" s="21" t="s">
        <v>2885</v>
      </c>
      <c r="C777" s="23" t="s">
        <v>3519</v>
      </c>
      <c r="D777" s="21" t="s">
        <v>3521</v>
      </c>
      <c r="E777" s="24">
        <v>45073</v>
      </c>
      <c r="F777" s="24">
        <v>45084</v>
      </c>
      <c r="G777" s="22" t="s">
        <v>3535</v>
      </c>
      <c r="H777" s="25">
        <v>82470</v>
      </c>
      <c r="I777" s="25">
        <v>3347</v>
      </c>
      <c r="J777" s="26">
        <v>2206.3000000000002</v>
      </c>
      <c r="K777" s="25">
        <v>514</v>
      </c>
      <c r="L777" s="21" t="s">
        <v>21</v>
      </c>
      <c r="M777" s="22" t="s">
        <v>3535</v>
      </c>
      <c r="N777" s="27">
        <f t="shared" si="96"/>
        <v>11</v>
      </c>
      <c r="O777" s="28">
        <f t="shared" si="97"/>
        <v>4.0584454953316355E-2</v>
      </c>
      <c r="P777" s="28">
        <f t="shared" si="98"/>
        <v>0.15357036151777712</v>
      </c>
      <c r="Q777" s="26">
        <f t="shared" si="99"/>
        <v>0.65918733193904999</v>
      </c>
      <c r="R777" s="29">
        <f t="shared" si="100"/>
        <v>4.2924124513618684</v>
      </c>
      <c r="S777" s="30">
        <f t="shared" si="101"/>
        <v>5</v>
      </c>
      <c r="T777" s="30">
        <f t="shared" si="102"/>
        <v>2023</v>
      </c>
      <c r="U777" s="29" t="str">
        <f t="shared" si="103"/>
        <v>May</v>
      </c>
    </row>
    <row r="778" spans="1:21" ht="17.399999999999999" x14ac:dyDescent="0.3">
      <c r="A778" s="21" t="s">
        <v>1344</v>
      </c>
      <c r="B778" s="21" t="s">
        <v>1345</v>
      </c>
      <c r="C778" s="23" t="s">
        <v>3516</v>
      </c>
      <c r="D778" s="21" t="s">
        <v>3520</v>
      </c>
      <c r="E778" s="24">
        <v>45073</v>
      </c>
      <c r="F778" s="24">
        <v>45086</v>
      </c>
      <c r="G778" s="22" t="s">
        <v>31</v>
      </c>
      <c r="H778" s="25">
        <v>85665</v>
      </c>
      <c r="I778" s="25">
        <v>4100</v>
      </c>
      <c r="J778" s="26">
        <v>4375.32</v>
      </c>
      <c r="K778" s="25">
        <v>744</v>
      </c>
      <c r="L778" s="21" t="s">
        <v>21</v>
      </c>
      <c r="M778" s="22" t="s">
        <v>31</v>
      </c>
      <c r="N778" s="27">
        <f t="shared" si="96"/>
        <v>13</v>
      </c>
      <c r="O778" s="28">
        <f t="shared" si="97"/>
        <v>4.7860853323994632E-2</v>
      </c>
      <c r="P778" s="28">
        <f t="shared" si="98"/>
        <v>0.18146341463414634</v>
      </c>
      <c r="Q778" s="26">
        <f t="shared" si="99"/>
        <v>1.067151219512195</v>
      </c>
      <c r="R778" s="29">
        <f t="shared" si="100"/>
        <v>5.8808064516129033</v>
      </c>
      <c r="S778" s="30">
        <f t="shared" si="101"/>
        <v>5</v>
      </c>
      <c r="T778" s="30">
        <f t="shared" si="102"/>
        <v>2023</v>
      </c>
      <c r="U778" s="29" t="str">
        <f t="shared" si="103"/>
        <v>May</v>
      </c>
    </row>
    <row r="779" spans="1:21" ht="17.399999999999999" x14ac:dyDescent="0.3">
      <c r="A779" s="21" t="s">
        <v>1812</v>
      </c>
      <c r="B779" s="21" t="s">
        <v>1813</v>
      </c>
      <c r="C779" s="23" t="s">
        <v>3516</v>
      </c>
      <c r="D779" s="21" t="s">
        <v>3520</v>
      </c>
      <c r="E779" s="24">
        <v>45073</v>
      </c>
      <c r="F779" s="24">
        <v>45076</v>
      </c>
      <c r="G779" s="22" t="s">
        <v>11</v>
      </c>
      <c r="H779" s="25">
        <v>17389</v>
      </c>
      <c r="I779" s="25">
        <v>791</v>
      </c>
      <c r="J779" s="26">
        <v>654.36</v>
      </c>
      <c r="K779" s="25">
        <v>122</v>
      </c>
      <c r="L779" s="21" t="s">
        <v>17</v>
      </c>
      <c r="M779" s="22" t="s">
        <v>11</v>
      </c>
      <c r="N779" s="27">
        <f t="shared" si="96"/>
        <v>3</v>
      </c>
      <c r="O779" s="28">
        <f t="shared" si="97"/>
        <v>4.5488527229857953E-2</v>
      </c>
      <c r="P779" s="28">
        <f t="shared" si="98"/>
        <v>0.15423514538558786</v>
      </c>
      <c r="Q779" s="26">
        <f t="shared" si="99"/>
        <v>0.82725663716814157</v>
      </c>
      <c r="R779" s="29">
        <f t="shared" si="100"/>
        <v>5.3636065573770493</v>
      </c>
      <c r="S779" s="30">
        <f t="shared" si="101"/>
        <v>5</v>
      </c>
      <c r="T779" s="30">
        <f t="shared" si="102"/>
        <v>2023</v>
      </c>
      <c r="U779" s="29" t="str">
        <f t="shared" si="103"/>
        <v>May</v>
      </c>
    </row>
    <row r="780" spans="1:21" ht="17.399999999999999" x14ac:dyDescent="0.3">
      <c r="A780" s="21" t="s">
        <v>630</v>
      </c>
      <c r="B780" s="21" t="s">
        <v>631</v>
      </c>
      <c r="C780" s="23" t="s">
        <v>3515</v>
      </c>
      <c r="D780" s="21" t="s">
        <v>3521</v>
      </c>
      <c r="E780" s="24">
        <v>45073</v>
      </c>
      <c r="F780" s="24">
        <v>45084</v>
      </c>
      <c r="G780" s="22" t="s">
        <v>31</v>
      </c>
      <c r="H780" s="25">
        <v>94179</v>
      </c>
      <c r="I780" s="25">
        <v>4026</v>
      </c>
      <c r="J780" s="26">
        <v>7583.18</v>
      </c>
      <c r="K780" s="25">
        <v>777</v>
      </c>
      <c r="L780" s="21" t="s">
        <v>17</v>
      </c>
      <c r="M780" s="22" t="s">
        <v>31</v>
      </c>
      <c r="N780" s="27">
        <f t="shared" si="96"/>
        <v>11</v>
      </c>
      <c r="O780" s="28">
        <f t="shared" si="97"/>
        <v>4.2748383397572705E-2</v>
      </c>
      <c r="P780" s="28">
        <f t="shared" si="98"/>
        <v>0.19299552906110284</v>
      </c>
      <c r="Q780" s="26">
        <f t="shared" si="99"/>
        <v>1.883551912568306</v>
      </c>
      <c r="R780" s="29">
        <f t="shared" si="100"/>
        <v>9.7595624195624193</v>
      </c>
      <c r="S780" s="30">
        <f t="shared" si="101"/>
        <v>5</v>
      </c>
      <c r="T780" s="30">
        <f t="shared" si="102"/>
        <v>2023</v>
      </c>
      <c r="U780" s="29" t="str">
        <f t="shared" si="103"/>
        <v>May</v>
      </c>
    </row>
    <row r="781" spans="1:21" ht="17.399999999999999" x14ac:dyDescent="0.3">
      <c r="A781" s="21" t="s">
        <v>1066</v>
      </c>
      <c r="B781" s="21" t="s">
        <v>1067</v>
      </c>
      <c r="C781" s="23" t="s">
        <v>3515</v>
      </c>
      <c r="D781" s="21" t="s">
        <v>3517</v>
      </c>
      <c r="E781" s="24">
        <v>45073</v>
      </c>
      <c r="F781" s="24">
        <v>45076</v>
      </c>
      <c r="G781" s="22" t="s">
        <v>16</v>
      </c>
      <c r="H781" s="25">
        <v>8357</v>
      </c>
      <c r="I781" s="25">
        <v>143</v>
      </c>
      <c r="J781" s="26">
        <v>99.9</v>
      </c>
      <c r="K781" s="25">
        <v>16</v>
      </c>
      <c r="L781" s="21" t="s">
        <v>21</v>
      </c>
      <c r="M781" s="22" t="s">
        <v>16</v>
      </c>
      <c r="N781" s="27">
        <f t="shared" si="96"/>
        <v>3</v>
      </c>
      <c r="O781" s="28">
        <f t="shared" si="97"/>
        <v>1.7111403613736986E-2</v>
      </c>
      <c r="P781" s="28">
        <f t="shared" si="98"/>
        <v>0.11188811188811189</v>
      </c>
      <c r="Q781" s="26">
        <f t="shared" si="99"/>
        <v>0.69860139860139869</v>
      </c>
      <c r="R781" s="29">
        <f t="shared" si="100"/>
        <v>6.2437500000000004</v>
      </c>
      <c r="S781" s="30">
        <f t="shared" si="101"/>
        <v>5</v>
      </c>
      <c r="T781" s="30">
        <f t="shared" si="102"/>
        <v>2023</v>
      </c>
      <c r="U781" s="29" t="str">
        <f t="shared" si="103"/>
        <v>May</v>
      </c>
    </row>
    <row r="782" spans="1:21" ht="17.399999999999999" x14ac:dyDescent="0.3">
      <c r="A782" s="21" t="s">
        <v>3276</v>
      </c>
      <c r="B782" s="22" t="s">
        <v>3753</v>
      </c>
      <c r="C782" s="23" t="s">
        <v>3515</v>
      </c>
      <c r="D782" s="22" t="s">
        <v>3545</v>
      </c>
      <c r="E782" s="24">
        <v>45073</v>
      </c>
      <c r="F782" s="24">
        <v>45097</v>
      </c>
      <c r="G782" s="22" t="s">
        <v>31</v>
      </c>
      <c r="H782" s="25">
        <v>75318</v>
      </c>
      <c r="I782" s="25">
        <v>1713</v>
      </c>
      <c r="J782" s="26">
        <v>1882.05</v>
      </c>
      <c r="K782" s="25">
        <v>0</v>
      </c>
      <c r="L782" s="21" t="s">
        <v>21</v>
      </c>
      <c r="M782" s="22" t="s">
        <v>31</v>
      </c>
      <c r="N782" s="27">
        <f t="shared" si="96"/>
        <v>24</v>
      </c>
      <c r="O782" s="28">
        <f t="shared" si="97"/>
        <v>2.2743567274755037E-2</v>
      </c>
      <c r="P782" s="28">
        <f t="shared" si="98"/>
        <v>0</v>
      </c>
      <c r="Q782" s="26">
        <f t="shared" si="99"/>
        <v>1.0986865148861646</v>
      </c>
      <c r="R782" s="29" t="str">
        <f t="shared" si="100"/>
        <v>0</v>
      </c>
      <c r="S782" s="30">
        <f t="shared" si="101"/>
        <v>5</v>
      </c>
      <c r="T782" s="30">
        <f t="shared" si="102"/>
        <v>2023</v>
      </c>
      <c r="U782" s="29" t="str">
        <f t="shared" si="103"/>
        <v>May</v>
      </c>
    </row>
    <row r="783" spans="1:21" ht="17.399999999999999" x14ac:dyDescent="0.3">
      <c r="A783" s="21" t="s">
        <v>1262</v>
      </c>
      <c r="B783" s="21" t="s">
        <v>1263</v>
      </c>
      <c r="C783" s="23" t="s">
        <v>3519</v>
      </c>
      <c r="D783" s="21" t="s">
        <v>3521</v>
      </c>
      <c r="E783" s="24">
        <v>45074</v>
      </c>
      <c r="F783" s="24">
        <v>45102</v>
      </c>
      <c r="G783" s="22" t="s">
        <v>14</v>
      </c>
      <c r="H783" s="25">
        <v>43344</v>
      </c>
      <c r="I783" s="25">
        <v>764</v>
      </c>
      <c r="J783" s="26">
        <v>422.04</v>
      </c>
      <c r="K783" s="25">
        <v>148</v>
      </c>
      <c r="L783" s="21" t="s">
        <v>17</v>
      </c>
      <c r="M783" s="22" t="s">
        <v>3537</v>
      </c>
      <c r="N783" s="27">
        <f t="shared" si="96"/>
        <v>28</v>
      </c>
      <c r="O783" s="28">
        <f t="shared" si="97"/>
        <v>1.7626430417128091E-2</v>
      </c>
      <c r="P783" s="28">
        <f t="shared" si="98"/>
        <v>0.193717277486911</v>
      </c>
      <c r="Q783" s="26">
        <f t="shared" si="99"/>
        <v>0.55240837696335077</v>
      </c>
      <c r="R783" s="29">
        <f t="shared" si="100"/>
        <v>2.8516216216216219</v>
      </c>
      <c r="S783" s="30">
        <f t="shared" si="101"/>
        <v>5</v>
      </c>
      <c r="T783" s="30">
        <f t="shared" si="102"/>
        <v>2023</v>
      </c>
      <c r="U783" s="29" t="str">
        <f t="shared" si="103"/>
        <v>May</v>
      </c>
    </row>
    <row r="784" spans="1:21" ht="17.399999999999999" x14ac:dyDescent="0.3">
      <c r="A784" s="21" t="s">
        <v>3171</v>
      </c>
      <c r="B784" s="22" t="s">
        <v>3754</v>
      </c>
      <c r="C784" s="23" t="s">
        <v>3519</v>
      </c>
      <c r="D784" s="22" t="s">
        <v>3545</v>
      </c>
      <c r="E784" s="24">
        <v>45074</v>
      </c>
      <c r="F784" s="24">
        <v>45102</v>
      </c>
      <c r="G784" s="22" t="s">
        <v>16</v>
      </c>
      <c r="H784" s="25">
        <v>28083</v>
      </c>
      <c r="I784" s="25">
        <v>599</v>
      </c>
      <c r="J784" s="26">
        <v>1113.75</v>
      </c>
      <c r="K784" s="25">
        <v>77</v>
      </c>
      <c r="L784" s="21" t="s">
        <v>21</v>
      </c>
      <c r="M784" s="22" t="s">
        <v>16</v>
      </c>
      <c r="N784" s="27">
        <f t="shared" si="96"/>
        <v>28</v>
      </c>
      <c r="O784" s="28">
        <f t="shared" si="97"/>
        <v>2.1329630025282199E-2</v>
      </c>
      <c r="P784" s="28">
        <f t="shared" si="98"/>
        <v>0.1285475792988314</v>
      </c>
      <c r="Q784" s="26">
        <f t="shared" si="99"/>
        <v>1.8593489148580968</v>
      </c>
      <c r="R784" s="29">
        <f t="shared" si="100"/>
        <v>14.464285714285714</v>
      </c>
      <c r="S784" s="30">
        <f t="shared" si="101"/>
        <v>5</v>
      </c>
      <c r="T784" s="30">
        <f t="shared" si="102"/>
        <v>2023</v>
      </c>
      <c r="U784" s="29" t="str">
        <f t="shared" si="103"/>
        <v>May</v>
      </c>
    </row>
    <row r="785" spans="1:21" ht="17.399999999999999" x14ac:dyDescent="0.3">
      <c r="A785" s="21" t="s">
        <v>766</v>
      </c>
      <c r="B785" s="21" t="s">
        <v>767</v>
      </c>
      <c r="C785" s="23" t="s">
        <v>3518</v>
      </c>
      <c r="D785" s="21" t="s">
        <v>3520</v>
      </c>
      <c r="E785" s="24">
        <v>45074</v>
      </c>
      <c r="F785" s="24">
        <v>45081</v>
      </c>
      <c r="G785" s="22" t="s">
        <v>14</v>
      </c>
      <c r="H785" s="25">
        <v>97825</v>
      </c>
      <c r="I785" s="25">
        <v>4242</v>
      </c>
      <c r="J785" s="26">
        <v>4022.63</v>
      </c>
      <c r="K785" s="25">
        <v>354</v>
      </c>
      <c r="L785" s="21" t="s">
        <v>21</v>
      </c>
      <c r="M785" s="22" t="s">
        <v>3537</v>
      </c>
      <c r="N785" s="27">
        <f t="shared" si="96"/>
        <v>7</v>
      </c>
      <c r="O785" s="28">
        <f t="shared" si="97"/>
        <v>4.336314847942755E-2</v>
      </c>
      <c r="P785" s="28">
        <f t="shared" si="98"/>
        <v>8.3451202263083446E-2</v>
      </c>
      <c r="Q785" s="26">
        <f t="shared" si="99"/>
        <v>0.94828618576143331</v>
      </c>
      <c r="R785" s="29">
        <f t="shared" si="100"/>
        <v>11.363361581920904</v>
      </c>
      <c r="S785" s="30">
        <f t="shared" si="101"/>
        <v>5</v>
      </c>
      <c r="T785" s="30">
        <f t="shared" si="102"/>
        <v>2023</v>
      </c>
      <c r="U785" s="29" t="str">
        <f t="shared" si="103"/>
        <v>May</v>
      </c>
    </row>
    <row r="786" spans="1:21" ht="17.399999999999999" x14ac:dyDescent="0.3">
      <c r="A786" s="21" t="s">
        <v>970</v>
      </c>
      <c r="B786" s="21" t="s">
        <v>971</v>
      </c>
      <c r="C786" s="23" t="s">
        <v>3516</v>
      </c>
      <c r="D786" s="21" t="s">
        <v>3517</v>
      </c>
      <c r="E786" s="24">
        <v>45074</v>
      </c>
      <c r="F786" s="24">
        <v>45100</v>
      </c>
      <c r="G786" s="22" t="s">
        <v>16</v>
      </c>
      <c r="H786" s="25">
        <v>36195</v>
      </c>
      <c r="I786" s="25">
        <v>1415</v>
      </c>
      <c r="J786" s="26">
        <v>1835.95</v>
      </c>
      <c r="K786" s="25">
        <v>127</v>
      </c>
      <c r="L786" s="21" t="s">
        <v>17</v>
      </c>
      <c r="M786" s="22" t="s">
        <v>16</v>
      </c>
      <c r="N786" s="27">
        <f t="shared" si="96"/>
        <v>26</v>
      </c>
      <c r="O786" s="28">
        <f t="shared" si="97"/>
        <v>3.9093797485840583E-2</v>
      </c>
      <c r="P786" s="28">
        <f t="shared" si="98"/>
        <v>8.9752650176678439E-2</v>
      </c>
      <c r="Q786" s="26">
        <f t="shared" si="99"/>
        <v>1.2974911660777386</v>
      </c>
      <c r="R786" s="29">
        <f t="shared" si="100"/>
        <v>14.456299212598426</v>
      </c>
      <c r="S786" s="30">
        <f t="shared" si="101"/>
        <v>5</v>
      </c>
      <c r="T786" s="30">
        <f t="shared" si="102"/>
        <v>2023</v>
      </c>
      <c r="U786" s="29" t="str">
        <f t="shared" si="103"/>
        <v>May</v>
      </c>
    </row>
    <row r="787" spans="1:21" ht="17.399999999999999" x14ac:dyDescent="0.3">
      <c r="A787" s="21" t="s">
        <v>589</v>
      </c>
      <c r="B787" s="22" t="s">
        <v>3755</v>
      </c>
      <c r="C787" s="23" t="s">
        <v>3515</v>
      </c>
      <c r="D787" s="22" t="s">
        <v>3545</v>
      </c>
      <c r="E787" s="24">
        <v>45074</v>
      </c>
      <c r="F787" s="24">
        <v>45082</v>
      </c>
      <c r="G787" s="22" t="s">
        <v>14</v>
      </c>
      <c r="H787" s="25">
        <v>45064</v>
      </c>
      <c r="I787" s="25">
        <v>1137</v>
      </c>
      <c r="J787" s="26">
        <v>1718.69</v>
      </c>
      <c r="K787" s="25">
        <v>105</v>
      </c>
      <c r="L787" s="21" t="s">
        <v>21</v>
      </c>
      <c r="M787" s="22" t="s">
        <v>3537</v>
      </c>
      <c r="N787" s="27">
        <f t="shared" si="96"/>
        <v>8</v>
      </c>
      <c r="O787" s="28">
        <f t="shared" si="97"/>
        <v>2.5230782886561335E-2</v>
      </c>
      <c r="P787" s="28">
        <f t="shared" si="98"/>
        <v>9.2348284960422161E-2</v>
      </c>
      <c r="Q787" s="26">
        <f t="shared" si="99"/>
        <v>1.5116007036059806</v>
      </c>
      <c r="R787" s="29">
        <f t="shared" si="100"/>
        <v>16.368476190476191</v>
      </c>
      <c r="S787" s="30">
        <f t="shared" si="101"/>
        <v>5</v>
      </c>
      <c r="T787" s="30">
        <f t="shared" si="102"/>
        <v>2023</v>
      </c>
      <c r="U787" s="29" t="str">
        <f t="shared" si="103"/>
        <v>May</v>
      </c>
    </row>
    <row r="788" spans="1:21" ht="17.399999999999999" x14ac:dyDescent="0.3">
      <c r="A788" s="21" t="s">
        <v>1585</v>
      </c>
      <c r="B788" s="21" t="s">
        <v>1586</v>
      </c>
      <c r="C788" s="23" t="s">
        <v>3516</v>
      </c>
      <c r="D788" s="21" t="s">
        <v>3520</v>
      </c>
      <c r="E788" s="24">
        <v>45074</v>
      </c>
      <c r="F788" s="24">
        <v>45143</v>
      </c>
      <c r="G788" s="22" t="s">
        <v>31</v>
      </c>
      <c r="H788" s="25">
        <v>13015</v>
      </c>
      <c r="I788" s="25">
        <v>407</v>
      </c>
      <c r="J788" s="26">
        <v>522.91999999999996</v>
      </c>
      <c r="K788" s="25">
        <v>52</v>
      </c>
      <c r="L788" s="21" t="s">
        <v>17</v>
      </c>
      <c r="M788" s="22" t="s">
        <v>31</v>
      </c>
      <c r="N788" s="27">
        <f t="shared" si="96"/>
        <v>69</v>
      </c>
      <c r="O788" s="28">
        <f t="shared" si="97"/>
        <v>3.1271609681137152E-2</v>
      </c>
      <c r="P788" s="28">
        <f t="shared" si="98"/>
        <v>0.12776412776412777</v>
      </c>
      <c r="Q788" s="26">
        <f t="shared" si="99"/>
        <v>1.2848157248157248</v>
      </c>
      <c r="R788" s="29">
        <f t="shared" si="100"/>
        <v>10.056153846153846</v>
      </c>
      <c r="S788" s="30">
        <f t="shared" si="101"/>
        <v>5</v>
      </c>
      <c r="T788" s="30">
        <f t="shared" si="102"/>
        <v>2023</v>
      </c>
      <c r="U788" s="29" t="str">
        <f t="shared" si="103"/>
        <v>May</v>
      </c>
    </row>
    <row r="789" spans="1:21" ht="17.399999999999999" x14ac:dyDescent="0.3">
      <c r="A789" s="21" t="s">
        <v>1271</v>
      </c>
      <c r="B789" s="21" t="s">
        <v>1272</v>
      </c>
      <c r="C789" s="23" t="s">
        <v>3519</v>
      </c>
      <c r="D789" s="21" t="s">
        <v>3520</v>
      </c>
      <c r="E789" s="24">
        <v>45075</v>
      </c>
      <c r="F789" s="24">
        <v>45101</v>
      </c>
      <c r="G789" s="22" t="s">
        <v>31</v>
      </c>
      <c r="H789" s="25">
        <v>62629</v>
      </c>
      <c r="I789" s="25">
        <v>1084</v>
      </c>
      <c r="J789" s="26">
        <v>732.7</v>
      </c>
      <c r="K789" s="25">
        <v>106</v>
      </c>
      <c r="L789" s="21" t="s">
        <v>17</v>
      </c>
      <c r="M789" s="22" t="s">
        <v>31</v>
      </c>
      <c r="N789" s="27">
        <f t="shared" si="96"/>
        <v>26</v>
      </c>
      <c r="O789" s="28">
        <f t="shared" si="97"/>
        <v>1.7308275718916157E-2</v>
      </c>
      <c r="P789" s="28">
        <f t="shared" si="98"/>
        <v>9.7785977859778592E-2</v>
      </c>
      <c r="Q789" s="26">
        <f t="shared" si="99"/>
        <v>0.67592250922509234</v>
      </c>
      <c r="R789" s="29">
        <f t="shared" si="100"/>
        <v>6.9122641509433969</v>
      </c>
      <c r="S789" s="30">
        <f t="shared" si="101"/>
        <v>5</v>
      </c>
      <c r="T789" s="30">
        <f t="shared" si="102"/>
        <v>2023</v>
      </c>
      <c r="U789" s="29" t="str">
        <f t="shared" si="103"/>
        <v>May</v>
      </c>
    </row>
    <row r="790" spans="1:21" ht="17.399999999999999" x14ac:dyDescent="0.3">
      <c r="A790" s="21" t="s">
        <v>827</v>
      </c>
      <c r="B790" s="21" t="s">
        <v>828</v>
      </c>
      <c r="C790" s="23" t="s">
        <v>3518</v>
      </c>
      <c r="D790" s="21" t="s">
        <v>3520</v>
      </c>
      <c r="E790" s="24">
        <v>45075</v>
      </c>
      <c r="F790" s="24">
        <v>45102</v>
      </c>
      <c r="G790" s="22" t="s">
        <v>24</v>
      </c>
      <c r="H790" s="25">
        <v>26945</v>
      </c>
      <c r="I790" s="25">
        <v>514</v>
      </c>
      <c r="J790" s="26">
        <v>315.33</v>
      </c>
      <c r="K790" s="25">
        <v>39</v>
      </c>
      <c r="L790" s="21" t="s">
        <v>21</v>
      </c>
      <c r="M790" s="22" t="s">
        <v>3536</v>
      </c>
      <c r="N790" s="27">
        <f t="shared" si="96"/>
        <v>27</v>
      </c>
      <c r="O790" s="28">
        <f t="shared" si="97"/>
        <v>1.9075895342364074E-2</v>
      </c>
      <c r="P790" s="28">
        <f t="shared" si="98"/>
        <v>7.5875486381322951E-2</v>
      </c>
      <c r="Q790" s="26">
        <f t="shared" si="99"/>
        <v>0.61348249027237356</v>
      </c>
      <c r="R790" s="29">
        <f t="shared" si="100"/>
        <v>8.0853846153846156</v>
      </c>
      <c r="S790" s="30">
        <f t="shared" si="101"/>
        <v>5</v>
      </c>
      <c r="T790" s="30">
        <f t="shared" si="102"/>
        <v>2023</v>
      </c>
      <c r="U790" s="29" t="str">
        <f t="shared" si="103"/>
        <v>May</v>
      </c>
    </row>
    <row r="791" spans="1:21" ht="17.399999999999999" x14ac:dyDescent="0.3">
      <c r="A791" s="21" t="s">
        <v>1240</v>
      </c>
      <c r="B791" s="21" t="s">
        <v>1241</v>
      </c>
      <c r="C791" s="23" t="s">
        <v>3518</v>
      </c>
      <c r="D791" s="21" t="s">
        <v>3517</v>
      </c>
      <c r="E791" s="24">
        <v>45075</v>
      </c>
      <c r="F791" s="24">
        <v>45086</v>
      </c>
      <c r="G791" s="22" t="s">
        <v>14</v>
      </c>
      <c r="H791" s="25">
        <v>95246</v>
      </c>
      <c r="I791" s="25">
        <v>1854</v>
      </c>
      <c r="J791" s="26">
        <v>1794.43</v>
      </c>
      <c r="K791" s="25">
        <v>278</v>
      </c>
      <c r="L791" s="21" t="s">
        <v>17</v>
      </c>
      <c r="M791" s="22" t="s">
        <v>3537</v>
      </c>
      <c r="N791" s="27">
        <f t="shared" si="96"/>
        <v>11</v>
      </c>
      <c r="O791" s="28">
        <f t="shared" si="97"/>
        <v>1.9465384373097035E-2</v>
      </c>
      <c r="P791" s="28">
        <f t="shared" si="98"/>
        <v>0.1499460625674218</v>
      </c>
      <c r="Q791" s="26">
        <f t="shared" si="99"/>
        <v>0.96786947141316082</v>
      </c>
      <c r="R791" s="29">
        <f t="shared" si="100"/>
        <v>6.4547841726618707</v>
      </c>
      <c r="S791" s="30">
        <f t="shared" si="101"/>
        <v>5</v>
      </c>
      <c r="T791" s="30">
        <f t="shared" si="102"/>
        <v>2023</v>
      </c>
      <c r="U791" s="29" t="str">
        <f t="shared" si="103"/>
        <v>May</v>
      </c>
    </row>
    <row r="792" spans="1:21" ht="17.399999999999999" x14ac:dyDescent="0.3">
      <c r="A792" s="21" t="s">
        <v>2589</v>
      </c>
      <c r="B792" s="21" t="s">
        <v>2590</v>
      </c>
      <c r="C792" s="23" t="s">
        <v>3518</v>
      </c>
      <c r="D792" s="21" t="s">
        <v>3521</v>
      </c>
      <c r="E792" s="24">
        <v>45075</v>
      </c>
      <c r="F792" s="24">
        <v>45101</v>
      </c>
      <c r="G792" s="22" t="s">
        <v>16</v>
      </c>
      <c r="H792" s="25">
        <v>16048</v>
      </c>
      <c r="I792" s="25">
        <v>455</v>
      </c>
      <c r="J792" s="26">
        <v>905.76</v>
      </c>
      <c r="K792" s="25">
        <v>69</v>
      </c>
      <c r="L792" s="21" t="s">
        <v>17</v>
      </c>
      <c r="M792" s="22" t="s">
        <v>16</v>
      </c>
      <c r="N792" s="27">
        <f t="shared" si="96"/>
        <v>26</v>
      </c>
      <c r="O792" s="28">
        <f t="shared" si="97"/>
        <v>2.8352442671984047E-2</v>
      </c>
      <c r="P792" s="28">
        <f t="shared" si="98"/>
        <v>0.15164835164835164</v>
      </c>
      <c r="Q792" s="26">
        <f t="shared" si="99"/>
        <v>1.9906813186813186</v>
      </c>
      <c r="R792" s="29">
        <f t="shared" si="100"/>
        <v>13.12695652173913</v>
      </c>
      <c r="S792" s="30">
        <f t="shared" si="101"/>
        <v>5</v>
      </c>
      <c r="T792" s="30">
        <f t="shared" si="102"/>
        <v>2023</v>
      </c>
      <c r="U792" s="29" t="str">
        <f t="shared" si="103"/>
        <v>May</v>
      </c>
    </row>
    <row r="793" spans="1:21" ht="17.399999999999999" x14ac:dyDescent="0.3">
      <c r="A793" s="21" t="s">
        <v>2557</v>
      </c>
      <c r="B793" s="21" t="s">
        <v>2558</v>
      </c>
      <c r="C793" s="23" t="s">
        <v>3515</v>
      </c>
      <c r="D793" s="21" t="s">
        <v>3520</v>
      </c>
      <c r="E793" s="24">
        <v>45075</v>
      </c>
      <c r="F793" s="24">
        <v>45090</v>
      </c>
      <c r="G793" s="22" t="s">
        <v>11</v>
      </c>
      <c r="H793" s="25">
        <v>69247</v>
      </c>
      <c r="I793" s="25">
        <v>1962</v>
      </c>
      <c r="J793" s="26">
        <v>1183.03</v>
      </c>
      <c r="K793" s="25">
        <v>144</v>
      </c>
      <c r="L793" s="21" t="s">
        <v>17</v>
      </c>
      <c r="M793" s="22" t="s">
        <v>11</v>
      </c>
      <c r="N793" s="27">
        <f t="shared" si="96"/>
        <v>15</v>
      </c>
      <c r="O793" s="28">
        <f t="shared" si="97"/>
        <v>2.8333357401764698E-2</v>
      </c>
      <c r="P793" s="28">
        <f t="shared" si="98"/>
        <v>7.3394495412844041E-2</v>
      </c>
      <c r="Q793" s="26">
        <f t="shared" si="99"/>
        <v>0.60297145769622829</v>
      </c>
      <c r="R793" s="29">
        <f t="shared" si="100"/>
        <v>8.2154861111111117</v>
      </c>
      <c r="S793" s="30">
        <f t="shared" si="101"/>
        <v>5</v>
      </c>
      <c r="T793" s="30">
        <f t="shared" si="102"/>
        <v>2023</v>
      </c>
      <c r="U793" s="29" t="str">
        <f t="shared" si="103"/>
        <v>May</v>
      </c>
    </row>
    <row r="794" spans="1:21" ht="17.399999999999999" x14ac:dyDescent="0.3">
      <c r="A794" s="21" t="s">
        <v>2629</v>
      </c>
      <c r="B794" s="21" t="s">
        <v>2630</v>
      </c>
      <c r="C794" s="23" t="s">
        <v>3515</v>
      </c>
      <c r="D794" s="21" t="s">
        <v>3521</v>
      </c>
      <c r="E794" s="24">
        <v>45075</v>
      </c>
      <c r="F794" s="24">
        <v>45081</v>
      </c>
      <c r="G794" s="22" t="s">
        <v>3535</v>
      </c>
      <c r="H794" s="25">
        <v>7960</v>
      </c>
      <c r="I794" s="25">
        <v>271</v>
      </c>
      <c r="J794" s="26">
        <v>141.35</v>
      </c>
      <c r="K794" s="25">
        <v>35</v>
      </c>
      <c r="L794" s="21" t="s">
        <v>21</v>
      </c>
      <c r="M794" s="22" t="s">
        <v>3535</v>
      </c>
      <c r="N794" s="27">
        <f t="shared" si="96"/>
        <v>6</v>
      </c>
      <c r="O794" s="28">
        <f t="shared" si="97"/>
        <v>3.4045226130653264E-2</v>
      </c>
      <c r="P794" s="28">
        <f t="shared" si="98"/>
        <v>0.12915129151291513</v>
      </c>
      <c r="Q794" s="26">
        <f t="shared" si="99"/>
        <v>0.52158671586715866</v>
      </c>
      <c r="R794" s="29">
        <f t="shared" si="100"/>
        <v>4.0385714285714283</v>
      </c>
      <c r="S794" s="30">
        <f t="shared" si="101"/>
        <v>5</v>
      </c>
      <c r="T794" s="30">
        <f t="shared" si="102"/>
        <v>2023</v>
      </c>
      <c r="U794" s="29" t="str">
        <f t="shared" si="103"/>
        <v>May</v>
      </c>
    </row>
    <row r="795" spans="1:21" ht="17.399999999999999" x14ac:dyDescent="0.3">
      <c r="A795" s="21" t="s">
        <v>3137</v>
      </c>
      <c r="B795" s="21" t="s">
        <v>3138</v>
      </c>
      <c r="C795" s="23" t="s">
        <v>3515</v>
      </c>
      <c r="D795" s="21" t="s">
        <v>3521</v>
      </c>
      <c r="E795" s="24">
        <v>45075</v>
      </c>
      <c r="F795" s="24">
        <v>45090</v>
      </c>
      <c r="G795" s="22" t="s">
        <v>24</v>
      </c>
      <c r="H795" s="25">
        <v>46539</v>
      </c>
      <c r="I795" s="25">
        <v>1988</v>
      </c>
      <c r="J795" s="26">
        <v>3523.28</v>
      </c>
      <c r="K795" s="25">
        <v>334</v>
      </c>
      <c r="L795" s="21" t="s">
        <v>21</v>
      </c>
      <c r="M795" s="22" t="s">
        <v>3536</v>
      </c>
      <c r="N795" s="27">
        <f t="shared" si="96"/>
        <v>15</v>
      </c>
      <c r="O795" s="28">
        <f t="shared" si="97"/>
        <v>4.2716861127226627E-2</v>
      </c>
      <c r="P795" s="28">
        <f t="shared" si="98"/>
        <v>0.16800804828973842</v>
      </c>
      <c r="Q795" s="26">
        <f t="shared" si="99"/>
        <v>1.7722736418511067</v>
      </c>
      <c r="R795" s="29">
        <f t="shared" si="100"/>
        <v>10.54874251497006</v>
      </c>
      <c r="S795" s="30">
        <f t="shared" si="101"/>
        <v>5</v>
      </c>
      <c r="T795" s="30">
        <f t="shared" si="102"/>
        <v>2023</v>
      </c>
      <c r="U795" s="29" t="str">
        <f t="shared" si="103"/>
        <v>May</v>
      </c>
    </row>
    <row r="796" spans="1:21" ht="17.399999999999999" x14ac:dyDescent="0.3">
      <c r="A796" s="21" t="s">
        <v>2894</v>
      </c>
      <c r="B796" s="21" t="s">
        <v>2895</v>
      </c>
      <c r="C796" s="23" t="s">
        <v>3519</v>
      </c>
      <c r="D796" s="21" t="s">
        <v>3517</v>
      </c>
      <c r="E796" s="24">
        <v>45076</v>
      </c>
      <c r="F796" s="24">
        <v>45093</v>
      </c>
      <c r="G796" s="22" t="s">
        <v>11</v>
      </c>
      <c r="H796" s="25">
        <v>78129</v>
      </c>
      <c r="I796" s="25">
        <v>2289</v>
      </c>
      <c r="J796" s="26">
        <v>2173.41</v>
      </c>
      <c r="K796" s="25">
        <v>140</v>
      </c>
      <c r="L796" s="21" t="s">
        <v>21</v>
      </c>
      <c r="M796" s="22" t="s">
        <v>11</v>
      </c>
      <c r="N796" s="27">
        <f t="shared" si="96"/>
        <v>17</v>
      </c>
      <c r="O796" s="28">
        <f t="shared" si="97"/>
        <v>2.9297699957762161E-2</v>
      </c>
      <c r="P796" s="28">
        <f t="shared" si="98"/>
        <v>6.1162079510703363E-2</v>
      </c>
      <c r="Q796" s="26">
        <f t="shared" si="99"/>
        <v>0.94950196592398417</v>
      </c>
      <c r="R796" s="29">
        <f t="shared" si="100"/>
        <v>15.524357142857141</v>
      </c>
      <c r="S796" s="30">
        <f t="shared" si="101"/>
        <v>5</v>
      </c>
      <c r="T796" s="30">
        <f t="shared" si="102"/>
        <v>2023</v>
      </c>
      <c r="U796" s="29" t="str">
        <f t="shared" si="103"/>
        <v>May</v>
      </c>
    </row>
    <row r="797" spans="1:21" ht="17.399999999999999" x14ac:dyDescent="0.3">
      <c r="A797" s="21" t="s">
        <v>3193</v>
      </c>
      <c r="B797" s="22" t="s">
        <v>3756</v>
      </c>
      <c r="C797" s="23" t="s">
        <v>3519</v>
      </c>
      <c r="D797" s="22" t="s">
        <v>3545</v>
      </c>
      <c r="E797" s="24">
        <v>45076</v>
      </c>
      <c r="F797" s="24">
        <v>45100</v>
      </c>
      <c r="G797" s="22" t="s">
        <v>31</v>
      </c>
      <c r="H797" s="25">
        <v>14025</v>
      </c>
      <c r="I797" s="25">
        <v>653</v>
      </c>
      <c r="J797" s="26">
        <v>852.83</v>
      </c>
      <c r="K797" s="25">
        <v>93</v>
      </c>
      <c r="L797" s="21" t="s">
        <v>17</v>
      </c>
      <c r="M797" s="22" t="s">
        <v>31</v>
      </c>
      <c r="N797" s="27">
        <f t="shared" si="96"/>
        <v>24</v>
      </c>
      <c r="O797" s="28">
        <f t="shared" si="97"/>
        <v>4.6559714795008915E-2</v>
      </c>
      <c r="P797" s="28">
        <f t="shared" si="98"/>
        <v>0.14241960183767227</v>
      </c>
      <c r="Q797" s="26">
        <f t="shared" si="99"/>
        <v>1.3060183767228177</v>
      </c>
      <c r="R797" s="29">
        <f t="shared" si="100"/>
        <v>9.1702150537634406</v>
      </c>
      <c r="S797" s="30">
        <f t="shared" si="101"/>
        <v>5</v>
      </c>
      <c r="T797" s="30">
        <f t="shared" si="102"/>
        <v>2023</v>
      </c>
      <c r="U797" s="29" t="str">
        <f t="shared" si="103"/>
        <v>May</v>
      </c>
    </row>
    <row r="798" spans="1:21" ht="17.399999999999999" x14ac:dyDescent="0.3">
      <c r="A798" s="21" t="s">
        <v>978</v>
      </c>
      <c r="B798" s="21" t="s">
        <v>979</v>
      </c>
      <c r="C798" s="23" t="s">
        <v>3516</v>
      </c>
      <c r="D798" s="21" t="s">
        <v>3517</v>
      </c>
      <c r="E798" s="24">
        <v>45076</v>
      </c>
      <c r="F798" s="24">
        <v>45097</v>
      </c>
      <c r="G798" s="22" t="s">
        <v>31</v>
      </c>
      <c r="H798" s="25">
        <v>98856</v>
      </c>
      <c r="I798" s="25">
        <v>2919</v>
      </c>
      <c r="J798" s="26">
        <v>3895.38</v>
      </c>
      <c r="K798" s="25">
        <v>338</v>
      </c>
      <c r="L798" s="21" t="s">
        <v>17</v>
      </c>
      <c r="M798" s="22" t="s">
        <v>31</v>
      </c>
      <c r="N798" s="27">
        <f t="shared" si="96"/>
        <v>21</v>
      </c>
      <c r="O798" s="28">
        <f t="shared" si="97"/>
        <v>2.9527798009225541E-2</v>
      </c>
      <c r="P798" s="28">
        <f t="shared" si="98"/>
        <v>0.1157930798218568</v>
      </c>
      <c r="Q798" s="26">
        <f t="shared" si="99"/>
        <v>1.3344912641315518</v>
      </c>
      <c r="R798" s="29">
        <f t="shared" si="100"/>
        <v>11.524792899408284</v>
      </c>
      <c r="S798" s="30">
        <f t="shared" si="101"/>
        <v>5</v>
      </c>
      <c r="T798" s="30">
        <f t="shared" si="102"/>
        <v>2023</v>
      </c>
      <c r="U798" s="29" t="str">
        <f t="shared" si="103"/>
        <v>May</v>
      </c>
    </row>
    <row r="799" spans="1:21" ht="17.399999999999999" x14ac:dyDescent="0.3">
      <c r="A799" s="21" t="s">
        <v>1704</v>
      </c>
      <c r="B799" s="21" t="s">
        <v>1705</v>
      </c>
      <c r="C799" s="23" t="s">
        <v>3516</v>
      </c>
      <c r="D799" s="21" t="s">
        <v>3520</v>
      </c>
      <c r="E799" s="24">
        <v>45076</v>
      </c>
      <c r="F799" s="24">
        <v>45104</v>
      </c>
      <c r="G799" s="22" t="s">
        <v>31</v>
      </c>
      <c r="H799" s="25">
        <v>68067</v>
      </c>
      <c r="I799" s="25">
        <v>1959</v>
      </c>
      <c r="J799" s="26">
        <v>2048.0700000000002</v>
      </c>
      <c r="K799" s="25">
        <v>139</v>
      </c>
      <c r="L799" s="21" t="s">
        <v>21</v>
      </c>
      <c r="M799" s="22" t="s">
        <v>31</v>
      </c>
      <c r="N799" s="27">
        <f t="shared" si="96"/>
        <v>28</v>
      </c>
      <c r="O799" s="28">
        <f t="shared" si="97"/>
        <v>2.8780466305258056E-2</v>
      </c>
      <c r="P799" s="28">
        <f t="shared" si="98"/>
        <v>7.0954568657478304E-2</v>
      </c>
      <c r="Q799" s="26">
        <f t="shared" si="99"/>
        <v>1.0454670750382848</v>
      </c>
      <c r="R799" s="29">
        <f t="shared" si="100"/>
        <v>14.734316546762591</v>
      </c>
      <c r="S799" s="30">
        <f t="shared" si="101"/>
        <v>5</v>
      </c>
      <c r="T799" s="30">
        <f t="shared" si="102"/>
        <v>2023</v>
      </c>
      <c r="U799" s="29" t="str">
        <f t="shared" si="103"/>
        <v>May</v>
      </c>
    </row>
    <row r="800" spans="1:21" ht="17.399999999999999" x14ac:dyDescent="0.3">
      <c r="A800" s="21" t="s">
        <v>1579</v>
      </c>
      <c r="B800" s="21" t="s">
        <v>1580</v>
      </c>
      <c r="C800" s="23" t="s">
        <v>3515</v>
      </c>
      <c r="D800" s="21" t="s">
        <v>3517</v>
      </c>
      <c r="E800" s="24">
        <v>45076</v>
      </c>
      <c r="F800" s="24">
        <v>45104</v>
      </c>
      <c r="G800" s="22" t="s">
        <v>11</v>
      </c>
      <c r="H800" s="25">
        <v>6569</v>
      </c>
      <c r="I800" s="25">
        <v>228</v>
      </c>
      <c r="J800" s="26">
        <v>130.44999999999999</v>
      </c>
      <c r="K800" s="25">
        <v>43</v>
      </c>
      <c r="L800" s="21" t="s">
        <v>21</v>
      </c>
      <c r="M800" s="22" t="s">
        <v>11</v>
      </c>
      <c r="N800" s="27">
        <f t="shared" si="96"/>
        <v>28</v>
      </c>
      <c r="O800" s="28">
        <f t="shared" si="97"/>
        <v>3.4708479220581519E-2</v>
      </c>
      <c r="P800" s="28">
        <f t="shared" si="98"/>
        <v>0.18859649122807018</v>
      </c>
      <c r="Q800" s="26">
        <f t="shared" si="99"/>
        <v>0.57214912280701746</v>
      </c>
      <c r="R800" s="29">
        <f t="shared" si="100"/>
        <v>3.0337209302325578</v>
      </c>
      <c r="S800" s="30">
        <f t="shared" si="101"/>
        <v>5</v>
      </c>
      <c r="T800" s="30">
        <f t="shared" si="102"/>
        <v>2023</v>
      </c>
      <c r="U800" s="29" t="str">
        <f t="shared" si="103"/>
        <v>May</v>
      </c>
    </row>
    <row r="801" spans="1:21" ht="17.399999999999999" x14ac:dyDescent="0.3">
      <c r="A801" s="21" t="s">
        <v>2942</v>
      </c>
      <c r="B801" s="21" t="s">
        <v>2943</v>
      </c>
      <c r="C801" s="23" t="s">
        <v>3515</v>
      </c>
      <c r="D801" s="21" t="s">
        <v>3521</v>
      </c>
      <c r="E801" s="24">
        <v>45076</v>
      </c>
      <c r="F801" s="24">
        <v>45099</v>
      </c>
      <c r="G801" s="22" t="s">
        <v>16</v>
      </c>
      <c r="H801" s="25">
        <v>34660</v>
      </c>
      <c r="I801" s="25">
        <v>1478</v>
      </c>
      <c r="J801" s="26">
        <v>1461.35</v>
      </c>
      <c r="K801" s="25">
        <v>126</v>
      </c>
      <c r="L801" s="21" t="s">
        <v>17</v>
      </c>
      <c r="M801" s="22" t="s">
        <v>16</v>
      </c>
      <c r="N801" s="27">
        <f t="shared" si="96"/>
        <v>23</v>
      </c>
      <c r="O801" s="28">
        <f t="shared" si="97"/>
        <v>4.2642815926139645E-2</v>
      </c>
      <c r="P801" s="28">
        <f t="shared" si="98"/>
        <v>8.5250338294993233E-2</v>
      </c>
      <c r="Q801" s="26">
        <f t="shared" si="99"/>
        <v>0.98873477672530441</v>
      </c>
      <c r="R801" s="29">
        <f t="shared" si="100"/>
        <v>11.598015873015873</v>
      </c>
      <c r="S801" s="30">
        <f t="shared" si="101"/>
        <v>5</v>
      </c>
      <c r="T801" s="30">
        <f t="shared" si="102"/>
        <v>2023</v>
      </c>
      <c r="U801" s="29" t="str">
        <f t="shared" si="103"/>
        <v>May</v>
      </c>
    </row>
    <row r="802" spans="1:21" ht="17.399999999999999" x14ac:dyDescent="0.3">
      <c r="A802" s="21" t="s">
        <v>2014</v>
      </c>
      <c r="B802" s="21" t="s">
        <v>2015</v>
      </c>
      <c r="C802" s="23" t="s">
        <v>3519</v>
      </c>
      <c r="D802" s="21" t="s">
        <v>3520</v>
      </c>
      <c r="E802" s="24">
        <v>45077</v>
      </c>
      <c r="F802" s="24">
        <v>45103</v>
      </c>
      <c r="G802" s="22" t="s">
        <v>16</v>
      </c>
      <c r="H802" s="25">
        <v>6408</v>
      </c>
      <c r="I802" s="25">
        <v>102</v>
      </c>
      <c r="J802" s="26">
        <v>52.7</v>
      </c>
      <c r="K802" s="25">
        <v>0</v>
      </c>
      <c r="L802" s="21" t="s">
        <v>17</v>
      </c>
      <c r="M802" s="22" t="s">
        <v>16</v>
      </c>
      <c r="N802" s="27">
        <f t="shared" si="96"/>
        <v>26</v>
      </c>
      <c r="O802" s="28">
        <f t="shared" si="97"/>
        <v>1.5917602996254682E-2</v>
      </c>
      <c r="P802" s="28">
        <f t="shared" si="98"/>
        <v>0</v>
      </c>
      <c r="Q802" s="26">
        <f t="shared" si="99"/>
        <v>0.51666666666666672</v>
      </c>
      <c r="R802" s="29" t="str">
        <f t="shared" si="100"/>
        <v>0</v>
      </c>
      <c r="S802" s="30">
        <f t="shared" si="101"/>
        <v>5</v>
      </c>
      <c r="T802" s="30">
        <f t="shared" si="102"/>
        <v>2023</v>
      </c>
      <c r="U802" s="29" t="str">
        <f t="shared" si="103"/>
        <v>May</v>
      </c>
    </row>
    <row r="803" spans="1:21" ht="17.399999999999999" x14ac:dyDescent="0.3">
      <c r="A803" s="21" t="s">
        <v>2784</v>
      </c>
      <c r="B803" s="21" t="s">
        <v>2785</v>
      </c>
      <c r="C803" s="23" t="s">
        <v>3519</v>
      </c>
      <c r="D803" s="21" t="s">
        <v>3520</v>
      </c>
      <c r="E803" s="24">
        <v>45077</v>
      </c>
      <c r="F803" s="24">
        <v>45083</v>
      </c>
      <c r="G803" s="22" t="s">
        <v>31</v>
      </c>
      <c r="H803" s="25">
        <v>70346</v>
      </c>
      <c r="I803" s="25">
        <v>1934</v>
      </c>
      <c r="J803" s="26">
        <v>2254.38</v>
      </c>
      <c r="K803" s="25">
        <v>358</v>
      </c>
      <c r="L803" s="21" t="s">
        <v>21</v>
      </c>
      <c r="M803" s="22" t="s">
        <v>31</v>
      </c>
      <c r="N803" s="27">
        <f t="shared" si="96"/>
        <v>6</v>
      </c>
      <c r="O803" s="28">
        <f t="shared" si="97"/>
        <v>2.7492679043584569E-2</v>
      </c>
      <c r="P803" s="28">
        <f t="shared" si="98"/>
        <v>0.18510858324715615</v>
      </c>
      <c r="Q803" s="26">
        <f t="shared" si="99"/>
        <v>1.1656566701137538</v>
      </c>
      <c r="R803" s="29">
        <f t="shared" si="100"/>
        <v>6.297150837988827</v>
      </c>
      <c r="S803" s="30">
        <f t="shared" si="101"/>
        <v>5</v>
      </c>
      <c r="T803" s="30">
        <f t="shared" si="102"/>
        <v>2023</v>
      </c>
      <c r="U803" s="29" t="str">
        <f t="shared" si="103"/>
        <v>May</v>
      </c>
    </row>
    <row r="804" spans="1:21" ht="17.399999999999999" x14ac:dyDescent="0.3">
      <c r="A804" s="21" t="s">
        <v>3025</v>
      </c>
      <c r="B804" s="22" t="s">
        <v>3757</v>
      </c>
      <c r="C804" s="23" t="s">
        <v>3519</v>
      </c>
      <c r="D804" s="22" t="s">
        <v>3545</v>
      </c>
      <c r="E804" s="24">
        <v>45077</v>
      </c>
      <c r="F804" s="24">
        <v>45079</v>
      </c>
      <c r="G804" s="22" t="s">
        <v>16</v>
      </c>
      <c r="H804" s="25">
        <v>87231</v>
      </c>
      <c r="I804" s="25">
        <v>1585</v>
      </c>
      <c r="J804" s="26">
        <v>500000</v>
      </c>
      <c r="K804" s="25">
        <v>265</v>
      </c>
      <c r="L804" s="21" t="s">
        <v>17</v>
      </c>
      <c r="M804" s="22" t="s">
        <v>16</v>
      </c>
      <c r="N804" s="27">
        <f t="shared" si="96"/>
        <v>2</v>
      </c>
      <c r="O804" s="28">
        <f t="shared" si="97"/>
        <v>1.8170145934358197E-2</v>
      </c>
      <c r="P804" s="28">
        <f t="shared" si="98"/>
        <v>0.16719242902208201</v>
      </c>
      <c r="Q804" s="26">
        <f t="shared" si="99"/>
        <v>315.45741324921136</v>
      </c>
      <c r="R804" s="29">
        <f t="shared" si="100"/>
        <v>1886.7924528301887</v>
      </c>
      <c r="S804" s="30">
        <f t="shared" si="101"/>
        <v>5</v>
      </c>
      <c r="T804" s="30">
        <f t="shared" si="102"/>
        <v>2023</v>
      </c>
      <c r="U804" s="29" t="str">
        <f t="shared" si="103"/>
        <v>May</v>
      </c>
    </row>
    <row r="805" spans="1:21" ht="17.399999999999999" x14ac:dyDescent="0.3">
      <c r="A805" s="21" t="s">
        <v>1031</v>
      </c>
      <c r="B805" s="22" t="s">
        <v>3758</v>
      </c>
      <c r="C805" s="23" t="s">
        <v>3518</v>
      </c>
      <c r="D805" s="22" t="s">
        <v>3545</v>
      </c>
      <c r="E805" s="24">
        <v>45077</v>
      </c>
      <c r="F805" s="24">
        <v>45100</v>
      </c>
      <c r="G805" s="22" t="s">
        <v>3535</v>
      </c>
      <c r="H805" s="25">
        <v>1412</v>
      </c>
      <c r="I805" s="25">
        <v>43</v>
      </c>
      <c r="J805" s="26">
        <v>28.44</v>
      </c>
      <c r="K805" s="25">
        <v>6</v>
      </c>
      <c r="L805" s="21" t="s">
        <v>21</v>
      </c>
      <c r="M805" s="22" t="s">
        <v>3535</v>
      </c>
      <c r="N805" s="27">
        <f t="shared" si="96"/>
        <v>23</v>
      </c>
      <c r="O805" s="28">
        <f t="shared" si="97"/>
        <v>3.0453257790368272E-2</v>
      </c>
      <c r="P805" s="28">
        <f t="shared" si="98"/>
        <v>0.13953488372093023</v>
      </c>
      <c r="Q805" s="26">
        <f t="shared" si="99"/>
        <v>0.6613953488372093</v>
      </c>
      <c r="R805" s="29">
        <f t="shared" si="100"/>
        <v>4.74</v>
      </c>
      <c r="S805" s="30">
        <f t="shared" si="101"/>
        <v>5</v>
      </c>
      <c r="T805" s="30">
        <f t="shared" si="102"/>
        <v>2023</v>
      </c>
      <c r="U805" s="29" t="str">
        <f t="shared" si="103"/>
        <v>May</v>
      </c>
    </row>
    <row r="806" spans="1:21" ht="17.399999999999999" x14ac:dyDescent="0.3">
      <c r="A806" s="21" t="s">
        <v>913</v>
      </c>
      <c r="B806" s="21" t="s">
        <v>914</v>
      </c>
      <c r="C806" s="23" t="s">
        <v>3519</v>
      </c>
      <c r="D806" s="21" t="s">
        <v>3520</v>
      </c>
      <c r="E806" s="24">
        <v>45078</v>
      </c>
      <c r="F806" s="24">
        <v>45093</v>
      </c>
      <c r="G806" s="22" t="s">
        <v>11</v>
      </c>
      <c r="H806" s="25">
        <v>63752</v>
      </c>
      <c r="I806" s="25">
        <v>2209</v>
      </c>
      <c r="J806" s="26">
        <v>2018.22</v>
      </c>
      <c r="K806" s="25">
        <v>239</v>
      </c>
      <c r="L806" s="21" t="s">
        <v>21</v>
      </c>
      <c r="M806" s="22" t="s">
        <v>11</v>
      </c>
      <c r="N806" s="27">
        <f t="shared" si="96"/>
        <v>15</v>
      </c>
      <c r="O806" s="28">
        <f t="shared" si="97"/>
        <v>3.4649893336679637E-2</v>
      </c>
      <c r="P806" s="28">
        <f t="shared" si="98"/>
        <v>0.10819375282933454</v>
      </c>
      <c r="Q806" s="26">
        <f t="shared" si="99"/>
        <v>0.91363512901765509</v>
      </c>
      <c r="R806" s="29">
        <f t="shared" si="100"/>
        <v>8.4444351464435154</v>
      </c>
      <c r="S806" s="30">
        <f t="shared" si="101"/>
        <v>6</v>
      </c>
      <c r="T806" s="30">
        <f t="shared" si="102"/>
        <v>2023</v>
      </c>
      <c r="U806" s="29" t="str">
        <f t="shared" si="103"/>
        <v>June</v>
      </c>
    </row>
    <row r="807" spans="1:21" ht="17.399999999999999" x14ac:dyDescent="0.3">
      <c r="A807" s="21" t="s">
        <v>1524</v>
      </c>
      <c r="B807" s="21" t="s">
        <v>1525</v>
      </c>
      <c r="C807" s="23" t="s">
        <v>3519</v>
      </c>
      <c r="D807" s="21" t="s">
        <v>3521</v>
      </c>
      <c r="E807" s="24">
        <v>45078</v>
      </c>
      <c r="F807" s="24">
        <v>45091</v>
      </c>
      <c r="G807" s="22" t="s">
        <v>31</v>
      </c>
      <c r="H807" s="25">
        <v>60494</v>
      </c>
      <c r="I807" s="25">
        <v>2451</v>
      </c>
      <c r="J807" s="26">
        <v>3403.1</v>
      </c>
      <c r="K807" s="25">
        <v>163</v>
      </c>
      <c r="L807" s="21" t="s">
        <v>21</v>
      </c>
      <c r="M807" s="22" t="s">
        <v>31</v>
      </c>
      <c r="N807" s="27">
        <f t="shared" si="96"/>
        <v>13</v>
      </c>
      <c r="O807" s="28">
        <f t="shared" si="97"/>
        <v>4.0516414851059612E-2</v>
      </c>
      <c r="P807" s="28">
        <f t="shared" si="98"/>
        <v>6.6503467972256217E-2</v>
      </c>
      <c r="Q807" s="26">
        <f t="shared" si="99"/>
        <v>1.3884536923704609</v>
      </c>
      <c r="R807" s="29">
        <f t="shared" si="100"/>
        <v>20.877914110429447</v>
      </c>
      <c r="S807" s="30">
        <f t="shared" si="101"/>
        <v>6</v>
      </c>
      <c r="T807" s="30">
        <f t="shared" si="102"/>
        <v>2023</v>
      </c>
      <c r="U807" s="29" t="str">
        <f t="shared" si="103"/>
        <v>June</v>
      </c>
    </row>
    <row r="808" spans="1:21" ht="17.399999999999999" x14ac:dyDescent="0.3">
      <c r="A808" s="21" t="s">
        <v>2463</v>
      </c>
      <c r="B808" s="22" t="s">
        <v>3759</v>
      </c>
      <c r="C808" s="23" t="s">
        <v>3519</v>
      </c>
      <c r="D808" s="22" t="s">
        <v>3545</v>
      </c>
      <c r="E808" s="24">
        <v>45078</v>
      </c>
      <c r="F808" s="24">
        <v>45103</v>
      </c>
      <c r="G808" s="22" t="s">
        <v>24</v>
      </c>
      <c r="H808" s="25">
        <v>57133</v>
      </c>
      <c r="I808" s="25">
        <v>1236</v>
      </c>
      <c r="J808" s="26">
        <v>1505.52</v>
      </c>
      <c r="K808" s="25">
        <v>200</v>
      </c>
      <c r="L808" s="21" t="s">
        <v>21</v>
      </c>
      <c r="M808" s="22" t="s">
        <v>3536</v>
      </c>
      <c r="N808" s="27">
        <f t="shared" si="96"/>
        <v>25</v>
      </c>
      <c r="O808" s="28">
        <f t="shared" si="97"/>
        <v>2.1633731818738733E-2</v>
      </c>
      <c r="P808" s="28">
        <f t="shared" si="98"/>
        <v>0.16181229773462782</v>
      </c>
      <c r="Q808" s="26">
        <f t="shared" si="99"/>
        <v>1.2180582524271844</v>
      </c>
      <c r="R808" s="29">
        <f t="shared" si="100"/>
        <v>7.5275999999999996</v>
      </c>
      <c r="S808" s="30">
        <f t="shared" si="101"/>
        <v>6</v>
      </c>
      <c r="T808" s="30">
        <f t="shared" si="102"/>
        <v>2023</v>
      </c>
      <c r="U808" s="29" t="str">
        <f t="shared" si="103"/>
        <v>June</v>
      </c>
    </row>
    <row r="809" spans="1:21" ht="17.399999999999999" x14ac:dyDescent="0.3">
      <c r="A809" s="21" t="s">
        <v>2564</v>
      </c>
      <c r="B809" s="21" t="s">
        <v>2565</v>
      </c>
      <c r="C809" s="23" t="s">
        <v>3518</v>
      </c>
      <c r="D809" s="21" t="s">
        <v>3521</v>
      </c>
      <c r="E809" s="24">
        <v>45078</v>
      </c>
      <c r="F809" s="24">
        <v>45106</v>
      </c>
      <c r="G809" s="22" t="s">
        <v>31</v>
      </c>
      <c r="H809" s="25">
        <v>60129</v>
      </c>
      <c r="I809" s="25">
        <v>2223</v>
      </c>
      <c r="J809" s="26">
        <v>1728.12</v>
      </c>
      <c r="K809" s="25">
        <v>253</v>
      </c>
      <c r="L809" s="21" t="s">
        <v>21</v>
      </c>
      <c r="M809" s="22" t="s">
        <v>31</v>
      </c>
      <c r="N809" s="27">
        <f t="shared" si="96"/>
        <v>28</v>
      </c>
      <c r="O809" s="28">
        <f t="shared" si="97"/>
        <v>3.6970513396198175E-2</v>
      </c>
      <c r="P809" s="28">
        <f t="shared" si="98"/>
        <v>0.11381016644174539</v>
      </c>
      <c r="Q809" s="26">
        <f t="shared" si="99"/>
        <v>0.77738191632928466</v>
      </c>
      <c r="R809" s="29">
        <f t="shared" si="100"/>
        <v>6.8305138339920948</v>
      </c>
      <c r="S809" s="30">
        <f t="shared" si="101"/>
        <v>6</v>
      </c>
      <c r="T809" s="30">
        <f t="shared" si="102"/>
        <v>2023</v>
      </c>
      <c r="U809" s="29" t="str">
        <f t="shared" si="103"/>
        <v>June</v>
      </c>
    </row>
    <row r="810" spans="1:21" ht="17.399999999999999" x14ac:dyDescent="0.3">
      <c r="A810" s="21" t="s">
        <v>623</v>
      </c>
      <c r="B810" s="21" t="s">
        <v>624</v>
      </c>
      <c r="C810" s="23" t="s">
        <v>3516</v>
      </c>
      <c r="D810" s="21" t="s">
        <v>3517</v>
      </c>
      <c r="E810" s="24">
        <v>45078</v>
      </c>
      <c r="F810" s="24">
        <v>45083</v>
      </c>
      <c r="G810" s="22" t="s">
        <v>16</v>
      </c>
      <c r="H810" s="25">
        <v>98888</v>
      </c>
      <c r="I810" s="25">
        <v>3095</v>
      </c>
      <c r="J810" s="26">
        <v>3709.43</v>
      </c>
      <c r="K810" s="25">
        <v>293</v>
      </c>
      <c r="L810" s="21" t="s">
        <v>21</v>
      </c>
      <c r="M810" s="22" t="s">
        <v>16</v>
      </c>
      <c r="N810" s="27">
        <f t="shared" si="96"/>
        <v>5</v>
      </c>
      <c r="O810" s="28">
        <f t="shared" si="97"/>
        <v>3.1298034139632717E-2</v>
      </c>
      <c r="P810" s="28">
        <f t="shared" si="98"/>
        <v>9.4668820678513732E-2</v>
      </c>
      <c r="Q810" s="26">
        <f t="shared" si="99"/>
        <v>1.1985234248788368</v>
      </c>
      <c r="R810" s="29">
        <f t="shared" si="100"/>
        <v>12.660170648464163</v>
      </c>
      <c r="S810" s="30">
        <f t="shared" si="101"/>
        <v>6</v>
      </c>
      <c r="T810" s="30">
        <f t="shared" si="102"/>
        <v>2023</v>
      </c>
      <c r="U810" s="29" t="str">
        <f t="shared" si="103"/>
        <v>June</v>
      </c>
    </row>
    <row r="811" spans="1:21" ht="17.399999999999999" x14ac:dyDescent="0.3">
      <c r="A811" s="21" t="s">
        <v>642</v>
      </c>
      <c r="B811" s="22" t="s">
        <v>3760</v>
      </c>
      <c r="C811" s="23" t="s">
        <v>3515</v>
      </c>
      <c r="D811" s="22" t="s">
        <v>3545</v>
      </c>
      <c r="E811" s="24">
        <v>45078</v>
      </c>
      <c r="F811" s="24">
        <v>45079</v>
      </c>
      <c r="G811" s="22" t="s">
        <v>24</v>
      </c>
      <c r="H811" s="25">
        <v>19589</v>
      </c>
      <c r="I811" s="25">
        <v>926</v>
      </c>
      <c r="J811" s="26">
        <v>755.78</v>
      </c>
      <c r="K811" s="25">
        <v>113</v>
      </c>
      <c r="L811" s="21" t="s">
        <v>21</v>
      </c>
      <c r="M811" s="22" t="s">
        <v>3536</v>
      </c>
      <c r="N811" s="27">
        <f t="shared" si="96"/>
        <v>1</v>
      </c>
      <c r="O811" s="28">
        <f t="shared" si="97"/>
        <v>4.7271427842156315E-2</v>
      </c>
      <c r="P811" s="28">
        <f t="shared" si="98"/>
        <v>0.12203023758099352</v>
      </c>
      <c r="Q811" s="26">
        <f t="shared" si="99"/>
        <v>0.81617710583153347</v>
      </c>
      <c r="R811" s="29">
        <f t="shared" si="100"/>
        <v>6.6883185840707959</v>
      </c>
      <c r="S811" s="30">
        <f t="shared" si="101"/>
        <v>6</v>
      </c>
      <c r="T811" s="30">
        <f t="shared" si="102"/>
        <v>2023</v>
      </c>
      <c r="U811" s="29" t="str">
        <f t="shared" si="103"/>
        <v>June</v>
      </c>
    </row>
    <row r="812" spans="1:21" ht="17.399999999999999" x14ac:dyDescent="0.3">
      <c r="A812" s="21" t="s">
        <v>2212</v>
      </c>
      <c r="B812" s="21" t="s">
        <v>2213</v>
      </c>
      <c r="C812" s="23" t="s">
        <v>3515</v>
      </c>
      <c r="D812" s="21" t="s">
        <v>3520</v>
      </c>
      <c r="E812" s="24">
        <v>45078</v>
      </c>
      <c r="F812" s="24">
        <v>45107</v>
      </c>
      <c r="G812" s="22" t="s">
        <v>16</v>
      </c>
      <c r="H812" s="25">
        <v>47240</v>
      </c>
      <c r="I812" s="25">
        <v>1258</v>
      </c>
      <c r="J812" s="26">
        <v>2145.69</v>
      </c>
      <c r="K812" s="25">
        <v>237</v>
      </c>
      <c r="L812" s="21" t="s">
        <v>17</v>
      </c>
      <c r="M812" s="22" t="s">
        <v>16</v>
      </c>
      <c r="N812" s="27">
        <f t="shared" si="96"/>
        <v>29</v>
      </c>
      <c r="O812" s="28">
        <f t="shared" si="97"/>
        <v>2.6629974597798475E-2</v>
      </c>
      <c r="P812" s="28">
        <f t="shared" si="98"/>
        <v>0.18839427662957076</v>
      </c>
      <c r="Q812" s="26">
        <f t="shared" si="99"/>
        <v>1.7056359300476949</v>
      </c>
      <c r="R812" s="29">
        <f t="shared" si="100"/>
        <v>9.0535443037974694</v>
      </c>
      <c r="S812" s="30">
        <f t="shared" si="101"/>
        <v>6</v>
      </c>
      <c r="T812" s="30">
        <f t="shared" si="102"/>
        <v>2023</v>
      </c>
      <c r="U812" s="29" t="str">
        <f t="shared" si="103"/>
        <v>June</v>
      </c>
    </row>
    <row r="813" spans="1:21" ht="17.399999999999999" x14ac:dyDescent="0.3">
      <c r="A813" s="21" t="s">
        <v>1750</v>
      </c>
      <c r="B813" s="21" t="s">
        <v>1751</v>
      </c>
      <c r="C813" s="23" t="s">
        <v>3515</v>
      </c>
      <c r="D813" s="21" t="s">
        <v>3517</v>
      </c>
      <c r="E813" s="24">
        <v>45078</v>
      </c>
      <c r="F813" s="24">
        <v>45083</v>
      </c>
      <c r="G813" s="22" t="s">
        <v>11</v>
      </c>
      <c r="H813" s="25">
        <v>82264</v>
      </c>
      <c r="I813" s="25">
        <v>970</v>
      </c>
      <c r="J813" s="26">
        <v>1922.18</v>
      </c>
      <c r="K813" s="25">
        <v>94</v>
      </c>
      <c r="L813" s="21" t="s">
        <v>21</v>
      </c>
      <c r="M813" s="22" t="s">
        <v>11</v>
      </c>
      <c r="N813" s="27">
        <f t="shared" si="96"/>
        <v>5</v>
      </c>
      <c r="O813" s="28">
        <f t="shared" si="97"/>
        <v>1.179130603909365E-2</v>
      </c>
      <c r="P813" s="28">
        <f t="shared" si="98"/>
        <v>9.6907216494845363E-2</v>
      </c>
      <c r="Q813" s="26">
        <f t="shared" si="99"/>
        <v>1.9816288659793815</v>
      </c>
      <c r="R813" s="29">
        <f t="shared" si="100"/>
        <v>20.448723404255318</v>
      </c>
      <c r="S813" s="30">
        <f t="shared" si="101"/>
        <v>6</v>
      </c>
      <c r="T813" s="30">
        <f t="shared" si="102"/>
        <v>2023</v>
      </c>
      <c r="U813" s="29" t="str">
        <f t="shared" si="103"/>
        <v>June</v>
      </c>
    </row>
    <row r="814" spans="1:21" ht="17.399999999999999" x14ac:dyDescent="0.3">
      <c r="A814" s="21" t="s">
        <v>1649</v>
      </c>
      <c r="B814" s="21" t="s">
        <v>1650</v>
      </c>
      <c r="C814" s="23" t="s">
        <v>3519</v>
      </c>
      <c r="D814" s="21" t="s">
        <v>3520</v>
      </c>
      <c r="E814" s="24">
        <v>45079</v>
      </c>
      <c r="F814" s="24">
        <v>45107</v>
      </c>
      <c r="G814" s="22" t="s">
        <v>16</v>
      </c>
      <c r="H814" s="25">
        <v>44221</v>
      </c>
      <c r="I814" s="25">
        <v>2132</v>
      </c>
      <c r="J814" s="26">
        <v>1261.4100000000001</v>
      </c>
      <c r="K814" s="25">
        <v>230</v>
      </c>
      <c r="L814" s="21" t="s">
        <v>17</v>
      </c>
      <c r="M814" s="22" t="s">
        <v>16</v>
      </c>
      <c r="N814" s="27">
        <f t="shared" si="96"/>
        <v>28</v>
      </c>
      <c r="O814" s="28">
        <f t="shared" si="97"/>
        <v>4.8212387779561744E-2</v>
      </c>
      <c r="P814" s="28">
        <f t="shared" si="98"/>
        <v>0.10787992495309569</v>
      </c>
      <c r="Q814" s="26">
        <f t="shared" si="99"/>
        <v>0.59165572232645403</v>
      </c>
      <c r="R814" s="29">
        <f t="shared" si="100"/>
        <v>5.4843913043478265</v>
      </c>
      <c r="S814" s="30">
        <f t="shared" si="101"/>
        <v>6</v>
      </c>
      <c r="T814" s="30">
        <f t="shared" si="102"/>
        <v>2023</v>
      </c>
      <c r="U814" s="29" t="str">
        <f t="shared" si="103"/>
        <v>June</v>
      </c>
    </row>
    <row r="815" spans="1:21" ht="17.399999999999999" x14ac:dyDescent="0.3">
      <c r="A815" s="21" t="s">
        <v>460</v>
      </c>
      <c r="B815" s="22" t="s">
        <v>3761</v>
      </c>
      <c r="C815" s="23" t="s">
        <v>3518</v>
      </c>
      <c r="D815" s="22" t="s">
        <v>3545</v>
      </c>
      <c r="E815" s="24">
        <v>45079</v>
      </c>
      <c r="F815" s="24">
        <v>45097</v>
      </c>
      <c r="G815" s="22" t="s">
        <v>11</v>
      </c>
      <c r="H815" s="25">
        <v>3911</v>
      </c>
      <c r="I815" s="25">
        <v>48</v>
      </c>
      <c r="J815" s="26">
        <v>32.42</v>
      </c>
      <c r="K815" s="25">
        <v>2</v>
      </c>
      <c r="L815" s="21" t="s">
        <v>21</v>
      </c>
      <c r="M815" s="22" t="s">
        <v>11</v>
      </c>
      <c r="N815" s="27">
        <f t="shared" si="96"/>
        <v>18</v>
      </c>
      <c r="O815" s="28">
        <f t="shared" si="97"/>
        <v>1.2273075939657376E-2</v>
      </c>
      <c r="P815" s="28">
        <f t="shared" si="98"/>
        <v>4.1666666666666664E-2</v>
      </c>
      <c r="Q815" s="26">
        <f t="shared" si="99"/>
        <v>0.67541666666666667</v>
      </c>
      <c r="R815" s="29">
        <f t="shared" si="100"/>
        <v>16.21</v>
      </c>
      <c r="S815" s="30">
        <f t="shared" si="101"/>
        <v>6</v>
      </c>
      <c r="T815" s="30">
        <f t="shared" si="102"/>
        <v>2023</v>
      </c>
      <c r="U815" s="29" t="str">
        <f t="shared" si="103"/>
        <v>June</v>
      </c>
    </row>
    <row r="816" spans="1:21" ht="17.399999999999999" x14ac:dyDescent="0.3">
      <c r="A816" s="21" t="s">
        <v>2200</v>
      </c>
      <c r="B816" s="21" t="s">
        <v>2201</v>
      </c>
      <c r="C816" s="23" t="s">
        <v>3518</v>
      </c>
      <c r="D816" s="21" t="s">
        <v>3520</v>
      </c>
      <c r="E816" s="24">
        <v>45079</v>
      </c>
      <c r="F816" s="24">
        <v>45099</v>
      </c>
      <c r="G816" s="22" t="s">
        <v>3535</v>
      </c>
      <c r="H816" s="25">
        <v>71507</v>
      </c>
      <c r="I816" s="25">
        <v>778</v>
      </c>
      <c r="J816" s="26">
        <v>805.12</v>
      </c>
      <c r="K816" s="25">
        <v>91</v>
      </c>
      <c r="L816" s="21" t="s">
        <v>21</v>
      </c>
      <c r="M816" s="22" t="s">
        <v>3535</v>
      </c>
      <c r="N816" s="27">
        <f t="shared" si="96"/>
        <v>20</v>
      </c>
      <c r="O816" s="28">
        <f t="shared" si="97"/>
        <v>1.0880053701036263E-2</v>
      </c>
      <c r="P816" s="28">
        <f t="shared" si="98"/>
        <v>0.11696658097686376</v>
      </c>
      <c r="Q816" s="26">
        <f t="shared" si="99"/>
        <v>1.0348586118251928</v>
      </c>
      <c r="R816" s="29">
        <f t="shared" si="100"/>
        <v>8.8474725274725277</v>
      </c>
      <c r="S816" s="30">
        <f t="shared" si="101"/>
        <v>6</v>
      </c>
      <c r="T816" s="30">
        <f t="shared" si="102"/>
        <v>2023</v>
      </c>
      <c r="U816" s="29" t="str">
        <f t="shared" si="103"/>
        <v>June</v>
      </c>
    </row>
    <row r="817" spans="1:21" ht="17.399999999999999" x14ac:dyDescent="0.3">
      <c r="A817" s="21" t="s">
        <v>549</v>
      </c>
      <c r="B817" s="21" t="s">
        <v>550</v>
      </c>
      <c r="C817" s="23" t="s">
        <v>3516</v>
      </c>
      <c r="D817" s="21" t="s">
        <v>3520</v>
      </c>
      <c r="E817" s="24">
        <v>45079</v>
      </c>
      <c r="F817" s="24">
        <v>45097</v>
      </c>
      <c r="G817" s="22" t="s">
        <v>14</v>
      </c>
      <c r="H817" s="25">
        <v>83018</v>
      </c>
      <c r="I817" s="25">
        <v>4088</v>
      </c>
      <c r="J817" s="26">
        <v>5443.2</v>
      </c>
      <c r="K817" s="25">
        <v>737</v>
      </c>
      <c r="L817" s="21" t="s">
        <v>17</v>
      </c>
      <c r="M817" s="22" t="s">
        <v>3537</v>
      </c>
      <c r="N817" s="27">
        <f t="shared" si="96"/>
        <v>18</v>
      </c>
      <c r="O817" s="28">
        <f t="shared" si="97"/>
        <v>4.9242332988026695E-2</v>
      </c>
      <c r="P817" s="28">
        <f t="shared" si="98"/>
        <v>0.18028375733855187</v>
      </c>
      <c r="Q817" s="26">
        <f t="shared" si="99"/>
        <v>1.3315068493150684</v>
      </c>
      <c r="R817" s="29">
        <f t="shared" si="100"/>
        <v>7.3856173677069199</v>
      </c>
      <c r="S817" s="30">
        <f t="shared" si="101"/>
        <v>6</v>
      </c>
      <c r="T817" s="30">
        <f t="shared" si="102"/>
        <v>2023</v>
      </c>
      <c r="U817" s="29" t="str">
        <f t="shared" si="103"/>
        <v>June</v>
      </c>
    </row>
    <row r="818" spans="1:21" ht="17.399999999999999" x14ac:dyDescent="0.3">
      <c r="A818" s="21" t="s">
        <v>1357</v>
      </c>
      <c r="B818" s="21" t="s">
        <v>1358</v>
      </c>
      <c r="C818" s="23" t="s">
        <v>3516</v>
      </c>
      <c r="D818" s="21" t="s">
        <v>3517</v>
      </c>
      <c r="E818" s="24">
        <v>45079</v>
      </c>
      <c r="F818" s="24">
        <v>45087</v>
      </c>
      <c r="G818" s="22" t="s">
        <v>24</v>
      </c>
      <c r="H818" s="25">
        <v>56284</v>
      </c>
      <c r="I818" s="25">
        <v>2360</v>
      </c>
      <c r="J818" s="26">
        <v>3482.51</v>
      </c>
      <c r="K818" s="25">
        <v>215</v>
      </c>
      <c r="L818" s="21" t="s">
        <v>17</v>
      </c>
      <c r="M818" s="22" t="s">
        <v>3536</v>
      </c>
      <c r="N818" s="27">
        <f t="shared" si="96"/>
        <v>8</v>
      </c>
      <c r="O818" s="28">
        <f t="shared" si="97"/>
        <v>4.1930211072418448E-2</v>
      </c>
      <c r="P818" s="28">
        <f t="shared" si="98"/>
        <v>9.110169491525423E-2</v>
      </c>
      <c r="Q818" s="26">
        <f t="shared" si="99"/>
        <v>1.4756398305084746</v>
      </c>
      <c r="R818" s="29">
        <f t="shared" si="100"/>
        <v>16.19772093023256</v>
      </c>
      <c r="S818" s="30">
        <f t="shared" si="101"/>
        <v>6</v>
      </c>
      <c r="T818" s="30">
        <f t="shared" si="102"/>
        <v>2023</v>
      </c>
      <c r="U818" s="29" t="str">
        <f t="shared" si="103"/>
        <v>June</v>
      </c>
    </row>
    <row r="819" spans="1:21" ht="17.399999999999999" x14ac:dyDescent="0.3">
      <c r="A819" s="21" t="s">
        <v>93</v>
      </c>
      <c r="B819" s="21" t="s">
        <v>94</v>
      </c>
      <c r="C819" s="23" t="s">
        <v>3515</v>
      </c>
      <c r="D819" s="21" t="s">
        <v>3520</v>
      </c>
      <c r="E819" s="24">
        <v>45079</v>
      </c>
      <c r="F819" s="24">
        <v>45105</v>
      </c>
      <c r="G819" s="22" t="s">
        <v>24</v>
      </c>
      <c r="H819" s="25">
        <v>11627</v>
      </c>
      <c r="I819" s="25">
        <v>319</v>
      </c>
      <c r="J819" s="26">
        <v>531.19000000000005</v>
      </c>
      <c r="K819" s="25">
        <v>17</v>
      </c>
      <c r="L819" s="21" t="s">
        <v>21</v>
      </c>
      <c r="M819" s="22" t="s">
        <v>3536</v>
      </c>
      <c r="N819" s="27">
        <f t="shared" si="96"/>
        <v>26</v>
      </c>
      <c r="O819" s="28">
        <f t="shared" si="97"/>
        <v>2.7436140018921477E-2</v>
      </c>
      <c r="P819" s="28">
        <f t="shared" si="98"/>
        <v>5.329153605015674E-2</v>
      </c>
      <c r="Q819" s="26">
        <f t="shared" si="99"/>
        <v>1.6651724137931037</v>
      </c>
      <c r="R819" s="29">
        <f t="shared" si="100"/>
        <v>31.246470588235297</v>
      </c>
      <c r="S819" s="30">
        <f t="shared" si="101"/>
        <v>6</v>
      </c>
      <c r="T819" s="30">
        <f t="shared" si="102"/>
        <v>2023</v>
      </c>
      <c r="U819" s="29" t="str">
        <f t="shared" si="103"/>
        <v>June</v>
      </c>
    </row>
    <row r="820" spans="1:21" ht="17.399999999999999" x14ac:dyDescent="0.3">
      <c r="A820" s="21" t="s">
        <v>1228</v>
      </c>
      <c r="B820" s="21" t="s">
        <v>1229</v>
      </c>
      <c r="C820" s="23" t="s">
        <v>3515</v>
      </c>
      <c r="D820" s="21" t="s">
        <v>3521</v>
      </c>
      <c r="E820" s="24">
        <v>45079</v>
      </c>
      <c r="F820" s="24">
        <v>45097</v>
      </c>
      <c r="G820" s="22" t="s">
        <v>11</v>
      </c>
      <c r="H820" s="25">
        <v>35578</v>
      </c>
      <c r="I820" s="25">
        <v>1237</v>
      </c>
      <c r="J820" s="26">
        <v>1244.79</v>
      </c>
      <c r="K820" s="25">
        <v>177</v>
      </c>
      <c r="L820" s="21" t="s">
        <v>21</v>
      </c>
      <c r="M820" s="22" t="s">
        <v>11</v>
      </c>
      <c r="N820" s="27">
        <f t="shared" si="96"/>
        <v>18</v>
      </c>
      <c r="O820" s="28">
        <f t="shared" si="97"/>
        <v>3.4768677272471751E-2</v>
      </c>
      <c r="P820" s="28">
        <f t="shared" si="98"/>
        <v>0.14308811641067098</v>
      </c>
      <c r="Q820" s="26">
        <f t="shared" si="99"/>
        <v>1.0062974939369442</v>
      </c>
      <c r="R820" s="29">
        <f t="shared" si="100"/>
        <v>7.0327118644067799</v>
      </c>
      <c r="S820" s="30">
        <f t="shared" si="101"/>
        <v>6</v>
      </c>
      <c r="T820" s="30">
        <f t="shared" si="102"/>
        <v>2023</v>
      </c>
      <c r="U820" s="29" t="str">
        <f t="shared" si="103"/>
        <v>June</v>
      </c>
    </row>
    <row r="821" spans="1:21" ht="17.399999999999999" x14ac:dyDescent="0.3">
      <c r="A821" s="21" t="s">
        <v>269</v>
      </c>
      <c r="B821" s="21" t="s">
        <v>270</v>
      </c>
      <c r="C821" s="23" t="s">
        <v>3519</v>
      </c>
      <c r="D821" s="21" t="s">
        <v>3517</v>
      </c>
      <c r="E821" s="24">
        <v>45080</v>
      </c>
      <c r="F821" s="24">
        <v>45105</v>
      </c>
      <c r="G821" s="22" t="s">
        <v>14</v>
      </c>
      <c r="H821" s="25">
        <v>55268</v>
      </c>
      <c r="I821" s="25">
        <v>2599</v>
      </c>
      <c r="J821" s="26">
        <v>3072.82</v>
      </c>
      <c r="K821" s="25">
        <v>433</v>
      </c>
      <c r="L821" s="21" t="s">
        <v>21</v>
      </c>
      <c r="M821" s="22" t="s">
        <v>3537</v>
      </c>
      <c r="N821" s="27">
        <f t="shared" si="96"/>
        <v>25</v>
      </c>
      <c r="O821" s="28">
        <f t="shared" si="97"/>
        <v>4.7025403488456248E-2</v>
      </c>
      <c r="P821" s="28">
        <f t="shared" si="98"/>
        <v>0.16660253943824549</v>
      </c>
      <c r="Q821" s="26">
        <f t="shared" si="99"/>
        <v>1.1823085802231628</v>
      </c>
      <c r="R821" s="29">
        <f t="shared" si="100"/>
        <v>7.0965819861431871</v>
      </c>
      <c r="S821" s="30">
        <f t="shared" si="101"/>
        <v>6</v>
      </c>
      <c r="T821" s="30">
        <f t="shared" si="102"/>
        <v>2023</v>
      </c>
      <c r="U821" s="29" t="str">
        <f t="shared" si="103"/>
        <v>June</v>
      </c>
    </row>
    <row r="822" spans="1:21" ht="17.399999999999999" x14ac:dyDescent="0.3">
      <c r="A822" s="21" t="s">
        <v>1185</v>
      </c>
      <c r="B822" s="21" t="s">
        <v>1186</v>
      </c>
      <c r="C822" s="23" t="s">
        <v>3519</v>
      </c>
      <c r="D822" s="21" t="s">
        <v>3517</v>
      </c>
      <c r="E822" s="24">
        <v>45080</v>
      </c>
      <c r="F822" s="24">
        <v>45085</v>
      </c>
      <c r="G822" s="22" t="s">
        <v>14</v>
      </c>
      <c r="H822" s="25">
        <v>40081</v>
      </c>
      <c r="I822" s="25">
        <v>1651</v>
      </c>
      <c r="J822" s="26">
        <v>2376.92</v>
      </c>
      <c r="K822" s="25">
        <v>230</v>
      </c>
      <c r="L822" s="21" t="s">
        <v>17</v>
      </c>
      <c r="M822" s="22" t="s">
        <v>3537</v>
      </c>
      <c r="N822" s="27">
        <f t="shared" si="96"/>
        <v>5</v>
      </c>
      <c r="O822" s="28">
        <f t="shared" si="97"/>
        <v>4.1191587036251594E-2</v>
      </c>
      <c r="P822" s="28">
        <f t="shared" si="98"/>
        <v>0.13930950938824954</v>
      </c>
      <c r="Q822" s="26">
        <f t="shared" si="99"/>
        <v>1.4396850393700789</v>
      </c>
      <c r="R822" s="29">
        <f t="shared" si="100"/>
        <v>10.334434782608696</v>
      </c>
      <c r="S822" s="30">
        <f t="shared" si="101"/>
        <v>6</v>
      </c>
      <c r="T822" s="30">
        <f t="shared" si="102"/>
        <v>2023</v>
      </c>
      <c r="U822" s="29" t="str">
        <f t="shared" si="103"/>
        <v>June</v>
      </c>
    </row>
    <row r="823" spans="1:21" ht="17.399999999999999" x14ac:dyDescent="0.3">
      <c r="A823" s="21" t="s">
        <v>1768</v>
      </c>
      <c r="B823" s="21" t="s">
        <v>1769</v>
      </c>
      <c r="C823" s="23" t="s">
        <v>3519</v>
      </c>
      <c r="D823" s="21" t="s">
        <v>3521</v>
      </c>
      <c r="E823" s="24">
        <v>45080</v>
      </c>
      <c r="F823" s="24">
        <v>45082</v>
      </c>
      <c r="G823" s="22" t="s">
        <v>11</v>
      </c>
      <c r="H823" s="25">
        <v>35529</v>
      </c>
      <c r="I823" s="25">
        <v>1314</v>
      </c>
      <c r="J823" s="26">
        <v>2421.17</v>
      </c>
      <c r="K823" s="25">
        <v>80</v>
      </c>
      <c r="L823" s="21" t="s">
        <v>21</v>
      </c>
      <c r="M823" s="22" t="s">
        <v>11</v>
      </c>
      <c r="N823" s="27">
        <f t="shared" si="96"/>
        <v>2</v>
      </c>
      <c r="O823" s="28">
        <f t="shared" si="97"/>
        <v>3.6983872329646207E-2</v>
      </c>
      <c r="P823" s="28">
        <f t="shared" si="98"/>
        <v>6.0882800608828003E-2</v>
      </c>
      <c r="Q823" s="26">
        <f t="shared" si="99"/>
        <v>1.8425951293759513</v>
      </c>
      <c r="R823" s="29">
        <f t="shared" si="100"/>
        <v>30.264625000000002</v>
      </c>
      <c r="S823" s="30">
        <f t="shared" si="101"/>
        <v>6</v>
      </c>
      <c r="T823" s="30">
        <f t="shared" si="102"/>
        <v>2023</v>
      </c>
      <c r="U823" s="29" t="str">
        <f t="shared" si="103"/>
        <v>June</v>
      </c>
    </row>
    <row r="824" spans="1:21" ht="17.399999999999999" x14ac:dyDescent="0.3">
      <c r="A824" s="21" t="s">
        <v>1924</v>
      </c>
      <c r="B824" s="22" t="s">
        <v>3762</v>
      </c>
      <c r="C824" s="23" t="s">
        <v>3518</v>
      </c>
      <c r="D824" s="22" t="s">
        <v>3545</v>
      </c>
      <c r="E824" s="24">
        <v>45080</v>
      </c>
      <c r="F824" s="24">
        <v>45101</v>
      </c>
      <c r="G824" s="22" t="s">
        <v>16</v>
      </c>
      <c r="H824" s="25">
        <v>6415</v>
      </c>
      <c r="I824" s="25">
        <v>313</v>
      </c>
      <c r="J824" s="26">
        <v>236.26</v>
      </c>
      <c r="K824" s="25">
        <v>25</v>
      </c>
      <c r="L824" s="21" t="s">
        <v>17</v>
      </c>
      <c r="M824" s="22" t="s">
        <v>16</v>
      </c>
      <c r="N824" s="27">
        <f t="shared" si="96"/>
        <v>21</v>
      </c>
      <c r="O824" s="28">
        <f t="shared" si="97"/>
        <v>4.8791893998441152E-2</v>
      </c>
      <c r="P824" s="28">
        <f t="shared" si="98"/>
        <v>7.9872204472843447E-2</v>
      </c>
      <c r="Q824" s="26">
        <f t="shared" si="99"/>
        <v>0.75482428115015976</v>
      </c>
      <c r="R824" s="29">
        <f t="shared" si="100"/>
        <v>9.4504000000000001</v>
      </c>
      <c r="S824" s="30">
        <f t="shared" si="101"/>
        <v>6</v>
      </c>
      <c r="T824" s="30">
        <f t="shared" si="102"/>
        <v>2023</v>
      </c>
      <c r="U824" s="29" t="str">
        <f t="shared" si="103"/>
        <v>June</v>
      </c>
    </row>
    <row r="825" spans="1:21" ht="17.399999999999999" x14ac:dyDescent="0.3">
      <c r="A825" s="21" t="s">
        <v>3339</v>
      </c>
      <c r="B825" s="21" t="s">
        <v>3340</v>
      </c>
      <c r="C825" s="23" t="s">
        <v>3518</v>
      </c>
      <c r="D825" s="21" t="s">
        <v>3521</v>
      </c>
      <c r="E825" s="24">
        <v>45080</v>
      </c>
      <c r="F825" s="24">
        <v>45108</v>
      </c>
      <c r="G825" s="22" t="s">
        <v>3535</v>
      </c>
      <c r="H825" s="25">
        <v>22804</v>
      </c>
      <c r="I825" s="25">
        <v>534</v>
      </c>
      <c r="J825" s="26">
        <v>1015.12</v>
      </c>
      <c r="K825" s="25">
        <v>38</v>
      </c>
      <c r="L825" s="21" t="s">
        <v>21</v>
      </c>
      <c r="M825" s="22" t="s">
        <v>3535</v>
      </c>
      <c r="N825" s="27">
        <f t="shared" si="96"/>
        <v>28</v>
      </c>
      <c r="O825" s="28">
        <f t="shared" si="97"/>
        <v>2.3416944395720049E-2</v>
      </c>
      <c r="P825" s="28">
        <f t="shared" si="98"/>
        <v>7.116104868913857E-2</v>
      </c>
      <c r="Q825" s="26">
        <f t="shared" si="99"/>
        <v>1.9009737827715356</v>
      </c>
      <c r="R825" s="29">
        <f t="shared" si="100"/>
        <v>26.713684210526317</v>
      </c>
      <c r="S825" s="30">
        <f t="shared" si="101"/>
        <v>6</v>
      </c>
      <c r="T825" s="30">
        <f t="shared" si="102"/>
        <v>2023</v>
      </c>
      <c r="U825" s="29" t="str">
        <f t="shared" si="103"/>
        <v>June</v>
      </c>
    </row>
    <row r="826" spans="1:21" ht="17.399999999999999" x14ac:dyDescent="0.3">
      <c r="A826" s="21" t="s">
        <v>1502</v>
      </c>
      <c r="B826" s="21" t="s">
        <v>1503</v>
      </c>
      <c r="C826" s="23" t="s">
        <v>3516</v>
      </c>
      <c r="D826" s="21" t="s">
        <v>3517</v>
      </c>
      <c r="E826" s="24">
        <v>45080</v>
      </c>
      <c r="F826" s="24">
        <v>45098</v>
      </c>
      <c r="G826" s="22" t="s">
        <v>16</v>
      </c>
      <c r="H826" s="25">
        <v>89464</v>
      </c>
      <c r="I826" s="25">
        <v>908</v>
      </c>
      <c r="J826" s="26">
        <v>1584.08</v>
      </c>
      <c r="K826" s="25">
        <v>108</v>
      </c>
      <c r="L826" s="21" t="s">
        <v>21</v>
      </c>
      <c r="M826" s="22" t="s">
        <v>16</v>
      </c>
      <c r="N826" s="27">
        <f t="shared" si="96"/>
        <v>18</v>
      </c>
      <c r="O826" s="28">
        <f t="shared" si="97"/>
        <v>1.0149333810247697E-2</v>
      </c>
      <c r="P826" s="28">
        <f t="shared" si="98"/>
        <v>0.11894273127753303</v>
      </c>
      <c r="Q826" s="26">
        <f t="shared" si="99"/>
        <v>1.7445814977973568</v>
      </c>
      <c r="R826" s="29">
        <f t="shared" si="100"/>
        <v>14.667407407407406</v>
      </c>
      <c r="S826" s="30">
        <f t="shared" si="101"/>
        <v>6</v>
      </c>
      <c r="T826" s="30">
        <f t="shared" si="102"/>
        <v>2023</v>
      </c>
      <c r="U826" s="29" t="str">
        <f t="shared" si="103"/>
        <v>June</v>
      </c>
    </row>
    <row r="827" spans="1:21" ht="17.399999999999999" x14ac:dyDescent="0.3">
      <c r="A827" s="21" t="s">
        <v>3414</v>
      </c>
      <c r="B827" s="21" t="s">
        <v>3415</v>
      </c>
      <c r="C827" s="23" t="s">
        <v>3519</v>
      </c>
      <c r="D827" s="21" t="s">
        <v>3521</v>
      </c>
      <c r="E827" s="24">
        <v>45081</v>
      </c>
      <c r="F827" s="24">
        <v>45103</v>
      </c>
      <c r="G827" s="22" t="s">
        <v>24</v>
      </c>
      <c r="H827" s="25">
        <v>82905</v>
      </c>
      <c r="I827" s="25">
        <v>3727</v>
      </c>
      <c r="J827" s="26">
        <v>1916.85</v>
      </c>
      <c r="K827" s="25">
        <v>555</v>
      </c>
      <c r="L827" s="21" t="s">
        <v>21</v>
      </c>
      <c r="M827" s="22" t="s">
        <v>3536</v>
      </c>
      <c r="N827" s="27">
        <f t="shared" si="96"/>
        <v>22</v>
      </c>
      <c r="O827" s="28">
        <f t="shared" si="97"/>
        <v>4.4955069054942405E-2</v>
      </c>
      <c r="P827" s="28">
        <f t="shared" si="98"/>
        <v>0.1489133351220821</v>
      </c>
      <c r="Q827" s="26">
        <f t="shared" si="99"/>
        <v>0.51431446203380737</v>
      </c>
      <c r="R827" s="29">
        <f t="shared" si="100"/>
        <v>3.4537837837837837</v>
      </c>
      <c r="S827" s="30">
        <f t="shared" si="101"/>
        <v>6</v>
      </c>
      <c r="T827" s="30">
        <f t="shared" si="102"/>
        <v>2023</v>
      </c>
      <c r="U827" s="29" t="str">
        <f t="shared" si="103"/>
        <v>June</v>
      </c>
    </row>
    <row r="828" spans="1:21" ht="17.399999999999999" x14ac:dyDescent="0.3">
      <c r="A828" s="21" t="s">
        <v>2299</v>
      </c>
      <c r="B828" s="21" t="s">
        <v>2300</v>
      </c>
      <c r="C828" s="23" t="s">
        <v>3518</v>
      </c>
      <c r="D828" s="21" t="s">
        <v>3517</v>
      </c>
      <c r="E828" s="24">
        <v>45081</v>
      </c>
      <c r="F828" s="24">
        <v>45092</v>
      </c>
      <c r="G828" s="22" t="s">
        <v>14</v>
      </c>
      <c r="H828" s="25">
        <v>26522</v>
      </c>
      <c r="I828" s="25">
        <v>310</v>
      </c>
      <c r="J828" s="26">
        <v>466.25</v>
      </c>
      <c r="K828" s="25">
        <v>31</v>
      </c>
      <c r="L828" s="21" t="s">
        <v>17</v>
      </c>
      <c r="M828" s="22" t="s">
        <v>3537</v>
      </c>
      <c r="N828" s="27">
        <f t="shared" si="96"/>
        <v>11</v>
      </c>
      <c r="O828" s="28">
        <f t="shared" si="97"/>
        <v>1.1688409622200437E-2</v>
      </c>
      <c r="P828" s="28">
        <f t="shared" si="98"/>
        <v>0.1</v>
      </c>
      <c r="Q828" s="26">
        <f t="shared" si="99"/>
        <v>1.5040322580645162</v>
      </c>
      <c r="R828" s="29">
        <f t="shared" si="100"/>
        <v>15.040322580645162</v>
      </c>
      <c r="S828" s="30">
        <f t="shared" si="101"/>
        <v>6</v>
      </c>
      <c r="T828" s="30">
        <f t="shared" si="102"/>
        <v>2023</v>
      </c>
      <c r="U828" s="29" t="str">
        <f t="shared" si="103"/>
        <v>June</v>
      </c>
    </row>
    <row r="829" spans="1:21" ht="17.399999999999999" x14ac:dyDescent="0.3">
      <c r="A829" s="21" t="s">
        <v>1123</v>
      </c>
      <c r="B829" s="21" t="s">
        <v>1124</v>
      </c>
      <c r="C829" s="23" t="s">
        <v>3516</v>
      </c>
      <c r="D829" s="21" t="s">
        <v>3521</v>
      </c>
      <c r="E829" s="24">
        <v>45081</v>
      </c>
      <c r="F829" s="24">
        <v>45109</v>
      </c>
      <c r="G829" s="22" t="s">
        <v>11</v>
      </c>
      <c r="H829" s="25">
        <v>6486</v>
      </c>
      <c r="I829" s="25">
        <v>255</v>
      </c>
      <c r="J829" s="26">
        <v>234.56</v>
      </c>
      <c r="K829" s="25">
        <v>17</v>
      </c>
      <c r="L829" s="21" t="s">
        <v>21</v>
      </c>
      <c r="M829" s="22" t="s">
        <v>11</v>
      </c>
      <c r="N829" s="27">
        <f t="shared" si="96"/>
        <v>28</v>
      </c>
      <c r="O829" s="28">
        <f t="shared" si="97"/>
        <v>3.9315448658649402E-2</v>
      </c>
      <c r="P829" s="28">
        <f t="shared" si="98"/>
        <v>6.6666666666666666E-2</v>
      </c>
      <c r="Q829" s="26">
        <f t="shared" si="99"/>
        <v>0.91984313725490197</v>
      </c>
      <c r="R829" s="29">
        <f t="shared" si="100"/>
        <v>13.797647058823529</v>
      </c>
      <c r="S829" s="30">
        <f t="shared" si="101"/>
        <v>6</v>
      </c>
      <c r="T829" s="30">
        <f t="shared" si="102"/>
        <v>2023</v>
      </c>
      <c r="U829" s="29" t="str">
        <f t="shared" si="103"/>
        <v>June</v>
      </c>
    </row>
    <row r="830" spans="1:21" ht="17.399999999999999" x14ac:dyDescent="0.3">
      <c r="A830" s="21" t="s">
        <v>1790</v>
      </c>
      <c r="B830" s="22" t="s">
        <v>3763</v>
      </c>
      <c r="C830" s="23" t="s">
        <v>3516</v>
      </c>
      <c r="D830" s="22" t="s">
        <v>3545</v>
      </c>
      <c r="E830" s="24">
        <v>45081</v>
      </c>
      <c r="F830" s="24">
        <v>45097</v>
      </c>
      <c r="G830" s="22" t="s">
        <v>14</v>
      </c>
      <c r="H830" s="25">
        <v>78149</v>
      </c>
      <c r="I830" s="25">
        <v>3283</v>
      </c>
      <c r="J830" s="26">
        <v>2267.39</v>
      </c>
      <c r="K830" s="25">
        <v>226</v>
      </c>
      <c r="L830" s="21" t="s">
        <v>21</v>
      </c>
      <c r="M830" s="22" t="s">
        <v>3537</v>
      </c>
      <c r="N830" s="27">
        <f t="shared" si="96"/>
        <v>16</v>
      </c>
      <c r="O830" s="28">
        <f t="shared" si="97"/>
        <v>4.2009494683233312E-2</v>
      </c>
      <c r="P830" s="28">
        <f t="shared" si="98"/>
        <v>6.8839476088943044E-2</v>
      </c>
      <c r="Q830" s="26">
        <f t="shared" si="99"/>
        <v>0.69064575083764845</v>
      </c>
      <c r="R830" s="29">
        <f t="shared" si="100"/>
        <v>10.032699115044247</v>
      </c>
      <c r="S830" s="30">
        <f t="shared" si="101"/>
        <v>6</v>
      </c>
      <c r="T830" s="30">
        <f t="shared" si="102"/>
        <v>2023</v>
      </c>
      <c r="U830" s="29" t="str">
        <f t="shared" si="103"/>
        <v>June</v>
      </c>
    </row>
    <row r="831" spans="1:21" ht="17.399999999999999" x14ac:dyDescent="0.3">
      <c r="A831" s="21" t="s">
        <v>2194</v>
      </c>
      <c r="B831" s="22" t="s">
        <v>3764</v>
      </c>
      <c r="C831" s="23" t="s">
        <v>3516</v>
      </c>
      <c r="D831" s="22" t="s">
        <v>3545</v>
      </c>
      <c r="E831" s="24">
        <v>45081</v>
      </c>
      <c r="F831" s="24">
        <v>45103</v>
      </c>
      <c r="G831" s="22" t="s">
        <v>24</v>
      </c>
      <c r="H831" s="25">
        <v>58761</v>
      </c>
      <c r="I831" s="25">
        <v>1530</v>
      </c>
      <c r="J831" s="26">
        <v>2837.9</v>
      </c>
      <c r="K831" s="25">
        <v>227</v>
      </c>
      <c r="L831" s="21" t="s">
        <v>17</v>
      </c>
      <c r="M831" s="22" t="s">
        <v>3536</v>
      </c>
      <c r="N831" s="27">
        <f t="shared" si="96"/>
        <v>22</v>
      </c>
      <c r="O831" s="28">
        <f t="shared" si="97"/>
        <v>2.6037678051769032E-2</v>
      </c>
      <c r="P831" s="28">
        <f t="shared" si="98"/>
        <v>0.14836601307189543</v>
      </c>
      <c r="Q831" s="26">
        <f t="shared" si="99"/>
        <v>1.8548366013071895</v>
      </c>
      <c r="R831" s="29">
        <f t="shared" si="100"/>
        <v>12.501762114537446</v>
      </c>
      <c r="S831" s="30">
        <f t="shared" si="101"/>
        <v>6</v>
      </c>
      <c r="T831" s="30">
        <f t="shared" si="102"/>
        <v>2023</v>
      </c>
      <c r="U831" s="29" t="str">
        <f t="shared" si="103"/>
        <v>June</v>
      </c>
    </row>
    <row r="832" spans="1:21" ht="17.399999999999999" x14ac:dyDescent="0.3">
      <c r="A832" s="21" t="s">
        <v>3487</v>
      </c>
      <c r="B832" s="21" t="s">
        <v>3488</v>
      </c>
      <c r="C832" s="23" t="s">
        <v>3516</v>
      </c>
      <c r="D832" s="21" t="s">
        <v>3520</v>
      </c>
      <c r="E832" s="24">
        <v>45081</v>
      </c>
      <c r="F832" s="24">
        <v>45086</v>
      </c>
      <c r="G832" s="22" t="s">
        <v>11</v>
      </c>
      <c r="H832" s="25">
        <v>84186</v>
      </c>
      <c r="I832" s="25">
        <v>1163</v>
      </c>
      <c r="J832" s="26">
        <v>1405.34</v>
      </c>
      <c r="K832" s="25">
        <v>114</v>
      </c>
      <c r="L832" s="21" t="s">
        <v>17</v>
      </c>
      <c r="M832" s="22" t="s">
        <v>11</v>
      </c>
      <c r="N832" s="27">
        <f t="shared" si="96"/>
        <v>5</v>
      </c>
      <c r="O832" s="28">
        <f t="shared" si="97"/>
        <v>1.3814648516380396E-2</v>
      </c>
      <c r="P832" s="28">
        <f t="shared" si="98"/>
        <v>9.8022355975924333E-2</v>
      </c>
      <c r="Q832" s="26">
        <f t="shared" si="99"/>
        <v>1.2083748925193465</v>
      </c>
      <c r="R832" s="29">
        <f t="shared" si="100"/>
        <v>12.327543859649122</v>
      </c>
      <c r="S832" s="30">
        <f t="shared" si="101"/>
        <v>6</v>
      </c>
      <c r="T832" s="30">
        <f t="shared" si="102"/>
        <v>2023</v>
      </c>
      <c r="U832" s="29" t="str">
        <f t="shared" si="103"/>
        <v>June</v>
      </c>
    </row>
    <row r="833" spans="1:21" ht="17.399999999999999" x14ac:dyDescent="0.3">
      <c r="A833" s="21" t="s">
        <v>435</v>
      </c>
      <c r="B833" s="21" t="s">
        <v>436</v>
      </c>
      <c r="C833" s="23" t="s">
        <v>3515</v>
      </c>
      <c r="D833" s="21" t="s">
        <v>3521</v>
      </c>
      <c r="E833" s="24">
        <v>45081</v>
      </c>
      <c r="F833" s="24">
        <v>45092</v>
      </c>
      <c r="G833" s="22" t="s">
        <v>14</v>
      </c>
      <c r="H833" s="25">
        <v>26184</v>
      </c>
      <c r="I833" s="25">
        <v>418</v>
      </c>
      <c r="J833" s="26">
        <v>625.45000000000005</v>
      </c>
      <c r="K833" s="25">
        <v>46</v>
      </c>
      <c r="L833" s="21" t="s">
        <v>21</v>
      </c>
      <c r="M833" s="22" t="s">
        <v>3537</v>
      </c>
      <c r="N833" s="27">
        <f t="shared" si="96"/>
        <v>11</v>
      </c>
      <c r="O833" s="28">
        <f t="shared" si="97"/>
        <v>1.596394744882371E-2</v>
      </c>
      <c r="P833" s="28">
        <f t="shared" si="98"/>
        <v>0.11004784688995216</v>
      </c>
      <c r="Q833" s="26">
        <f t="shared" si="99"/>
        <v>1.4962918660287083</v>
      </c>
      <c r="R833" s="29">
        <f t="shared" si="100"/>
        <v>13.596739130434784</v>
      </c>
      <c r="S833" s="30">
        <f t="shared" si="101"/>
        <v>6</v>
      </c>
      <c r="T833" s="30">
        <f t="shared" si="102"/>
        <v>2023</v>
      </c>
      <c r="U833" s="29" t="str">
        <f t="shared" si="103"/>
        <v>June</v>
      </c>
    </row>
    <row r="834" spans="1:21" ht="17.399999999999999" x14ac:dyDescent="0.3">
      <c r="A834" s="21" t="s">
        <v>617</v>
      </c>
      <c r="B834" s="21" t="s">
        <v>618</v>
      </c>
      <c r="C834" s="23" t="s">
        <v>3515</v>
      </c>
      <c r="D834" s="21" t="s">
        <v>3517</v>
      </c>
      <c r="E834" s="24">
        <v>45081</v>
      </c>
      <c r="F834" s="24">
        <v>45089</v>
      </c>
      <c r="G834" s="22" t="s">
        <v>16</v>
      </c>
      <c r="H834" s="25">
        <v>50377</v>
      </c>
      <c r="I834" s="25">
        <v>1591</v>
      </c>
      <c r="J834" s="26">
        <v>2594.29</v>
      </c>
      <c r="K834" s="25">
        <v>240</v>
      </c>
      <c r="L834" s="21" t="s">
        <v>21</v>
      </c>
      <c r="M834" s="22" t="s">
        <v>16</v>
      </c>
      <c r="N834" s="27">
        <f t="shared" ref="N834:N897" si="104">F834-E834</f>
        <v>8</v>
      </c>
      <c r="O834" s="28">
        <f t="shared" ref="O834:O897" si="105">I834/H834</f>
        <v>3.1581872679992851E-2</v>
      </c>
      <c r="P834" s="28">
        <f t="shared" ref="P834:P897" si="106">K834/I834</f>
        <v>0.15084852294154619</v>
      </c>
      <c r="Q834" s="26">
        <f t="shared" ref="Q834:Q897" si="107">J834/I834</f>
        <v>1.6306033940917661</v>
      </c>
      <c r="R834" s="29">
        <f t="shared" ref="R834:R897" si="108">IFERROR(J834/K834,"0")</f>
        <v>10.809541666666666</v>
      </c>
      <c r="S834" s="30">
        <f t="shared" ref="S834:S897" si="109">MONTH(E834)</f>
        <v>6</v>
      </c>
      <c r="T834" s="30">
        <f t="shared" ref="T834:T897" si="110">YEAR(E834)</f>
        <v>2023</v>
      </c>
      <c r="U834" s="29" t="str">
        <f t="shared" ref="U834:U897" si="111">TEXT(E834,"mmmm")</f>
        <v>June</v>
      </c>
    </row>
    <row r="835" spans="1:21" ht="17.399999999999999" x14ac:dyDescent="0.3">
      <c r="A835" s="21" t="s">
        <v>1876</v>
      </c>
      <c r="B835" s="21" t="s">
        <v>1877</v>
      </c>
      <c r="C835" s="23" t="s">
        <v>3519</v>
      </c>
      <c r="D835" s="21" t="s">
        <v>3517</v>
      </c>
      <c r="E835" s="24">
        <v>45082</v>
      </c>
      <c r="F835" s="24">
        <v>45099</v>
      </c>
      <c r="G835" s="22" t="s">
        <v>24</v>
      </c>
      <c r="H835" s="25">
        <v>88958</v>
      </c>
      <c r="I835" s="25">
        <v>1241</v>
      </c>
      <c r="J835" s="26">
        <v>2471.91</v>
      </c>
      <c r="K835" s="25">
        <v>228</v>
      </c>
      <c r="L835" s="21" t="s">
        <v>17</v>
      </c>
      <c r="M835" s="22" t="s">
        <v>3536</v>
      </c>
      <c r="N835" s="27">
        <f t="shared" si="104"/>
        <v>17</v>
      </c>
      <c r="O835" s="28">
        <f t="shared" si="105"/>
        <v>1.3950403561231143E-2</v>
      </c>
      <c r="P835" s="28">
        <f t="shared" si="106"/>
        <v>0.18372280419016923</v>
      </c>
      <c r="Q835" s="26">
        <f t="shared" si="107"/>
        <v>1.9918694601128122</v>
      </c>
      <c r="R835" s="29">
        <f t="shared" si="108"/>
        <v>10.841710526315788</v>
      </c>
      <c r="S835" s="30">
        <f t="shared" si="109"/>
        <v>6</v>
      </c>
      <c r="T835" s="30">
        <f t="shared" si="110"/>
        <v>2023</v>
      </c>
      <c r="U835" s="29" t="str">
        <f t="shared" si="111"/>
        <v>June</v>
      </c>
    </row>
    <row r="836" spans="1:21" ht="17.399999999999999" x14ac:dyDescent="0.3">
      <c r="A836" s="21" t="s">
        <v>1102</v>
      </c>
      <c r="B836" s="21" t="s">
        <v>1103</v>
      </c>
      <c r="C836" s="23" t="s">
        <v>3518</v>
      </c>
      <c r="D836" s="21" t="s">
        <v>3520</v>
      </c>
      <c r="E836" s="24">
        <v>45082</v>
      </c>
      <c r="F836" s="24">
        <v>45083</v>
      </c>
      <c r="G836" s="22" t="s">
        <v>14</v>
      </c>
      <c r="H836" s="25">
        <v>17779</v>
      </c>
      <c r="I836" s="25">
        <v>672</v>
      </c>
      <c r="J836" s="26">
        <v>1139.5899999999999</v>
      </c>
      <c r="K836" s="25">
        <v>54</v>
      </c>
      <c r="L836" s="21" t="s">
        <v>17</v>
      </c>
      <c r="M836" s="22" t="s">
        <v>3537</v>
      </c>
      <c r="N836" s="27">
        <f t="shared" si="104"/>
        <v>1</v>
      </c>
      <c r="O836" s="28">
        <f t="shared" si="105"/>
        <v>3.7797401428651782E-2</v>
      </c>
      <c r="P836" s="28">
        <f t="shared" si="106"/>
        <v>8.0357142857142863E-2</v>
      </c>
      <c r="Q836" s="26">
        <f t="shared" si="107"/>
        <v>1.6958184523809523</v>
      </c>
      <c r="R836" s="29">
        <f t="shared" si="108"/>
        <v>21.103518518518516</v>
      </c>
      <c r="S836" s="30">
        <f t="shared" si="109"/>
        <v>6</v>
      </c>
      <c r="T836" s="30">
        <f t="shared" si="110"/>
        <v>2023</v>
      </c>
      <c r="U836" s="29" t="str">
        <f t="shared" si="111"/>
        <v>June</v>
      </c>
    </row>
    <row r="837" spans="1:21" ht="17.399999999999999" x14ac:dyDescent="0.3">
      <c r="A837" s="21" t="s">
        <v>1583</v>
      </c>
      <c r="B837" s="21" t="s">
        <v>1584</v>
      </c>
      <c r="C837" s="23" t="s">
        <v>3518</v>
      </c>
      <c r="D837" s="21" t="s">
        <v>3520</v>
      </c>
      <c r="E837" s="24">
        <v>45082</v>
      </c>
      <c r="F837" s="24">
        <v>45089</v>
      </c>
      <c r="G837" s="22" t="s">
        <v>24</v>
      </c>
      <c r="H837" s="25">
        <v>37586</v>
      </c>
      <c r="I837" s="25">
        <v>1320</v>
      </c>
      <c r="J837" s="26">
        <v>2506.44</v>
      </c>
      <c r="K837" s="25">
        <v>119</v>
      </c>
      <c r="L837" s="21" t="s">
        <v>21</v>
      </c>
      <c r="M837" s="22" t="s">
        <v>3536</v>
      </c>
      <c r="N837" s="27">
        <f t="shared" si="104"/>
        <v>7</v>
      </c>
      <c r="O837" s="28">
        <f t="shared" si="105"/>
        <v>3.5119459373170861E-2</v>
      </c>
      <c r="P837" s="28">
        <f t="shared" si="106"/>
        <v>9.0151515151515149E-2</v>
      </c>
      <c r="Q837" s="26">
        <f t="shared" si="107"/>
        <v>1.898818181818182</v>
      </c>
      <c r="R837" s="29">
        <f t="shared" si="108"/>
        <v>21.062521008403362</v>
      </c>
      <c r="S837" s="30">
        <f t="shared" si="109"/>
        <v>6</v>
      </c>
      <c r="T837" s="30">
        <f t="shared" si="110"/>
        <v>2023</v>
      </c>
      <c r="U837" s="29" t="str">
        <f t="shared" si="111"/>
        <v>June</v>
      </c>
    </row>
    <row r="838" spans="1:21" ht="17.399999999999999" x14ac:dyDescent="0.3">
      <c r="A838" s="21" t="s">
        <v>2145</v>
      </c>
      <c r="B838" s="21" t="s">
        <v>2146</v>
      </c>
      <c r="C838" s="23" t="s">
        <v>3518</v>
      </c>
      <c r="D838" s="21" t="s">
        <v>3521</v>
      </c>
      <c r="E838" s="24">
        <v>45082</v>
      </c>
      <c r="F838" s="24">
        <v>45100</v>
      </c>
      <c r="G838" s="22" t="s">
        <v>11</v>
      </c>
      <c r="H838" s="25">
        <v>14718</v>
      </c>
      <c r="I838" s="25">
        <v>698</v>
      </c>
      <c r="J838" s="26">
        <v>534.66</v>
      </c>
      <c r="K838" s="25">
        <v>109</v>
      </c>
      <c r="L838" s="21" t="s">
        <v>17</v>
      </c>
      <c r="M838" s="22" t="s">
        <v>11</v>
      </c>
      <c r="N838" s="27">
        <f t="shared" si="104"/>
        <v>18</v>
      </c>
      <c r="O838" s="28">
        <f t="shared" si="105"/>
        <v>4.7424921864383747E-2</v>
      </c>
      <c r="P838" s="28">
        <f t="shared" si="106"/>
        <v>0.15616045845272206</v>
      </c>
      <c r="Q838" s="26">
        <f t="shared" si="107"/>
        <v>0.76598853868194838</v>
      </c>
      <c r="R838" s="29">
        <f t="shared" si="108"/>
        <v>4.9051376146788987</v>
      </c>
      <c r="S838" s="30">
        <f t="shared" si="109"/>
        <v>6</v>
      </c>
      <c r="T838" s="30">
        <f t="shared" si="110"/>
        <v>2023</v>
      </c>
      <c r="U838" s="29" t="str">
        <f t="shared" si="111"/>
        <v>June</v>
      </c>
    </row>
    <row r="839" spans="1:21" ht="17.399999999999999" x14ac:dyDescent="0.3">
      <c r="A839" s="21" t="s">
        <v>453</v>
      </c>
      <c r="B839" s="21" t="s">
        <v>454</v>
      </c>
      <c r="C839" s="23" t="s">
        <v>3515</v>
      </c>
      <c r="D839" s="21" t="s">
        <v>3521</v>
      </c>
      <c r="E839" s="24">
        <v>45082</v>
      </c>
      <c r="F839" s="24">
        <v>45093</v>
      </c>
      <c r="G839" s="22" t="s">
        <v>11</v>
      </c>
      <c r="H839" s="25">
        <v>73082</v>
      </c>
      <c r="I839" s="25">
        <v>1333</v>
      </c>
      <c r="J839" s="26">
        <v>1978.28</v>
      </c>
      <c r="K839" s="25">
        <v>0</v>
      </c>
      <c r="L839" s="21" t="s">
        <v>21</v>
      </c>
      <c r="M839" s="22" t="s">
        <v>11</v>
      </c>
      <c r="N839" s="27">
        <f t="shared" si="104"/>
        <v>11</v>
      </c>
      <c r="O839" s="28">
        <f t="shared" si="105"/>
        <v>1.8239785446484771E-2</v>
      </c>
      <c r="P839" s="28">
        <f t="shared" si="106"/>
        <v>0</v>
      </c>
      <c r="Q839" s="26">
        <f t="shared" si="107"/>
        <v>1.4840810202550638</v>
      </c>
      <c r="R839" s="29" t="str">
        <f t="shared" si="108"/>
        <v>0</v>
      </c>
      <c r="S839" s="30">
        <f t="shared" si="109"/>
        <v>6</v>
      </c>
      <c r="T839" s="30">
        <f t="shared" si="110"/>
        <v>2023</v>
      </c>
      <c r="U839" s="29" t="str">
        <f t="shared" si="111"/>
        <v>June</v>
      </c>
    </row>
    <row r="840" spans="1:21" ht="17.399999999999999" x14ac:dyDescent="0.3">
      <c r="A840" s="21" t="s">
        <v>2611</v>
      </c>
      <c r="B840" s="22" t="s">
        <v>3765</v>
      </c>
      <c r="C840" s="23" t="s">
        <v>3518</v>
      </c>
      <c r="D840" s="22" t="s">
        <v>3545</v>
      </c>
      <c r="E840" s="24">
        <v>45083</v>
      </c>
      <c r="F840" s="24">
        <v>45103</v>
      </c>
      <c r="G840" s="22" t="s">
        <v>11</v>
      </c>
      <c r="H840" s="25">
        <v>29145</v>
      </c>
      <c r="I840" s="25">
        <v>1418</v>
      </c>
      <c r="J840" s="26">
        <v>961.39</v>
      </c>
      <c r="K840" s="25">
        <v>0</v>
      </c>
      <c r="L840" s="21" t="s">
        <v>21</v>
      </c>
      <c r="M840" s="22" t="s">
        <v>11</v>
      </c>
      <c r="N840" s="27">
        <f t="shared" si="104"/>
        <v>20</v>
      </c>
      <c r="O840" s="28">
        <f t="shared" si="105"/>
        <v>4.865328529764968E-2</v>
      </c>
      <c r="P840" s="28">
        <f t="shared" si="106"/>
        <v>0</v>
      </c>
      <c r="Q840" s="26">
        <f t="shared" si="107"/>
        <v>0.67799012693935123</v>
      </c>
      <c r="R840" s="29" t="str">
        <f t="shared" si="108"/>
        <v>0</v>
      </c>
      <c r="S840" s="30">
        <f t="shared" si="109"/>
        <v>6</v>
      </c>
      <c r="T840" s="30">
        <f t="shared" si="110"/>
        <v>2023</v>
      </c>
      <c r="U840" s="29" t="str">
        <f t="shared" si="111"/>
        <v>June</v>
      </c>
    </row>
    <row r="841" spans="1:21" ht="17.399999999999999" x14ac:dyDescent="0.3">
      <c r="A841" s="21" t="s">
        <v>461</v>
      </c>
      <c r="B841" s="21" t="s">
        <v>462</v>
      </c>
      <c r="C841" s="23" t="s">
        <v>3516</v>
      </c>
      <c r="D841" s="21" t="s">
        <v>3521</v>
      </c>
      <c r="E841" s="24">
        <v>45083</v>
      </c>
      <c r="F841" s="24">
        <v>45084</v>
      </c>
      <c r="G841" s="22" t="s">
        <v>16</v>
      </c>
      <c r="H841" s="25">
        <v>68270</v>
      </c>
      <c r="I841" s="25">
        <v>1069</v>
      </c>
      <c r="J841" s="26">
        <v>1816.85</v>
      </c>
      <c r="K841" s="25">
        <v>0</v>
      </c>
      <c r="L841" s="21" t="s">
        <v>21</v>
      </c>
      <c r="M841" s="22" t="s">
        <v>16</v>
      </c>
      <c r="N841" s="27">
        <f t="shared" si="104"/>
        <v>1</v>
      </c>
      <c r="O841" s="28">
        <f t="shared" si="105"/>
        <v>1.5658415116449394E-2</v>
      </c>
      <c r="P841" s="28">
        <f t="shared" si="106"/>
        <v>0</v>
      </c>
      <c r="Q841" s="26">
        <f t="shared" si="107"/>
        <v>1.6995790458372311</v>
      </c>
      <c r="R841" s="29" t="str">
        <f t="shared" si="108"/>
        <v>0</v>
      </c>
      <c r="S841" s="30">
        <f t="shared" si="109"/>
        <v>6</v>
      </c>
      <c r="T841" s="30">
        <f t="shared" si="110"/>
        <v>2023</v>
      </c>
      <c r="U841" s="29" t="str">
        <f t="shared" si="111"/>
        <v>June</v>
      </c>
    </row>
    <row r="842" spans="1:21" ht="17.399999999999999" x14ac:dyDescent="0.3">
      <c r="A842" s="21" t="s">
        <v>1653</v>
      </c>
      <c r="B842" s="21" t="s">
        <v>1654</v>
      </c>
      <c r="C842" s="23" t="s">
        <v>3516</v>
      </c>
      <c r="D842" s="21" t="s">
        <v>3517</v>
      </c>
      <c r="E842" s="24">
        <v>45083</v>
      </c>
      <c r="F842" s="24">
        <v>45085</v>
      </c>
      <c r="G842" s="22" t="s">
        <v>11</v>
      </c>
      <c r="H842" s="25">
        <v>56645</v>
      </c>
      <c r="I842" s="25">
        <v>2139</v>
      </c>
      <c r="J842" s="26">
        <v>1410.68</v>
      </c>
      <c r="K842" s="25">
        <v>401</v>
      </c>
      <c r="L842" s="21" t="s">
        <v>17</v>
      </c>
      <c r="M842" s="22" t="s">
        <v>11</v>
      </c>
      <c r="N842" s="27">
        <f t="shared" si="104"/>
        <v>2</v>
      </c>
      <c r="O842" s="28">
        <f t="shared" si="105"/>
        <v>3.7761497042987022E-2</v>
      </c>
      <c r="P842" s="28">
        <f t="shared" si="106"/>
        <v>0.18747078073866294</v>
      </c>
      <c r="Q842" s="26">
        <f t="shared" si="107"/>
        <v>0.65950444132772323</v>
      </c>
      <c r="R842" s="29">
        <f t="shared" si="108"/>
        <v>3.517905236907731</v>
      </c>
      <c r="S842" s="30">
        <f t="shared" si="109"/>
        <v>6</v>
      </c>
      <c r="T842" s="30">
        <f t="shared" si="110"/>
        <v>2023</v>
      </c>
      <c r="U842" s="29" t="str">
        <f t="shared" si="111"/>
        <v>June</v>
      </c>
    </row>
    <row r="843" spans="1:21" ht="17.399999999999999" x14ac:dyDescent="0.3">
      <c r="A843" s="21" t="s">
        <v>2190</v>
      </c>
      <c r="B843" s="21" t="s">
        <v>2191</v>
      </c>
      <c r="C843" s="23" t="s">
        <v>3515</v>
      </c>
      <c r="D843" s="21" t="s">
        <v>3517</v>
      </c>
      <c r="E843" s="24">
        <v>45083</v>
      </c>
      <c r="F843" s="24">
        <v>45110</v>
      </c>
      <c r="G843" s="22" t="s">
        <v>14</v>
      </c>
      <c r="H843" s="25">
        <v>9577</v>
      </c>
      <c r="I843" s="25">
        <v>351</v>
      </c>
      <c r="J843" s="26">
        <v>205.57</v>
      </c>
      <c r="K843" s="25">
        <v>27</v>
      </c>
      <c r="L843" s="21" t="s">
        <v>17</v>
      </c>
      <c r="M843" s="22" t="s">
        <v>3537</v>
      </c>
      <c r="N843" s="27">
        <f t="shared" si="104"/>
        <v>27</v>
      </c>
      <c r="O843" s="28">
        <f t="shared" si="105"/>
        <v>3.6650308029654383E-2</v>
      </c>
      <c r="P843" s="28">
        <f t="shared" si="106"/>
        <v>7.6923076923076927E-2</v>
      </c>
      <c r="Q843" s="26">
        <f t="shared" si="107"/>
        <v>0.58566951566951564</v>
      </c>
      <c r="R843" s="29">
        <f t="shared" si="108"/>
        <v>7.6137037037037034</v>
      </c>
      <c r="S843" s="30">
        <f t="shared" si="109"/>
        <v>6</v>
      </c>
      <c r="T843" s="30">
        <f t="shared" si="110"/>
        <v>2023</v>
      </c>
      <c r="U843" s="29" t="str">
        <f t="shared" si="111"/>
        <v>June</v>
      </c>
    </row>
    <row r="844" spans="1:21" ht="17.399999999999999" x14ac:dyDescent="0.3">
      <c r="A844" s="21" t="s">
        <v>1915</v>
      </c>
      <c r="B844" s="21" t="s">
        <v>1916</v>
      </c>
      <c r="C844" s="23" t="s">
        <v>3519</v>
      </c>
      <c r="D844" s="21" t="s">
        <v>3517</v>
      </c>
      <c r="E844" s="24">
        <v>45084</v>
      </c>
      <c r="F844" s="24">
        <v>45088</v>
      </c>
      <c r="G844" s="22" t="s">
        <v>24</v>
      </c>
      <c r="H844" s="25">
        <v>9567</v>
      </c>
      <c r="I844" s="25">
        <v>417</v>
      </c>
      <c r="J844" s="26">
        <v>237.88</v>
      </c>
      <c r="K844" s="25">
        <v>22</v>
      </c>
      <c r="L844" s="21" t="s">
        <v>17</v>
      </c>
      <c r="M844" s="22" t="s">
        <v>3536</v>
      </c>
      <c r="N844" s="27">
        <f t="shared" si="104"/>
        <v>4</v>
      </c>
      <c r="O844" s="28">
        <f t="shared" si="105"/>
        <v>4.3587331451865788E-2</v>
      </c>
      <c r="P844" s="28">
        <f t="shared" si="106"/>
        <v>5.2757793764988008E-2</v>
      </c>
      <c r="Q844" s="26">
        <f t="shared" si="107"/>
        <v>0.57045563549160672</v>
      </c>
      <c r="R844" s="29">
        <f t="shared" si="108"/>
        <v>10.812727272727273</v>
      </c>
      <c r="S844" s="30">
        <f t="shared" si="109"/>
        <v>6</v>
      </c>
      <c r="T844" s="30">
        <f t="shared" si="110"/>
        <v>2023</v>
      </c>
      <c r="U844" s="29" t="str">
        <f t="shared" si="111"/>
        <v>June</v>
      </c>
    </row>
    <row r="845" spans="1:21" ht="17.399999999999999" x14ac:dyDescent="0.3">
      <c r="A845" s="21" t="s">
        <v>1532</v>
      </c>
      <c r="B845" s="21" t="s">
        <v>1533</v>
      </c>
      <c r="C845" s="23" t="s">
        <v>3518</v>
      </c>
      <c r="D845" s="21" t="s">
        <v>3517</v>
      </c>
      <c r="E845" s="24">
        <v>45084</v>
      </c>
      <c r="F845" s="24">
        <v>45113</v>
      </c>
      <c r="G845" s="22" t="s">
        <v>11</v>
      </c>
      <c r="H845" s="25">
        <v>7949</v>
      </c>
      <c r="I845" s="25">
        <v>153</v>
      </c>
      <c r="J845" s="26">
        <v>229.49</v>
      </c>
      <c r="K845" s="25">
        <v>15</v>
      </c>
      <c r="L845" s="21" t="s">
        <v>17</v>
      </c>
      <c r="M845" s="22" t="s">
        <v>11</v>
      </c>
      <c r="N845" s="27">
        <f t="shared" si="104"/>
        <v>29</v>
      </c>
      <c r="O845" s="28">
        <f t="shared" si="105"/>
        <v>1.9247704113724996E-2</v>
      </c>
      <c r="P845" s="28">
        <f t="shared" si="106"/>
        <v>9.8039215686274508E-2</v>
      </c>
      <c r="Q845" s="26">
        <f t="shared" si="107"/>
        <v>1.499934640522876</v>
      </c>
      <c r="R845" s="29">
        <f t="shared" si="108"/>
        <v>15.299333333333333</v>
      </c>
      <c r="S845" s="30">
        <f t="shared" si="109"/>
        <v>6</v>
      </c>
      <c r="T845" s="30">
        <f t="shared" si="110"/>
        <v>2023</v>
      </c>
      <c r="U845" s="29" t="str">
        <f t="shared" si="111"/>
        <v>June</v>
      </c>
    </row>
    <row r="846" spans="1:21" ht="17.399999999999999" x14ac:dyDescent="0.3">
      <c r="A846" s="21" t="s">
        <v>1888</v>
      </c>
      <c r="B846" s="21" t="s">
        <v>1889</v>
      </c>
      <c r="C846" s="23" t="s">
        <v>3518</v>
      </c>
      <c r="D846" s="21" t="s">
        <v>3520</v>
      </c>
      <c r="E846" s="24">
        <v>45084</v>
      </c>
      <c r="F846" s="24">
        <v>45113</v>
      </c>
      <c r="G846" s="22" t="s">
        <v>31</v>
      </c>
      <c r="H846" s="25">
        <v>2342</v>
      </c>
      <c r="I846" s="25">
        <v>71</v>
      </c>
      <c r="J846" s="26">
        <v>131.63999999999999</v>
      </c>
      <c r="K846" s="25">
        <v>10</v>
      </c>
      <c r="L846" s="21" t="s">
        <v>21</v>
      </c>
      <c r="M846" s="22" t="s">
        <v>31</v>
      </c>
      <c r="N846" s="27">
        <f t="shared" si="104"/>
        <v>29</v>
      </c>
      <c r="O846" s="28">
        <f t="shared" si="105"/>
        <v>3.0315969257045262E-2</v>
      </c>
      <c r="P846" s="28">
        <f t="shared" si="106"/>
        <v>0.14084507042253522</v>
      </c>
      <c r="Q846" s="26">
        <f t="shared" si="107"/>
        <v>1.8540845070422534</v>
      </c>
      <c r="R846" s="29">
        <f t="shared" si="108"/>
        <v>13.163999999999998</v>
      </c>
      <c r="S846" s="30">
        <f t="shared" si="109"/>
        <v>6</v>
      </c>
      <c r="T846" s="30">
        <f t="shared" si="110"/>
        <v>2023</v>
      </c>
      <c r="U846" s="29" t="str">
        <f t="shared" si="111"/>
        <v>June</v>
      </c>
    </row>
    <row r="847" spans="1:21" ht="17.399999999999999" x14ac:dyDescent="0.3">
      <c r="A847" s="21" t="s">
        <v>2233</v>
      </c>
      <c r="B847" s="21" t="s">
        <v>2234</v>
      </c>
      <c r="C847" s="23" t="s">
        <v>3518</v>
      </c>
      <c r="D847" s="21" t="s">
        <v>3517</v>
      </c>
      <c r="E847" s="24">
        <v>45084</v>
      </c>
      <c r="F847" s="24">
        <v>45107</v>
      </c>
      <c r="G847" s="22" t="s">
        <v>16</v>
      </c>
      <c r="H847" s="25">
        <v>50840</v>
      </c>
      <c r="I847" s="25">
        <v>985</v>
      </c>
      <c r="J847" s="26">
        <v>1125.1400000000001</v>
      </c>
      <c r="K847" s="25">
        <v>101</v>
      </c>
      <c r="L847" s="21" t="s">
        <v>21</v>
      </c>
      <c r="M847" s="22" t="s">
        <v>16</v>
      </c>
      <c r="N847" s="27">
        <f t="shared" si="104"/>
        <v>23</v>
      </c>
      <c r="O847" s="28">
        <f t="shared" si="105"/>
        <v>1.9374508261211645E-2</v>
      </c>
      <c r="P847" s="28">
        <f t="shared" si="106"/>
        <v>0.10253807106598985</v>
      </c>
      <c r="Q847" s="26">
        <f t="shared" si="107"/>
        <v>1.1422741116751269</v>
      </c>
      <c r="R847" s="29">
        <f t="shared" si="108"/>
        <v>11.14</v>
      </c>
      <c r="S847" s="30">
        <f t="shared" si="109"/>
        <v>6</v>
      </c>
      <c r="T847" s="30">
        <f t="shared" si="110"/>
        <v>2023</v>
      </c>
      <c r="U847" s="29" t="str">
        <f t="shared" si="111"/>
        <v>June</v>
      </c>
    </row>
    <row r="848" spans="1:21" ht="17.399999999999999" x14ac:dyDescent="0.3">
      <c r="A848" s="21" t="s">
        <v>3305</v>
      </c>
      <c r="B848" s="21" t="s">
        <v>3306</v>
      </c>
      <c r="C848" s="23" t="s">
        <v>3516</v>
      </c>
      <c r="D848" s="21" t="s">
        <v>3517</v>
      </c>
      <c r="E848" s="24">
        <v>45084</v>
      </c>
      <c r="F848" s="24">
        <v>45085</v>
      </c>
      <c r="G848" s="22" t="s">
        <v>14</v>
      </c>
      <c r="H848" s="25">
        <v>80083</v>
      </c>
      <c r="I848" s="25">
        <v>2177</v>
      </c>
      <c r="J848" s="26">
        <v>1523.94</v>
      </c>
      <c r="K848" s="25">
        <v>142</v>
      </c>
      <c r="L848" s="21" t="s">
        <v>17</v>
      </c>
      <c r="M848" s="22" t="s">
        <v>3537</v>
      </c>
      <c r="N848" s="27">
        <f t="shared" si="104"/>
        <v>1</v>
      </c>
      <c r="O848" s="28">
        <f t="shared" si="105"/>
        <v>2.718429629259643E-2</v>
      </c>
      <c r="P848" s="28">
        <f t="shared" si="106"/>
        <v>6.5227377124483232E-2</v>
      </c>
      <c r="Q848" s="26">
        <f t="shared" si="107"/>
        <v>0.7000183739090492</v>
      </c>
      <c r="R848" s="29">
        <f t="shared" si="108"/>
        <v>10.731971830985916</v>
      </c>
      <c r="S848" s="30">
        <f t="shared" si="109"/>
        <v>6</v>
      </c>
      <c r="T848" s="30">
        <f t="shared" si="110"/>
        <v>2023</v>
      </c>
      <c r="U848" s="29" t="str">
        <f t="shared" si="111"/>
        <v>June</v>
      </c>
    </row>
    <row r="849" spans="1:21" ht="17.399999999999999" x14ac:dyDescent="0.3">
      <c r="A849" s="21" t="s">
        <v>101</v>
      </c>
      <c r="B849" s="22" t="s">
        <v>3766</v>
      </c>
      <c r="C849" s="23" t="s">
        <v>3515</v>
      </c>
      <c r="D849" s="22" t="s">
        <v>3545</v>
      </c>
      <c r="E849" s="24">
        <v>45084</v>
      </c>
      <c r="F849" s="24">
        <v>45094</v>
      </c>
      <c r="G849" s="22" t="s">
        <v>31</v>
      </c>
      <c r="H849" s="25">
        <v>24897</v>
      </c>
      <c r="I849" s="25">
        <v>908</v>
      </c>
      <c r="J849" s="26">
        <v>1507.73</v>
      </c>
      <c r="K849" s="25">
        <v>141</v>
      </c>
      <c r="L849" s="21" t="s">
        <v>21</v>
      </c>
      <c r="M849" s="22" t="s">
        <v>31</v>
      </c>
      <c r="N849" s="27">
        <f t="shared" si="104"/>
        <v>10</v>
      </c>
      <c r="O849" s="28">
        <f t="shared" si="105"/>
        <v>3.6470257460738238E-2</v>
      </c>
      <c r="P849" s="28">
        <f t="shared" si="106"/>
        <v>0.15528634361233482</v>
      </c>
      <c r="Q849" s="26">
        <f t="shared" si="107"/>
        <v>1.6604955947136564</v>
      </c>
      <c r="R849" s="29">
        <f t="shared" si="108"/>
        <v>10.693120567375887</v>
      </c>
      <c r="S849" s="30">
        <f t="shared" si="109"/>
        <v>6</v>
      </c>
      <c r="T849" s="30">
        <f t="shared" si="110"/>
        <v>2023</v>
      </c>
      <c r="U849" s="29" t="str">
        <f t="shared" si="111"/>
        <v>June</v>
      </c>
    </row>
    <row r="850" spans="1:21" ht="17.399999999999999" x14ac:dyDescent="0.3">
      <c r="A850" s="21" t="s">
        <v>1337</v>
      </c>
      <c r="B850" s="22" t="s">
        <v>3767</v>
      </c>
      <c r="C850" s="23" t="s">
        <v>3515</v>
      </c>
      <c r="D850" s="22" t="s">
        <v>3545</v>
      </c>
      <c r="E850" s="24">
        <v>45084</v>
      </c>
      <c r="F850" s="24">
        <v>45114</v>
      </c>
      <c r="G850" s="22" t="s">
        <v>24</v>
      </c>
      <c r="H850" s="25">
        <v>67203</v>
      </c>
      <c r="I850" s="25">
        <v>720</v>
      </c>
      <c r="J850" s="26">
        <v>1320.74</v>
      </c>
      <c r="K850" s="25">
        <v>120</v>
      </c>
      <c r="L850" s="21" t="s">
        <v>17</v>
      </c>
      <c r="M850" s="22" t="s">
        <v>3536</v>
      </c>
      <c r="N850" s="27">
        <f t="shared" si="104"/>
        <v>30</v>
      </c>
      <c r="O850" s="28">
        <f t="shared" si="105"/>
        <v>1.0713807419311638E-2</v>
      </c>
      <c r="P850" s="28">
        <f t="shared" si="106"/>
        <v>0.16666666666666666</v>
      </c>
      <c r="Q850" s="26">
        <f t="shared" si="107"/>
        <v>1.8343611111111111</v>
      </c>
      <c r="R850" s="29">
        <f t="shared" si="108"/>
        <v>11.006166666666667</v>
      </c>
      <c r="S850" s="30">
        <f t="shared" si="109"/>
        <v>6</v>
      </c>
      <c r="T850" s="30">
        <f t="shared" si="110"/>
        <v>2023</v>
      </c>
      <c r="U850" s="29" t="str">
        <f t="shared" si="111"/>
        <v>June</v>
      </c>
    </row>
    <row r="851" spans="1:21" ht="17.399999999999999" x14ac:dyDescent="0.3">
      <c r="A851" s="21" t="s">
        <v>2932</v>
      </c>
      <c r="B851" s="21" t="s">
        <v>2933</v>
      </c>
      <c r="C851" s="23" t="s">
        <v>3515</v>
      </c>
      <c r="D851" s="21" t="s">
        <v>3517</v>
      </c>
      <c r="E851" s="24">
        <v>45084</v>
      </c>
      <c r="F851" s="24">
        <v>45099</v>
      </c>
      <c r="G851" s="22" t="s">
        <v>16</v>
      </c>
      <c r="H851" s="25">
        <v>25578</v>
      </c>
      <c r="I851" s="25">
        <v>487</v>
      </c>
      <c r="J851" s="26">
        <v>620.20000000000005</v>
      </c>
      <c r="K851" s="25">
        <v>36</v>
      </c>
      <c r="L851" s="21" t="s">
        <v>21</v>
      </c>
      <c r="M851" s="22" t="s">
        <v>16</v>
      </c>
      <c r="N851" s="27">
        <f t="shared" si="104"/>
        <v>15</v>
      </c>
      <c r="O851" s="28">
        <f t="shared" si="105"/>
        <v>1.9039799827977169E-2</v>
      </c>
      <c r="P851" s="28">
        <f t="shared" si="106"/>
        <v>7.3921971252566734E-2</v>
      </c>
      <c r="Q851" s="26">
        <f t="shared" si="107"/>
        <v>1.273511293634497</v>
      </c>
      <c r="R851" s="29">
        <f t="shared" si="108"/>
        <v>17.227777777777778</v>
      </c>
      <c r="S851" s="30">
        <f t="shared" si="109"/>
        <v>6</v>
      </c>
      <c r="T851" s="30">
        <f t="shared" si="110"/>
        <v>2023</v>
      </c>
      <c r="U851" s="29" t="str">
        <f t="shared" si="111"/>
        <v>June</v>
      </c>
    </row>
    <row r="852" spans="1:21" ht="17.399999999999999" x14ac:dyDescent="0.3">
      <c r="A852" s="21" t="s">
        <v>3228</v>
      </c>
      <c r="B852" s="22" t="s">
        <v>3768</v>
      </c>
      <c r="C852" s="23" t="s">
        <v>3518</v>
      </c>
      <c r="D852" s="22" t="s">
        <v>3545</v>
      </c>
      <c r="E852" s="24">
        <v>45085</v>
      </c>
      <c r="F852" s="24">
        <v>45095</v>
      </c>
      <c r="G852" s="22" t="s">
        <v>24</v>
      </c>
      <c r="H852" s="25">
        <v>98883</v>
      </c>
      <c r="I852" s="25">
        <v>1819</v>
      </c>
      <c r="J852" s="26">
        <v>1471.59</v>
      </c>
      <c r="K852" s="25">
        <v>126</v>
      </c>
      <c r="L852" s="21" t="s">
        <v>21</v>
      </c>
      <c r="M852" s="22" t="s">
        <v>3536</v>
      </c>
      <c r="N852" s="27">
        <f t="shared" si="104"/>
        <v>10</v>
      </c>
      <c r="O852" s="28">
        <f t="shared" si="105"/>
        <v>1.8395477483490588E-2</v>
      </c>
      <c r="P852" s="28">
        <f t="shared" si="106"/>
        <v>6.9268829026937873E-2</v>
      </c>
      <c r="Q852" s="26">
        <f t="shared" si="107"/>
        <v>0.80901044529961508</v>
      </c>
      <c r="R852" s="29">
        <f t="shared" si="108"/>
        <v>11.679285714285713</v>
      </c>
      <c r="S852" s="30">
        <f t="shared" si="109"/>
        <v>6</v>
      </c>
      <c r="T852" s="30">
        <f t="shared" si="110"/>
        <v>2023</v>
      </c>
      <c r="U852" s="29" t="str">
        <f t="shared" si="111"/>
        <v>June</v>
      </c>
    </row>
    <row r="853" spans="1:21" ht="17.399999999999999" x14ac:dyDescent="0.3">
      <c r="A853" s="21" t="s">
        <v>639</v>
      </c>
      <c r="B853" s="22" t="s">
        <v>3769</v>
      </c>
      <c r="C853" s="23" t="s">
        <v>3516</v>
      </c>
      <c r="D853" s="22" t="s">
        <v>3545</v>
      </c>
      <c r="E853" s="24">
        <v>45085</v>
      </c>
      <c r="F853" s="24">
        <v>45166</v>
      </c>
      <c r="G853" s="22" t="s">
        <v>3535</v>
      </c>
      <c r="H853" s="25">
        <v>74744</v>
      </c>
      <c r="I853" s="25">
        <v>3609</v>
      </c>
      <c r="J853" s="26">
        <v>4881.88</v>
      </c>
      <c r="K853" s="25">
        <v>516</v>
      </c>
      <c r="L853" s="21" t="s">
        <v>17</v>
      </c>
      <c r="M853" s="22" t="s">
        <v>3535</v>
      </c>
      <c r="N853" s="27">
        <f t="shared" si="104"/>
        <v>81</v>
      </c>
      <c r="O853" s="28">
        <f t="shared" si="105"/>
        <v>4.828481215883549E-2</v>
      </c>
      <c r="P853" s="28">
        <f t="shared" si="106"/>
        <v>0.14297589359933499</v>
      </c>
      <c r="Q853" s="26">
        <f t="shared" si="107"/>
        <v>1.3526960376835688</v>
      </c>
      <c r="R853" s="29">
        <f t="shared" si="108"/>
        <v>9.4610077519379843</v>
      </c>
      <c r="S853" s="30">
        <f t="shared" si="109"/>
        <v>6</v>
      </c>
      <c r="T853" s="30">
        <f t="shared" si="110"/>
        <v>2023</v>
      </c>
      <c r="U853" s="29" t="str">
        <f t="shared" si="111"/>
        <v>June</v>
      </c>
    </row>
    <row r="854" spans="1:21" ht="17.399999999999999" x14ac:dyDescent="0.3">
      <c r="A854" s="21" t="s">
        <v>1010</v>
      </c>
      <c r="B854" s="21" t="s">
        <v>1011</v>
      </c>
      <c r="C854" s="23" t="s">
        <v>3516</v>
      </c>
      <c r="D854" s="21" t="s">
        <v>3520</v>
      </c>
      <c r="E854" s="24">
        <v>45085</v>
      </c>
      <c r="F854" s="24">
        <v>45104</v>
      </c>
      <c r="G854" s="22" t="s">
        <v>16</v>
      </c>
      <c r="H854" s="25">
        <v>76353</v>
      </c>
      <c r="I854" s="25">
        <v>1612</v>
      </c>
      <c r="J854" s="26">
        <v>1026.94</v>
      </c>
      <c r="K854" s="25">
        <v>80</v>
      </c>
      <c r="L854" s="21" t="s">
        <v>21</v>
      </c>
      <c r="M854" s="22" t="s">
        <v>16</v>
      </c>
      <c r="N854" s="27">
        <f t="shared" si="104"/>
        <v>19</v>
      </c>
      <c r="O854" s="28">
        <f t="shared" si="105"/>
        <v>2.1112464474218433E-2</v>
      </c>
      <c r="P854" s="28">
        <f t="shared" si="106"/>
        <v>4.9627791563275438E-2</v>
      </c>
      <c r="Q854" s="26">
        <f t="shared" si="107"/>
        <v>0.63705955334987596</v>
      </c>
      <c r="R854" s="29">
        <f t="shared" si="108"/>
        <v>12.83675</v>
      </c>
      <c r="S854" s="30">
        <f t="shared" si="109"/>
        <v>6</v>
      </c>
      <c r="T854" s="30">
        <f t="shared" si="110"/>
        <v>2023</v>
      </c>
      <c r="U854" s="29" t="str">
        <f t="shared" si="111"/>
        <v>June</v>
      </c>
    </row>
    <row r="855" spans="1:21" ht="17.399999999999999" x14ac:dyDescent="0.3">
      <c r="A855" s="21" t="s">
        <v>1965</v>
      </c>
      <c r="B855" s="22" t="s">
        <v>3770</v>
      </c>
      <c r="C855" s="23" t="s">
        <v>3519</v>
      </c>
      <c r="D855" s="22" t="s">
        <v>3545</v>
      </c>
      <c r="E855" s="24">
        <v>45085</v>
      </c>
      <c r="F855" s="24">
        <v>45090</v>
      </c>
      <c r="G855" s="22" t="s">
        <v>14</v>
      </c>
      <c r="H855" s="25">
        <v>12954</v>
      </c>
      <c r="I855" s="25">
        <v>530</v>
      </c>
      <c r="J855" s="26">
        <v>935.79</v>
      </c>
      <c r="K855" s="25">
        <v>102</v>
      </c>
      <c r="L855" s="21" t="s">
        <v>21</v>
      </c>
      <c r="M855" s="22" t="s">
        <v>3537</v>
      </c>
      <c r="N855" s="27">
        <f t="shared" si="104"/>
        <v>5</v>
      </c>
      <c r="O855" s="28">
        <f t="shared" si="105"/>
        <v>4.0914003396634244E-2</v>
      </c>
      <c r="P855" s="28">
        <f t="shared" si="106"/>
        <v>0.19245283018867926</v>
      </c>
      <c r="Q855" s="26">
        <f t="shared" si="107"/>
        <v>1.7656415094339621</v>
      </c>
      <c r="R855" s="29">
        <f t="shared" si="108"/>
        <v>9.1744117647058818</v>
      </c>
      <c r="S855" s="30">
        <f t="shared" si="109"/>
        <v>6</v>
      </c>
      <c r="T855" s="30">
        <f t="shared" si="110"/>
        <v>2023</v>
      </c>
      <c r="U855" s="29" t="str">
        <f t="shared" si="111"/>
        <v>June</v>
      </c>
    </row>
    <row r="856" spans="1:21" ht="17.399999999999999" x14ac:dyDescent="0.3">
      <c r="A856" s="21" t="s">
        <v>3437</v>
      </c>
      <c r="B856" s="22" t="s">
        <v>3771</v>
      </c>
      <c r="C856" s="23" t="s">
        <v>3519</v>
      </c>
      <c r="D856" s="22" t="s">
        <v>3545</v>
      </c>
      <c r="E856" s="24">
        <v>45086</v>
      </c>
      <c r="F856" s="24">
        <v>45113</v>
      </c>
      <c r="G856" s="22" t="s">
        <v>14</v>
      </c>
      <c r="H856" s="25">
        <v>65881</v>
      </c>
      <c r="I856" s="25">
        <v>1206</v>
      </c>
      <c r="J856" s="26">
        <v>2342.1999999999998</v>
      </c>
      <c r="K856" s="25">
        <v>121</v>
      </c>
      <c r="L856" s="21" t="s">
        <v>17</v>
      </c>
      <c r="M856" s="22" t="s">
        <v>3537</v>
      </c>
      <c r="N856" s="27">
        <f t="shared" si="104"/>
        <v>27</v>
      </c>
      <c r="O856" s="28">
        <f t="shared" si="105"/>
        <v>1.8305733064161139E-2</v>
      </c>
      <c r="P856" s="28">
        <f t="shared" si="106"/>
        <v>0.10033167495854063</v>
      </c>
      <c r="Q856" s="26">
        <f t="shared" si="107"/>
        <v>1.9421227197346598</v>
      </c>
      <c r="R856" s="29">
        <f t="shared" si="108"/>
        <v>19.35702479338843</v>
      </c>
      <c r="S856" s="30">
        <f t="shared" si="109"/>
        <v>6</v>
      </c>
      <c r="T856" s="30">
        <f t="shared" si="110"/>
        <v>2023</v>
      </c>
      <c r="U856" s="29" t="str">
        <f t="shared" si="111"/>
        <v>June</v>
      </c>
    </row>
    <row r="857" spans="1:21" ht="17.399999999999999" x14ac:dyDescent="0.3">
      <c r="A857" s="21" t="s">
        <v>376</v>
      </c>
      <c r="B857" s="21" t="s">
        <v>377</v>
      </c>
      <c r="C857" s="23" t="s">
        <v>3518</v>
      </c>
      <c r="D857" s="21" t="s">
        <v>3517</v>
      </c>
      <c r="E857" s="24">
        <v>45086</v>
      </c>
      <c r="F857" s="24">
        <v>45185</v>
      </c>
      <c r="G857" s="22" t="s">
        <v>16</v>
      </c>
      <c r="H857" s="25">
        <v>63003</v>
      </c>
      <c r="I857" s="25">
        <v>3091</v>
      </c>
      <c r="J857" s="26">
        <v>2564.17</v>
      </c>
      <c r="K857" s="25">
        <v>256</v>
      </c>
      <c r="L857" s="21" t="s">
        <v>21</v>
      </c>
      <c r="M857" s="22" t="s">
        <v>16</v>
      </c>
      <c r="N857" s="27">
        <f t="shared" si="104"/>
        <v>99</v>
      </c>
      <c r="O857" s="28">
        <f t="shared" si="105"/>
        <v>4.9061155817976924E-2</v>
      </c>
      <c r="P857" s="28">
        <f t="shared" si="106"/>
        <v>8.2821093497250087E-2</v>
      </c>
      <c r="Q857" s="26">
        <f t="shared" si="107"/>
        <v>0.82956001294079584</v>
      </c>
      <c r="R857" s="29">
        <f t="shared" si="108"/>
        <v>10.0162890625</v>
      </c>
      <c r="S857" s="30">
        <f t="shared" si="109"/>
        <v>6</v>
      </c>
      <c r="T857" s="30">
        <f t="shared" si="110"/>
        <v>2023</v>
      </c>
      <c r="U857" s="29" t="str">
        <f t="shared" si="111"/>
        <v>June</v>
      </c>
    </row>
    <row r="858" spans="1:21" ht="17.399999999999999" x14ac:dyDescent="0.3">
      <c r="A858" s="21" t="s">
        <v>2160</v>
      </c>
      <c r="B858" s="21" t="s">
        <v>2161</v>
      </c>
      <c r="C858" s="23" t="s">
        <v>3518</v>
      </c>
      <c r="D858" s="21" t="s">
        <v>3520</v>
      </c>
      <c r="E858" s="24">
        <v>45086</v>
      </c>
      <c r="F858" s="24">
        <v>45116</v>
      </c>
      <c r="G858" s="22" t="s">
        <v>24</v>
      </c>
      <c r="H858" s="25">
        <v>54173</v>
      </c>
      <c r="I858" s="25">
        <v>1149</v>
      </c>
      <c r="J858" s="26">
        <v>1242.27</v>
      </c>
      <c r="K858" s="25">
        <v>173</v>
      </c>
      <c r="L858" s="21" t="s">
        <v>17</v>
      </c>
      <c r="M858" s="22" t="s">
        <v>3536</v>
      </c>
      <c r="N858" s="27">
        <f t="shared" si="104"/>
        <v>30</v>
      </c>
      <c r="O858" s="28">
        <f t="shared" si="105"/>
        <v>2.120982777398335E-2</v>
      </c>
      <c r="P858" s="28">
        <f t="shared" si="106"/>
        <v>0.15056570931244562</v>
      </c>
      <c r="Q858" s="26">
        <f t="shared" si="107"/>
        <v>1.0811749347258486</v>
      </c>
      <c r="R858" s="29">
        <f t="shared" si="108"/>
        <v>7.1807514450867052</v>
      </c>
      <c r="S858" s="30">
        <f t="shared" si="109"/>
        <v>6</v>
      </c>
      <c r="T858" s="30">
        <f t="shared" si="110"/>
        <v>2023</v>
      </c>
      <c r="U858" s="29" t="str">
        <f t="shared" si="111"/>
        <v>June</v>
      </c>
    </row>
    <row r="859" spans="1:21" ht="17.399999999999999" x14ac:dyDescent="0.3">
      <c r="A859" s="21" t="s">
        <v>3435</v>
      </c>
      <c r="B859" s="21" t="s">
        <v>3436</v>
      </c>
      <c r="C859" s="23" t="s">
        <v>3518</v>
      </c>
      <c r="D859" s="21" t="s">
        <v>3521</v>
      </c>
      <c r="E859" s="24">
        <v>45086</v>
      </c>
      <c r="F859" s="24">
        <v>45094</v>
      </c>
      <c r="G859" s="22" t="s">
        <v>3535</v>
      </c>
      <c r="H859" s="25">
        <v>34320</v>
      </c>
      <c r="I859" s="25">
        <v>728</v>
      </c>
      <c r="J859" s="26">
        <v>500.11</v>
      </c>
      <c r="K859" s="25">
        <v>96</v>
      </c>
      <c r="L859" s="21" t="s">
        <v>21</v>
      </c>
      <c r="M859" s="22" t="s">
        <v>3535</v>
      </c>
      <c r="N859" s="27">
        <f t="shared" si="104"/>
        <v>8</v>
      </c>
      <c r="O859" s="28">
        <f t="shared" si="105"/>
        <v>2.1212121212121213E-2</v>
      </c>
      <c r="P859" s="28">
        <f t="shared" si="106"/>
        <v>0.13186813186813187</v>
      </c>
      <c r="Q859" s="26">
        <f t="shared" si="107"/>
        <v>0.68696428571428569</v>
      </c>
      <c r="R859" s="29">
        <f t="shared" si="108"/>
        <v>5.2094791666666671</v>
      </c>
      <c r="S859" s="30">
        <f t="shared" si="109"/>
        <v>6</v>
      </c>
      <c r="T859" s="30">
        <f t="shared" si="110"/>
        <v>2023</v>
      </c>
      <c r="U859" s="29" t="str">
        <f t="shared" si="111"/>
        <v>June</v>
      </c>
    </row>
    <row r="860" spans="1:21" ht="17.399999999999999" x14ac:dyDescent="0.3">
      <c r="A860" s="21" t="s">
        <v>378</v>
      </c>
      <c r="B860" s="21" t="s">
        <v>379</v>
      </c>
      <c r="C860" s="23" t="s">
        <v>3516</v>
      </c>
      <c r="D860" s="21" t="s">
        <v>3517</v>
      </c>
      <c r="E860" s="24">
        <v>45086</v>
      </c>
      <c r="F860" s="24">
        <v>45087</v>
      </c>
      <c r="G860" s="22" t="s">
        <v>24</v>
      </c>
      <c r="H860" s="25">
        <v>84211</v>
      </c>
      <c r="I860" s="25">
        <v>3614</v>
      </c>
      <c r="J860" s="26">
        <v>1918.24</v>
      </c>
      <c r="K860" s="25">
        <v>236</v>
      </c>
      <c r="L860" s="21" t="s">
        <v>17</v>
      </c>
      <c r="M860" s="22" t="s">
        <v>3536</v>
      </c>
      <c r="N860" s="27">
        <f t="shared" si="104"/>
        <v>1</v>
      </c>
      <c r="O860" s="28">
        <f t="shared" si="105"/>
        <v>4.2916008597451642E-2</v>
      </c>
      <c r="P860" s="28">
        <f t="shared" si="106"/>
        <v>6.5301604869950194E-2</v>
      </c>
      <c r="Q860" s="26">
        <f t="shared" si="107"/>
        <v>0.53078029883785283</v>
      </c>
      <c r="R860" s="29">
        <f t="shared" si="108"/>
        <v>8.128135593220339</v>
      </c>
      <c r="S860" s="30">
        <f t="shared" si="109"/>
        <v>6</v>
      </c>
      <c r="T860" s="30">
        <f t="shared" si="110"/>
        <v>2023</v>
      </c>
      <c r="U860" s="29" t="str">
        <f t="shared" si="111"/>
        <v>June</v>
      </c>
    </row>
    <row r="861" spans="1:21" ht="17.399999999999999" x14ac:dyDescent="0.3">
      <c r="A861" s="21" t="s">
        <v>3449</v>
      </c>
      <c r="B861" s="22" t="s">
        <v>3772</v>
      </c>
      <c r="C861" s="23" t="s">
        <v>3516</v>
      </c>
      <c r="D861" s="22" t="s">
        <v>3545</v>
      </c>
      <c r="E861" s="24">
        <v>45086</v>
      </c>
      <c r="F861" s="24">
        <v>45102</v>
      </c>
      <c r="G861" s="22" t="s">
        <v>31</v>
      </c>
      <c r="H861" s="25">
        <v>27630</v>
      </c>
      <c r="I861" s="25">
        <v>774</v>
      </c>
      <c r="J861" s="26">
        <v>1473.49</v>
      </c>
      <c r="K861" s="25">
        <v>79</v>
      </c>
      <c r="L861" s="21" t="s">
        <v>21</v>
      </c>
      <c r="M861" s="22" t="s">
        <v>31</v>
      </c>
      <c r="N861" s="27">
        <f t="shared" si="104"/>
        <v>16</v>
      </c>
      <c r="O861" s="28">
        <f t="shared" si="105"/>
        <v>2.8013029315960912E-2</v>
      </c>
      <c r="P861" s="28">
        <f t="shared" si="106"/>
        <v>0.1020671834625323</v>
      </c>
      <c r="Q861" s="26">
        <f t="shared" si="107"/>
        <v>1.9037338501291989</v>
      </c>
      <c r="R861" s="29">
        <f t="shared" si="108"/>
        <v>18.651772151898733</v>
      </c>
      <c r="S861" s="30">
        <f t="shared" si="109"/>
        <v>6</v>
      </c>
      <c r="T861" s="30">
        <f t="shared" si="110"/>
        <v>2023</v>
      </c>
      <c r="U861" s="29" t="str">
        <f t="shared" si="111"/>
        <v>June</v>
      </c>
    </row>
    <row r="862" spans="1:21" ht="17.399999999999999" x14ac:dyDescent="0.3">
      <c r="A862" s="21" t="s">
        <v>792</v>
      </c>
      <c r="B862" s="21" t="s">
        <v>793</v>
      </c>
      <c r="C862" s="23" t="s">
        <v>3515</v>
      </c>
      <c r="D862" s="21" t="s">
        <v>3517</v>
      </c>
      <c r="E862" s="24">
        <v>45086</v>
      </c>
      <c r="F862" s="24">
        <v>45110</v>
      </c>
      <c r="G862" s="22" t="s">
        <v>14</v>
      </c>
      <c r="H862" s="25">
        <v>55021</v>
      </c>
      <c r="I862" s="25">
        <v>2334</v>
      </c>
      <c r="J862" s="26">
        <v>3380.47</v>
      </c>
      <c r="K862" s="25">
        <v>423</v>
      </c>
      <c r="L862" s="21" t="s">
        <v>17</v>
      </c>
      <c r="M862" s="22" t="s">
        <v>3537</v>
      </c>
      <c r="N862" s="27">
        <f t="shared" si="104"/>
        <v>24</v>
      </c>
      <c r="O862" s="28">
        <f t="shared" si="105"/>
        <v>4.2420166845386305E-2</v>
      </c>
      <c r="P862" s="28">
        <f t="shared" si="106"/>
        <v>0.18123393316195371</v>
      </c>
      <c r="Q862" s="26">
        <f t="shared" si="107"/>
        <v>1.4483590402742073</v>
      </c>
      <c r="R862" s="29">
        <f t="shared" si="108"/>
        <v>7.9916548463356971</v>
      </c>
      <c r="S862" s="30">
        <f t="shared" si="109"/>
        <v>6</v>
      </c>
      <c r="T862" s="30">
        <f t="shared" si="110"/>
        <v>2023</v>
      </c>
      <c r="U862" s="29" t="str">
        <f t="shared" si="111"/>
        <v>June</v>
      </c>
    </row>
    <row r="863" spans="1:21" ht="17.399999999999999" x14ac:dyDescent="0.3">
      <c r="A863" s="21" t="s">
        <v>1872</v>
      </c>
      <c r="B863" s="21" t="s">
        <v>1873</v>
      </c>
      <c r="C863" s="23" t="s">
        <v>3515</v>
      </c>
      <c r="D863" s="21" t="s">
        <v>3517</v>
      </c>
      <c r="E863" s="24">
        <v>45086</v>
      </c>
      <c r="F863" s="24">
        <v>45087</v>
      </c>
      <c r="G863" s="22" t="s">
        <v>31</v>
      </c>
      <c r="H863" s="25">
        <v>66545</v>
      </c>
      <c r="I863" s="25">
        <v>2207</v>
      </c>
      <c r="J863" s="26">
        <v>2935.17</v>
      </c>
      <c r="K863" s="25">
        <v>338</v>
      </c>
      <c r="L863" s="21" t="s">
        <v>21</v>
      </c>
      <c r="M863" s="22" t="s">
        <v>31</v>
      </c>
      <c r="N863" s="27">
        <f t="shared" si="104"/>
        <v>1</v>
      </c>
      <c r="O863" s="28">
        <f t="shared" si="105"/>
        <v>3.3165527086933655E-2</v>
      </c>
      <c r="P863" s="28">
        <f t="shared" si="106"/>
        <v>0.15314907113729043</v>
      </c>
      <c r="Q863" s="26">
        <f t="shared" si="107"/>
        <v>1.3299365654734934</v>
      </c>
      <c r="R863" s="29">
        <f t="shared" si="108"/>
        <v>8.6839349112426039</v>
      </c>
      <c r="S863" s="30">
        <f t="shared" si="109"/>
        <v>6</v>
      </c>
      <c r="T863" s="30">
        <f t="shared" si="110"/>
        <v>2023</v>
      </c>
      <c r="U863" s="29" t="str">
        <f t="shared" si="111"/>
        <v>June</v>
      </c>
    </row>
    <row r="864" spans="1:21" ht="17.399999999999999" x14ac:dyDescent="0.3">
      <c r="A864" s="21" t="s">
        <v>177</v>
      </c>
      <c r="B864" s="22" t="s">
        <v>3773</v>
      </c>
      <c r="C864" s="23" t="s">
        <v>3519</v>
      </c>
      <c r="D864" s="22" t="s">
        <v>3545</v>
      </c>
      <c r="E864" s="24">
        <v>45087</v>
      </c>
      <c r="F864" s="24">
        <v>45105</v>
      </c>
      <c r="G864" s="22" t="s">
        <v>31</v>
      </c>
      <c r="H864" s="25">
        <v>52214</v>
      </c>
      <c r="I864" s="25">
        <v>1352</v>
      </c>
      <c r="J864" s="26">
        <v>945</v>
      </c>
      <c r="K864" s="25">
        <v>225</v>
      </c>
      <c r="L864" s="21" t="s">
        <v>17</v>
      </c>
      <c r="M864" s="22" t="s">
        <v>31</v>
      </c>
      <c r="N864" s="27">
        <f t="shared" si="104"/>
        <v>18</v>
      </c>
      <c r="O864" s="28">
        <f t="shared" si="105"/>
        <v>2.5893438541387367E-2</v>
      </c>
      <c r="P864" s="28">
        <f t="shared" si="106"/>
        <v>0.16642011834319526</v>
      </c>
      <c r="Q864" s="26">
        <f t="shared" si="107"/>
        <v>0.69896449704142016</v>
      </c>
      <c r="R864" s="29">
        <f t="shared" si="108"/>
        <v>4.2</v>
      </c>
      <c r="S864" s="30">
        <f t="shared" si="109"/>
        <v>6</v>
      </c>
      <c r="T864" s="30">
        <f t="shared" si="110"/>
        <v>2023</v>
      </c>
      <c r="U864" s="29" t="str">
        <f t="shared" si="111"/>
        <v>June</v>
      </c>
    </row>
    <row r="865" spans="1:21" ht="17.399999999999999" x14ac:dyDescent="0.3">
      <c r="A865" s="21" t="s">
        <v>1145</v>
      </c>
      <c r="B865" s="21" t="s">
        <v>1146</v>
      </c>
      <c r="C865" s="23" t="s">
        <v>3519</v>
      </c>
      <c r="D865" s="21" t="s">
        <v>3521</v>
      </c>
      <c r="E865" s="24">
        <v>45087</v>
      </c>
      <c r="F865" s="24">
        <v>45093</v>
      </c>
      <c r="G865" s="22" t="s">
        <v>14</v>
      </c>
      <c r="H865" s="25">
        <v>90780</v>
      </c>
      <c r="I865" s="25">
        <v>2961</v>
      </c>
      <c r="J865" s="26">
        <v>2581.4299999999998</v>
      </c>
      <c r="K865" s="25">
        <v>454</v>
      </c>
      <c r="L865" s="21" t="s">
        <v>21</v>
      </c>
      <c r="M865" s="22" t="s">
        <v>3537</v>
      </c>
      <c r="N865" s="27">
        <f t="shared" si="104"/>
        <v>6</v>
      </c>
      <c r="O865" s="28">
        <f t="shared" si="105"/>
        <v>3.2617316589557174E-2</v>
      </c>
      <c r="P865" s="28">
        <f t="shared" si="106"/>
        <v>0.15332657885849374</v>
      </c>
      <c r="Q865" s="26">
        <f t="shared" si="107"/>
        <v>0.87181019925700776</v>
      </c>
      <c r="R865" s="29">
        <f t="shared" si="108"/>
        <v>5.685969162995594</v>
      </c>
      <c r="S865" s="30">
        <f t="shared" si="109"/>
        <v>6</v>
      </c>
      <c r="T865" s="30">
        <f t="shared" si="110"/>
        <v>2023</v>
      </c>
      <c r="U865" s="29" t="str">
        <f t="shared" si="111"/>
        <v>June</v>
      </c>
    </row>
    <row r="866" spans="1:21" ht="17.399999999999999" x14ac:dyDescent="0.3">
      <c r="A866" s="21" t="s">
        <v>2603</v>
      </c>
      <c r="B866" s="21" t="s">
        <v>2604</v>
      </c>
      <c r="C866" s="23" t="s">
        <v>3519</v>
      </c>
      <c r="D866" s="21" t="s">
        <v>3521</v>
      </c>
      <c r="E866" s="24">
        <v>45087</v>
      </c>
      <c r="F866" s="24">
        <v>45107</v>
      </c>
      <c r="G866" s="22" t="s">
        <v>24</v>
      </c>
      <c r="H866" s="25">
        <v>56337</v>
      </c>
      <c r="I866" s="25">
        <v>1363</v>
      </c>
      <c r="J866" s="26">
        <v>723.94</v>
      </c>
      <c r="K866" s="25">
        <v>196</v>
      </c>
      <c r="L866" s="21" t="s">
        <v>17</v>
      </c>
      <c r="M866" s="22" t="s">
        <v>3536</v>
      </c>
      <c r="N866" s="27">
        <f t="shared" si="104"/>
        <v>20</v>
      </c>
      <c r="O866" s="28">
        <f t="shared" si="105"/>
        <v>2.4193691534870512E-2</v>
      </c>
      <c r="P866" s="28">
        <f t="shared" si="106"/>
        <v>0.1438004402054292</v>
      </c>
      <c r="Q866" s="26">
        <f t="shared" si="107"/>
        <v>0.53113719735876741</v>
      </c>
      <c r="R866" s="29">
        <f t="shared" si="108"/>
        <v>3.6935714285714289</v>
      </c>
      <c r="S866" s="30">
        <f t="shared" si="109"/>
        <v>6</v>
      </c>
      <c r="T866" s="30">
        <f t="shared" si="110"/>
        <v>2023</v>
      </c>
      <c r="U866" s="29" t="str">
        <f t="shared" si="111"/>
        <v>June</v>
      </c>
    </row>
    <row r="867" spans="1:21" ht="17.399999999999999" x14ac:dyDescent="0.3">
      <c r="A867" s="21" t="s">
        <v>163</v>
      </c>
      <c r="B867" s="22" t="s">
        <v>3774</v>
      </c>
      <c r="C867" s="23" t="s">
        <v>3518</v>
      </c>
      <c r="D867" s="22" t="s">
        <v>3545</v>
      </c>
      <c r="E867" s="24">
        <v>45087</v>
      </c>
      <c r="F867" s="24">
        <v>45115</v>
      </c>
      <c r="G867" s="22" t="s">
        <v>24</v>
      </c>
      <c r="H867" s="25">
        <v>83798</v>
      </c>
      <c r="I867" s="25">
        <v>1612</v>
      </c>
      <c r="J867" s="26">
        <v>1787.74</v>
      </c>
      <c r="K867" s="25">
        <v>279</v>
      </c>
      <c r="L867" s="21" t="s">
        <v>21</v>
      </c>
      <c r="M867" s="22" t="s">
        <v>3536</v>
      </c>
      <c r="N867" s="27">
        <f t="shared" si="104"/>
        <v>28</v>
      </c>
      <c r="O867" s="28">
        <f t="shared" si="105"/>
        <v>1.923673596028545E-2</v>
      </c>
      <c r="P867" s="28">
        <f t="shared" si="106"/>
        <v>0.17307692307692307</v>
      </c>
      <c r="Q867" s="26">
        <f t="shared" si="107"/>
        <v>1.1090198511166254</v>
      </c>
      <c r="R867" s="29">
        <f t="shared" si="108"/>
        <v>6.4076702508960572</v>
      </c>
      <c r="S867" s="30">
        <f t="shared" si="109"/>
        <v>6</v>
      </c>
      <c r="T867" s="30">
        <f t="shared" si="110"/>
        <v>2023</v>
      </c>
      <c r="U867" s="29" t="str">
        <f t="shared" si="111"/>
        <v>June</v>
      </c>
    </row>
    <row r="868" spans="1:21" ht="17.399999999999999" x14ac:dyDescent="0.3">
      <c r="A868" s="21" t="s">
        <v>1056</v>
      </c>
      <c r="B868" s="21" t="s">
        <v>1057</v>
      </c>
      <c r="C868" s="23" t="s">
        <v>3518</v>
      </c>
      <c r="D868" s="21" t="s">
        <v>3517</v>
      </c>
      <c r="E868" s="24">
        <v>45087</v>
      </c>
      <c r="F868" s="24">
        <v>45088</v>
      </c>
      <c r="G868" s="22" t="s">
        <v>31</v>
      </c>
      <c r="H868" s="25">
        <v>71640</v>
      </c>
      <c r="I868" s="25">
        <v>2952</v>
      </c>
      <c r="J868" s="26">
        <v>2511.6999999999998</v>
      </c>
      <c r="K868" s="25">
        <v>0</v>
      </c>
      <c r="L868" s="21" t="s">
        <v>17</v>
      </c>
      <c r="M868" s="22" t="s">
        <v>31</v>
      </c>
      <c r="N868" s="27">
        <f t="shared" si="104"/>
        <v>1</v>
      </c>
      <c r="O868" s="28">
        <f t="shared" si="105"/>
        <v>4.1206030150753768E-2</v>
      </c>
      <c r="P868" s="28">
        <f t="shared" si="106"/>
        <v>0</v>
      </c>
      <c r="Q868" s="26">
        <f t="shared" si="107"/>
        <v>0.85084688346883464</v>
      </c>
      <c r="R868" s="29" t="str">
        <f t="shared" si="108"/>
        <v>0</v>
      </c>
      <c r="S868" s="30">
        <f t="shared" si="109"/>
        <v>6</v>
      </c>
      <c r="T868" s="30">
        <f t="shared" si="110"/>
        <v>2023</v>
      </c>
      <c r="U868" s="29" t="str">
        <f t="shared" si="111"/>
        <v>June</v>
      </c>
    </row>
    <row r="869" spans="1:21" ht="17.399999999999999" x14ac:dyDescent="0.3">
      <c r="A869" s="21" t="s">
        <v>255</v>
      </c>
      <c r="B869" s="21" t="s">
        <v>256</v>
      </c>
      <c r="C869" s="23" t="s">
        <v>3516</v>
      </c>
      <c r="D869" s="21" t="s">
        <v>3520</v>
      </c>
      <c r="E869" s="24">
        <v>45087</v>
      </c>
      <c r="F869" s="24">
        <v>45111</v>
      </c>
      <c r="G869" s="22" t="s">
        <v>24</v>
      </c>
      <c r="H869" s="25">
        <v>7910</v>
      </c>
      <c r="I869" s="25">
        <v>353</v>
      </c>
      <c r="J869" s="26">
        <v>483.47</v>
      </c>
      <c r="K869" s="25">
        <v>22</v>
      </c>
      <c r="L869" s="21" t="s">
        <v>17</v>
      </c>
      <c r="M869" s="22" t="s">
        <v>3536</v>
      </c>
      <c r="N869" s="27">
        <f t="shared" si="104"/>
        <v>24</v>
      </c>
      <c r="O869" s="28">
        <f t="shared" si="105"/>
        <v>4.4627054361567636E-2</v>
      </c>
      <c r="P869" s="28">
        <f t="shared" si="106"/>
        <v>6.2322946175637391E-2</v>
      </c>
      <c r="Q869" s="26">
        <f t="shared" si="107"/>
        <v>1.3696033994334278</v>
      </c>
      <c r="R869" s="29">
        <f t="shared" si="108"/>
        <v>21.975909090909092</v>
      </c>
      <c r="S869" s="30">
        <f t="shared" si="109"/>
        <v>6</v>
      </c>
      <c r="T869" s="30">
        <f t="shared" si="110"/>
        <v>2023</v>
      </c>
      <c r="U869" s="29" t="str">
        <f t="shared" si="111"/>
        <v>June</v>
      </c>
    </row>
    <row r="870" spans="1:21" ht="17.399999999999999" x14ac:dyDescent="0.3">
      <c r="A870" s="21" t="s">
        <v>748</v>
      </c>
      <c r="B870" s="21" t="s">
        <v>749</v>
      </c>
      <c r="C870" s="23" t="s">
        <v>3516</v>
      </c>
      <c r="D870" s="21" t="s">
        <v>3517</v>
      </c>
      <c r="E870" s="24">
        <v>45087</v>
      </c>
      <c r="F870" s="24">
        <v>45102</v>
      </c>
      <c r="G870" s="22" t="s">
        <v>31</v>
      </c>
      <c r="H870" s="25">
        <v>33097</v>
      </c>
      <c r="I870" s="25">
        <v>660</v>
      </c>
      <c r="J870" s="26">
        <v>1106.3599999999999</v>
      </c>
      <c r="K870" s="25">
        <v>66</v>
      </c>
      <c r="L870" s="21" t="s">
        <v>21</v>
      </c>
      <c r="M870" s="22" t="s">
        <v>31</v>
      </c>
      <c r="N870" s="27">
        <f t="shared" si="104"/>
        <v>15</v>
      </c>
      <c r="O870" s="28">
        <f t="shared" si="105"/>
        <v>1.9941384415505938E-2</v>
      </c>
      <c r="P870" s="28">
        <f t="shared" si="106"/>
        <v>0.1</v>
      </c>
      <c r="Q870" s="26">
        <f t="shared" si="107"/>
        <v>1.6763030303030302</v>
      </c>
      <c r="R870" s="29">
        <f t="shared" si="108"/>
        <v>16.763030303030302</v>
      </c>
      <c r="S870" s="30">
        <f t="shared" si="109"/>
        <v>6</v>
      </c>
      <c r="T870" s="30">
        <f t="shared" si="110"/>
        <v>2023</v>
      </c>
      <c r="U870" s="29" t="str">
        <f t="shared" si="111"/>
        <v>June</v>
      </c>
    </row>
    <row r="871" spans="1:21" ht="17.399999999999999" x14ac:dyDescent="0.3">
      <c r="A871" s="21" t="s">
        <v>1206</v>
      </c>
      <c r="B871" s="21" t="s">
        <v>1207</v>
      </c>
      <c r="C871" s="23" t="s">
        <v>3516</v>
      </c>
      <c r="D871" s="21" t="s">
        <v>3521</v>
      </c>
      <c r="E871" s="24">
        <v>45087</v>
      </c>
      <c r="F871" s="24">
        <v>45107</v>
      </c>
      <c r="G871" s="22" t="s">
        <v>24</v>
      </c>
      <c r="H871" s="25">
        <v>27432</v>
      </c>
      <c r="I871" s="25">
        <v>576</v>
      </c>
      <c r="J871" s="26">
        <v>468.22</v>
      </c>
      <c r="K871" s="25">
        <v>75</v>
      </c>
      <c r="L871" s="21" t="s">
        <v>21</v>
      </c>
      <c r="M871" s="22" t="s">
        <v>3536</v>
      </c>
      <c r="N871" s="27">
        <f t="shared" si="104"/>
        <v>20</v>
      </c>
      <c r="O871" s="28">
        <f t="shared" si="105"/>
        <v>2.0997375328083989E-2</v>
      </c>
      <c r="P871" s="28">
        <f t="shared" si="106"/>
        <v>0.13020833333333334</v>
      </c>
      <c r="Q871" s="26">
        <f t="shared" si="107"/>
        <v>0.8128819444444445</v>
      </c>
      <c r="R871" s="29">
        <f t="shared" si="108"/>
        <v>6.2429333333333341</v>
      </c>
      <c r="S871" s="30">
        <f t="shared" si="109"/>
        <v>6</v>
      </c>
      <c r="T871" s="30">
        <f t="shared" si="110"/>
        <v>2023</v>
      </c>
      <c r="U871" s="29" t="str">
        <f t="shared" si="111"/>
        <v>June</v>
      </c>
    </row>
    <row r="872" spans="1:21" ht="17.399999999999999" x14ac:dyDescent="0.3">
      <c r="A872" s="21" t="s">
        <v>2438</v>
      </c>
      <c r="B872" s="22" t="s">
        <v>3775</v>
      </c>
      <c r="C872" s="23" t="s">
        <v>3515</v>
      </c>
      <c r="D872" s="22" t="s">
        <v>3545</v>
      </c>
      <c r="E872" s="24">
        <v>45087</v>
      </c>
      <c r="F872" s="24">
        <v>45107</v>
      </c>
      <c r="G872" s="22" t="s">
        <v>11</v>
      </c>
      <c r="H872" s="25">
        <v>36954</v>
      </c>
      <c r="I872" s="25">
        <v>860</v>
      </c>
      <c r="J872" s="26">
        <v>1530.68</v>
      </c>
      <c r="K872" s="25">
        <v>72</v>
      </c>
      <c r="L872" s="21" t="s">
        <v>17</v>
      </c>
      <c r="M872" s="22" t="s">
        <v>11</v>
      </c>
      <c r="N872" s="27">
        <f t="shared" si="104"/>
        <v>20</v>
      </c>
      <c r="O872" s="28">
        <f t="shared" si="105"/>
        <v>2.3272176219083184E-2</v>
      </c>
      <c r="P872" s="28">
        <f t="shared" si="106"/>
        <v>8.3720930232558138E-2</v>
      </c>
      <c r="Q872" s="26">
        <f t="shared" si="107"/>
        <v>1.779860465116279</v>
      </c>
      <c r="R872" s="29">
        <f t="shared" si="108"/>
        <v>21.259444444444444</v>
      </c>
      <c r="S872" s="30">
        <f t="shared" si="109"/>
        <v>6</v>
      </c>
      <c r="T872" s="30">
        <f t="shared" si="110"/>
        <v>2023</v>
      </c>
      <c r="U872" s="29" t="str">
        <f t="shared" si="111"/>
        <v>June</v>
      </c>
    </row>
    <row r="873" spans="1:21" ht="17.399999999999999" x14ac:dyDescent="0.3">
      <c r="A873" s="21" t="s">
        <v>1497</v>
      </c>
      <c r="B873" s="21" t="s">
        <v>1498</v>
      </c>
      <c r="C873" s="23" t="s">
        <v>3519</v>
      </c>
      <c r="D873" s="21" t="s">
        <v>3517</v>
      </c>
      <c r="E873" s="24">
        <v>45088</v>
      </c>
      <c r="F873" s="24">
        <v>45114</v>
      </c>
      <c r="G873" s="22" t="s">
        <v>14</v>
      </c>
      <c r="H873" s="25">
        <v>25285</v>
      </c>
      <c r="I873" s="25">
        <v>1000</v>
      </c>
      <c r="J873" s="26">
        <v>1220.07</v>
      </c>
      <c r="K873" s="25">
        <v>0</v>
      </c>
      <c r="L873" s="21" t="s">
        <v>21</v>
      </c>
      <c r="M873" s="22" t="s">
        <v>3537</v>
      </c>
      <c r="N873" s="27">
        <f t="shared" si="104"/>
        <v>26</v>
      </c>
      <c r="O873" s="28">
        <f t="shared" si="105"/>
        <v>3.9549139806209214E-2</v>
      </c>
      <c r="P873" s="28">
        <f t="shared" si="106"/>
        <v>0</v>
      </c>
      <c r="Q873" s="26">
        <f t="shared" si="107"/>
        <v>1.22007</v>
      </c>
      <c r="R873" s="29" t="str">
        <f t="shared" si="108"/>
        <v>0</v>
      </c>
      <c r="S873" s="30">
        <f t="shared" si="109"/>
        <v>6</v>
      </c>
      <c r="T873" s="30">
        <f t="shared" si="110"/>
        <v>2023</v>
      </c>
      <c r="U873" s="29" t="str">
        <f t="shared" si="111"/>
        <v>June</v>
      </c>
    </row>
    <row r="874" spans="1:21" ht="17.399999999999999" x14ac:dyDescent="0.3">
      <c r="A874" s="21" t="s">
        <v>3197</v>
      </c>
      <c r="B874" s="21" t="s">
        <v>3198</v>
      </c>
      <c r="C874" s="23" t="s">
        <v>3519</v>
      </c>
      <c r="D874" s="21" t="s">
        <v>3521</v>
      </c>
      <c r="E874" s="24">
        <v>45088</v>
      </c>
      <c r="F874" s="24">
        <v>45097</v>
      </c>
      <c r="G874" s="22" t="s">
        <v>11</v>
      </c>
      <c r="H874" s="25">
        <v>7540</v>
      </c>
      <c r="I874" s="25">
        <v>312</v>
      </c>
      <c r="J874" s="26">
        <v>283.08999999999997</v>
      </c>
      <c r="K874" s="25">
        <v>0</v>
      </c>
      <c r="L874" s="21" t="s">
        <v>21</v>
      </c>
      <c r="M874" s="22" t="s">
        <v>11</v>
      </c>
      <c r="N874" s="27">
        <f t="shared" si="104"/>
        <v>9</v>
      </c>
      <c r="O874" s="28">
        <f t="shared" si="105"/>
        <v>4.1379310344827586E-2</v>
      </c>
      <c r="P874" s="28">
        <f t="shared" si="106"/>
        <v>0</v>
      </c>
      <c r="Q874" s="26">
        <f t="shared" si="107"/>
        <v>0.90733974358974356</v>
      </c>
      <c r="R874" s="29" t="str">
        <f t="shared" si="108"/>
        <v>0</v>
      </c>
      <c r="S874" s="30">
        <f t="shared" si="109"/>
        <v>6</v>
      </c>
      <c r="T874" s="30">
        <f t="shared" si="110"/>
        <v>2023</v>
      </c>
      <c r="U874" s="29" t="str">
        <f t="shared" si="111"/>
        <v>June</v>
      </c>
    </row>
    <row r="875" spans="1:21" ht="17.399999999999999" x14ac:dyDescent="0.3">
      <c r="A875" s="21" t="s">
        <v>1663</v>
      </c>
      <c r="B875" s="22" t="s">
        <v>3776</v>
      </c>
      <c r="C875" s="23" t="s">
        <v>3518</v>
      </c>
      <c r="D875" s="22" t="s">
        <v>3545</v>
      </c>
      <c r="E875" s="24">
        <v>45088</v>
      </c>
      <c r="F875" s="24">
        <v>45110</v>
      </c>
      <c r="G875" s="22" t="s">
        <v>16</v>
      </c>
      <c r="H875" s="25">
        <v>80104</v>
      </c>
      <c r="I875" s="25">
        <v>1329</v>
      </c>
      <c r="J875" s="26">
        <v>664.87</v>
      </c>
      <c r="K875" s="25">
        <v>104</v>
      </c>
      <c r="L875" s="21" t="s">
        <v>21</v>
      </c>
      <c r="M875" s="22" t="s">
        <v>16</v>
      </c>
      <c r="N875" s="27">
        <f t="shared" si="104"/>
        <v>22</v>
      </c>
      <c r="O875" s="28">
        <f t="shared" si="105"/>
        <v>1.6590931788674722E-2</v>
      </c>
      <c r="P875" s="28">
        <f t="shared" si="106"/>
        <v>7.8254326561324306E-2</v>
      </c>
      <c r="Q875" s="26">
        <f t="shared" si="107"/>
        <v>0.50027840481565089</v>
      </c>
      <c r="R875" s="29">
        <f t="shared" si="108"/>
        <v>6.3929807692307694</v>
      </c>
      <c r="S875" s="30">
        <f t="shared" si="109"/>
        <v>6</v>
      </c>
      <c r="T875" s="30">
        <f t="shared" si="110"/>
        <v>2023</v>
      </c>
      <c r="U875" s="29" t="str">
        <f t="shared" si="111"/>
        <v>June</v>
      </c>
    </row>
    <row r="876" spans="1:21" ht="17.399999999999999" x14ac:dyDescent="0.3">
      <c r="A876" s="21" t="s">
        <v>2601</v>
      </c>
      <c r="B876" s="21" t="s">
        <v>2602</v>
      </c>
      <c r="C876" s="23" t="s">
        <v>3518</v>
      </c>
      <c r="D876" s="21" t="s">
        <v>3520</v>
      </c>
      <c r="E876" s="24">
        <v>45088</v>
      </c>
      <c r="F876" s="24">
        <v>45105</v>
      </c>
      <c r="G876" s="22" t="s">
        <v>11</v>
      </c>
      <c r="H876" s="25">
        <v>84559</v>
      </c>
      <c r="I876" s="25">
        <v>3321</v>
      </c>
      <c r="J876" s="26">
        <v>3285.87</v>
      </c>
      <c r="K876" s="25">
        <v>454</v>
      </c>
      <c r="L876" s="21" t="s">
        <v>17</v>
      </c>
      <c r="M876" s="22" t="s">
        <v>11</v>
      </c>
      <c r="N876" s="27">
        <f t="shared" si="104"/>
        <v>17</v>
      </c>
      <c r="O876" s="28">
        <f t="shared" si="105"/>
        <v>3.9274352818741941E-2</v>
      </c>
      <c r="P876" s="28">
        <f t="shared" si="106"/>
        <v>0.13670581150255948</v>
      </c>
      <c r="Q876" s="26">
        <f t="shared" si="107"/>
        <v>0.98942186088527551</v>
      </c>
      <c r="R876" s="29">
        <f t="shared" si="108"/>
        <v>7.2375991189427307</v>
      </c>
      <c r="S876" s="30">
        <f t="shared" si="109"/>
        <v>6</v>
      </c>
      <c r="T876" s="30">
        <f t="shared" si="110"/>
        <v>2023</v>
      </c>
      <c r="U876" s="29" t="str">
        <f t="shared" si="111"/>
        <v>June</v>
      </c>
    </row>
    <row r="877" spans="1:21" ht="17.399999999999999" x14ac:dyDescent="0.3">
      <c r="A877" s="21" t="s">
        <v>2727</v>
      </c>
      <c r="B877" s="22" t="s">
        <v>3777</v>
      </c>
      <c r="C877" s="23" t="s">
        <v>3518</v>
      </c>
      <c r="D877" s="22" t="s">
        <v>3545</v>
      </c>
      <c r="E877" s="24">
        <v>45088</v>
      </c>
      <c r="F877" s="24">
        <v>45105</v>
      </c>
      <c r="G877" s="22" t="s">
        <v>3535</v>
      </c>
      <c r="H877" s="25">
        <v>75910</v>
      </c>
      <c r="I877" s="25">
        <v>3258</v>
      </c>
      <c r="J877" s="26">
        <v>4387.2</v>
      </c>
      <c r="K877" s="25">
        <v>302</v>
      </c>
      <c r="L877" s="21" t="s">
        <v>21</v>
      </c>
      <c r="M877" s="22" t="s">
        <v>3535</v>
      </c>
      <c r="N877" s="27">
        <f t="shared" si="104"/>
        <v>17</v>
      </c>
      <c r="O877" s="28">
        <f t="shared" si="105"/>
        <v>4.2919246476090106E-2</v>
      </c>
      <c r="P877" s="28">
        <f t="shared" si="106"/>
        <v>9.2694904849600981E-2</v>
      </c>
      <c r="Q877" s="26">
        <f t="shared" si="107"/>
        <v>1.3465930018416206</v>
      </c>
      <c r="R877" s="29">
        <f t="shared" si="108"/>
        <v>14.527152317880795</v>
      </c>
      <c r="S877" s="30">
        <f t="shared" si="109"/>
        <v>6</v>
      </c>
      <c r="T877" s="30">
        <f t="shared" si="110"/>
        <v>2023</v>
      </c>
      <c r="U877" s="29" t="str">
        <f t="shared" si="111"/>
        <v>June</v>
      </c>
    </row>
    <row r="878" spans="1:21" ht="17.399999999999999" x14ac:dyDescent="0.3">
      <c r="A878" s="21" t="s">
        <v>175</v>
      </c>
      <c r="B878" s="21" t="s">
        <v>176</v>
      </c>
      <c r="C878" s="23" t="s">
        <v>3515</v>
      </c>
      <c r="D878" s="21" t="s">
        <v>3521</v>
      </c>
      <c r="E878" s="24">
        <v>45088</v>
      </c>
      <c r="F878" s="24">
        <v>45097</v>
      </c>
      <c r="G878" s="22" t="s">
        <v>11</v>
      </c>
      <c r="H878" s="25">
        <v>39044</v>
      </c>
      <c r="I878" s="25">
        <v>1465</v>
      </c>
      <c r="J878" s="26">
        <v>1411.43</v>
      </c>
      <c r="K878" s="25">
        <v>186</v>
      </c>
      <c r="L878" s="21" t="s">
        <v>21</v>
      </c>
      <c r="M878" s="22" t="s">
        <v>11</v>
      </c>
      <c r="N878" s="27">
        <f t="shared" si="104"/>
        <v>9</v>
      </c>
      <c r="O878" s="28">
        <f t="shared" si="105"/>
        <v>3.7521770310419013E-2</v>
      </c>
      <c r="P878" s="28">
        <f t="shared" si="106"/>
        <v>0.12696245733788397</v>
      </c>
      <c r="Q878" s="26">
        <f t="shared" si="107"/>
        <v>0.96343344709897616</v>
      </c>
      <c r="R878" s="29">
        <f t="shared" si="108"/>
        <v>7.5883333333333338</v>
      </c>
      <c r="S878" s="30">
        <f t="shared" si="109"/>
        <v>6</v>
      </c>
      <c r="T878" s="30">
        <f t="shared" si="110"/>
        <v>2023</v>
      </c>
      <c r="U878" s="29" t="str">
        <f t="shared" si="111"/>
        <v>June</v>
      </c>
    </row>
    <row r="879" spans="1:21" ht="17.399999999999999" x14ac:dyDescent="0.3">
      <c r="A879" s="21" t="s">
        <v>3104</v>
      </c>
      <c r="B879" s="22" t="s">
        <v>3778</v>
      </c>
      <c r="C879" s="23" t="s">
        <v>3515</v>
      </c>
      <c r="D879" s="22" t="s">
        <v>3545</v>
      </c>
      <c r="E879" s="24">
        <v>45088</v>
      </c>
      <c r="F879" s="24">
        <v>45104</v>
      </c>
      <c r="G879" s="22" t="s">
        <v>24</v>
      </c>
      <c r="H879" s="25">
        <v>13987</v>
      </c>
      <c r="I879" s="25">
        <v>545</v>
      </c>
      <c r="J879" s="26">
        <v>585.51</v>
      </c>
      <c r="K879" s="25">
        <v>64</v>
      </c>
      <c r="L879" s="21" t="s">
        <v>17</v>
      </c>
      <c r="M879" s="22" t="s">
        <v>3536</v>
      </c>
      <c r="N879" s="27">
        <f t="shared" si="104"/>
        <v>16</v>
      </c>
      <c r="O879" s="28">
        <f t="shared" si="105"/>
        <v>3.8964752984914565E-2</v>
      </c>
      <c r="P879" s="28">
        <f t="shared" si="106"/>
        <v>0.11743119266055047</v>
      </c>
      <c r="Q879" s="26">
        <f t="shared" si="107"/>
        <v>1.0743302752293578</v>
      </c>
      <c r="R879" s="29">
        <f t="shared" si="108"/>
        <v>9.1485937499999999</v>
      </c>
      <c r="S879" s="30">
        <f t="shared" si="109"/>
        <v>6</v>
      </c>
      <c r="T879" s="30">
        <f t="shared" si="110"/>
        <v>2023</v>
      </c>
      <c r="U879" s="29" t="str">
        <f t="shared" si="111"/>
        <v>June</v>
      </c>
    </row>
    <row r="880" spans="1:21" ht="17.399999999999999" x14ac:dyDescent="0.3">
      <c r="A880" s="21" t="s">
        <v>1093</v>
      </c>
      <c r="B880" s="21" t="s">
        <v>1094</v>
      </c>
      <c r="C880" s="23" t="s">
        <v>3519</v>
      </c>
      <c r="D880" s="21" t="s">
        <v>3521</v>
      </c>
      <c r="E880" s="24">
        <v>45089</v>
      </c>
      <c r="F880" s="24">
        <v>45096</v>
      </c>
      <c r="G880" s="22" t="s">
        <v>16</v>
      </c>
      <c r="H880" s="25">
        <v>51517</v>
      </c>
      <c r="I880" s="25">
        <v>1755</v>
      </c>
      <c r="J880" s="26">
        <v>3291.35</v>
      </c>
      <c r="K880" s="25">
        <v>349</v>
      </c>
      <c r="L880" s="21" t="s">
        <v>21</v>
      </c>
      <c r="M880" s="22" t="s">
        <v>16</v>
      </c>
      <c r="N880" s="27">
        <f t="shared" si="104"/>
        <v>7</v>
      </c>
      <c r="O880" s="28">
        <f t="shared" si="105"/>
        <v>3.4066424675349885E-2</v>
      </c>
      <c r="P880" s="28">
        <f t="shared" si="106"/>
        <v>0.19886039886039886</v>
      </c>
      <c r="Q880" s="26">
        <f t="shared" si="107"/>
        <v>1.8754131054131054</v>
      </c>
      <c r="R880" s="29">
        <f t="shared" si="108"/>
        <v>9.4308022922636106</v>
      </c>
      <c r="S880" s="30">
        <f t="shared" si="109"/>
        <v>6</v>
      </c>
      <c r="T880" s="30">
        <f t="shared" si="110"/>
        <v>2023</v>
      </c>
      <c r="U880" s="29" t="str">
        <f t="shared" si="111"/>
        <v>June</v>
      </c>
    </row>
    <row r="881" spans="1:21" ht="17.399999999999999" x14ac:dyDescent="0.3">
      <c r="A881" s="21" t="s">
        <v>3356</v>
      </c>
      <c r="B881" s="21" t="s">
        <v>3357</v>
      </c>
      <c r="C881" s="23" t="s">
        <v>3518</v>
      </c>
      <c r="D881" s="21" t="s">
        <v>3521</v>
      </c>
      <c r="E881" s="24">
        <v>45089</v>
      </c>
      <c r="F881" s="24">
        <v>45119</v>
      </c>
      <c r="G881" s="22" t="s">
        <v>31</v>
      </c>
      <c r="H881" s="25">
        <v>70298</v>
      </c>
      <c r="I881" s="25">
        <v>2822</v>
      </c>
      <c r="J881" s="26">
        <v>2933.69</v>
      </c>
      <c r="K881" s="25">
        <v>490</v>
      </c>
      <c r="L881" s="21" t="s">
        <v>17</v>
      </c>
      <c r="M881" s="22" t="s">
        <v>31</v>
      </c>
      <c r="N881" s="27">
        <f t="shared" si="104"/>
        <v>30</v>
      </c>
      <c r="O881" s="28">
        <f t="shared" si="105"/>
        <v>4.0143389570115789E-2</v>
      </c>
      <c r="P881" s="28">
        <f t="shared" si="106"/>
        <v>0.17363571934798017</v>
      </c>
      <c r="Q881" s="26">
        <f t="shared" si="107"/>
        <v>1.0395783132530121</v>
      </c>
      <c r="R881" s="29">
        <f t="shared" si="108"/>
        <v>5.9871224489795916</v>
      </c>
      <c r="S881" s="30">
        <f t="shared" si="109"/>
        <v>6</v>
      </c>
      <c r="T881" s="30">
        <f t="shared" si="110"/>
        <v>2023</v>
      </c>
      <c r="U881" s="29" t="str">
        <f t="shared" si="111"/>
        <v>June</v>
      </c>
    </row>
    <row r="882" spans="1:21" ht="17.399999999999999" x14ac:dyDescent="0.3">
      <c r="A882" s="21" t="s">
        <v>1908</v>
      </c>
      <c r="B882" s="21" t="s">
        <v>1909</v>
      </c>
      <c r="C882" s="23" t="s">
        <v>3515</v>
      </c>
      <c r="D882" s="21" t="s">
        <v>3521</v>
      </c>
      <c r="E882" s="24">
        <v>45089</v>
      </c>
      <c r="F882" s="24">
        <v>45111</v>
      </c>
      <c r="G882" s="22" t="s">
        <v>3535</v>
      </c>
      <c r="H882" s="25">
        <v>97573</v>
      </c>
      <c r="I882" s="25">
        <v>4065</v>
      </c>
      <c r="J882" s="26">
        <v>6182.2</v>
      </c>
      <c r="K882" s="25">
        <v>688</v>
      </c>
      <c r="L882" s="21" t="s">
        <v>21</v>
      </c>
      <c r="M882" s="22" t="s">
        <v>3535</v>
      </c>
      <c r="N882" s="27">
        <f t="shared" si="104"/>
        <v>22</v>
      </c>
      <c r="O882" s="28">
        <f t="shared" si="105"/>
        <v>4.1661115267543278E-2</v>
      </c>
      <c r="P882" s="28">
        <f t="shared" si="106"/>
        <v>0.16924969249692498</v>
      </c>
      <c r="Q882" s="26">
        <f t="shared" si="107"/>
        <v>1.5208364083640835</v>
      </c>
      <c r="R882" s="29">
        <f t="shared" si="108"/>
        <v>8.9857558139534888</v>
      </c>
      <c r="S882" s="30">
        <f t="shared" si="109"/>
        <v>6</v>
      </c>
      <c r="T882" s="30">
        <f t="shared" si="110"/>
        <v>2023</v>
      </c>
      <c r="U882" s="29" t="str">
        <f t="shared" si="111"/>
        <v>June</v>
      </c>
    </row>
    <row r="883" spans="1:21" ht="17.399999999999999" x14ac:dyDescent="0.3">
      <c r="A883" s="21" t="s">
        <v>1073</v>
      </c>
      <c r="B883" s="22" t="s">
        <v>3779</v>
      </c>
      <c r="C883" s="23" t="s">
        <v>3519</v>
      </c>
      <c r="D883" s="22" t="s">
        <v>3545</v>
      </c>
      <c r="E883" s="24">
        <v>45090</v>
      </c>
      <c r="F883" s="24">
        <v>45113</v>
      </c>
      <c r="G883" s="22" t="s">
        <v>31</v>
      </c>
      <c r="H883" s="25">
        <v>37208</v>
      </c>
      <c r="I883" s="25">
        <v>949</v>
      </c>
      <c r="J883" s="26">
        <v>1585.1</v>
      </c>
      <c r="K883" s="25">
        <v>88</v>
      </c>
      <c r="L883" s="21" t="s">
        <v>17</v>
      </c>
      <c r="M883" s="22" t="s">
        <v>31</v>
      </c>
      <c r="N883" s="27">
        <f t="shared" si="104"/>
        <v>23</v>
      </c>
      <c r="O883" s="28">
        <f t="shared" si="105"/>
        <v>2.5505267684368952E-2</v>
      </c>
      <c r="P883" s="28">
        <f t="shared" si="106"/>
        <v>9.2729188619599584E-2</v>
      </c>
      <c r="Q883" s="26">
        <f t="shared" si="107"/>
        <v>1.6702845100105372</v>
      </c>
      <c r="R883" s="29">
        <f t="shared" si="108"/>
        <v>18.012499999999999</v>
      </c>
      <c r="S883" s="30">
        <f t="shared" si="109"/>
        <v>6</v>
      </c>
      <c r="T883" s="30">
        <f t="shared" si="110"/>
        <v>2023</v>
      </c>
      <c r="U883" s="29" t="str">
        <f t="shared" si="111"/>
        <v>June</v>
      </c>
    </row>
    <row r="884" spans="1:21" ht="17.399999999999999" x14ac:dyDescent="0.3">
      <c r="A884" s="21" t="s">
        <v>1133</v>
      </c>
      <c r="B884" s="21" t="s">
        <v>1134</v>
      </c>
      <c r="C884" s="23" t="s">
        <v>3519</v>
      </c>
      <c r="D884" s="21" t="s">
        <v>3521</v>
      </c>
      <c r="E884" s="24">
        <v>45090</v>
      </c>
      <c r="F884" s="24">
        <v>45093</v>
      </c>
      <c r="G884" s="22" t="s">
        <v>24</v>
      </c>
      <c r="H884" s="25">
        <v>12130</v>
      </c>
      <c r="I884" s="25">
        <v>207</v>
      </c>
      <c r="J884" s="26">
        <v>233.91</v>
      </c>
      <c r="K884" s="25">
        <v>13</v>
      </c>
      <c r="L884" s="21" t="s">
        <v>21</v>
      </c>
      <c r="M884" s="22" t="s">
        <v>3536</v>
      </c>
      <c r="N884" s="27">
        <f t="shared" si="104"/>
        <v>3</v>
      </c>
      <c r="O884" s="28">
        <f t="shared" si="105"/>
        <v>1.7065127782357789E-2</v>
      </c>
      <c r="P884" s="28">
        <f t="shared" si="106"/>
        <v>6.280193236714976E-2</v>
      </c>
      <c r="Q884" s="26">
        <f t="shared" si="107"/>
        <v>1.1299999999999999</v>
      </c>
      <c r="R884" s="29">
        <f t="shared" si="108"/>
        <v>17.993076923076924</v>
      </c>
      <c r="S884" s="30">
        <f t="shared" si="109"/>
        <v>6</v>
      </c>
      <c r="T884" s="30">
        <f t="shared" si="110"/>
        <v>2023</v>
      </c>
      <c r="U884" s="29" t="str">
        <f t="shared" si="111"/>
        <v>June</v>
      </c>
    </row>
    <row r="885" spans="1:21" ht="17.399999999999999" x14ac:dyDescent="0.3">
      <c r="A885" s="21" t="s">
        <v>1183</v>
      </c>
      <c r="B885" s="21" t="s">
        <v>1184</v>
      </c>
      <c r="C885" s="23" t="s">
        <v>3519</v>
      </c>
      <c r="D885" s="21" t="s">
        <v>3517</v>
      </c>
      <c r="E885" s="24">
        <v>45090</v>
      </c>
      <c r="F885" s="24">
        <v>45100</v>
      </c>
      <c r="G885" s="22" t="s">
        <v>31</v>
      </c>
      <c r="H885" s="25">
        <v>51343</v>
      </c>
      <c r="I885" s="25">
        <v>2381</v>
      </c>
      <c r="J885" s="26">
        <v>1371.07</v>
      </c>
      <c r="K885" s="25">
        <v>136</v>
      </c>
      <c r="L885" s="21" t="s">
        <v>21</v>
      </c>
      <c r="M885" s="22" t="s">
        <v>31</v>
      </c>
      <c r="N885" s="27">
        <f t="shared" si="104"/>
        <v>10</v>
      </c>
      <c r="O885" s="28">
        <f t="shared" si="105"/>
        <v>4.6374384044563038E-2</v>
      </c>
      <c r="P885" s="28">
        <f t="shared" si="106"/>
        <v>5.7118857622847546E-2</v>
      </c>
      <c r="Q885" s="26">
        <f t="shared" si="107"/>
        <v>0.57583788324233509</v>
      </c>
      <c r="R885" s="29">
        <f t="shared" si="108"/>
        <v>10.081397058823528</v>
      </c>
      <c r="S885" s="30">
        <f t="shared" si="109"/>
        <v>6</v>
      </c>
      <c r="T885" s="30">
        <f t="shared" si="110"/>
        <v>2023</v>
      </c>
      <c r="U885" s="29" t="str">
        <f t="shared" si="111"/>
        <v>June</v>
      </c>
    </row>
    <row r="886" spans="1:21" ht="17.399999999999999" x14ac:dyDescent="0.3">
      <c r="A886" s="21" t="s">
        <v>1565</v>
      </c>
      <c r="B886" s="21" t="s">
        <v>1566</v>
      </c>
      <c r="C886" s="23" t="s">
        <v>3519</v>
      </c>
      <c r="D886" s="21" t="s">
        <v>3520</v>
      </c>
      <c r="E886" s="24">
        <v>45090</v>
      </c>
      <c r="F886" s="24">
        <v>45106</v>
      </c>
      <c r="G886" s="22" t="s">
        <v>31</v>
      </c>
      <c r="H886" s="25">
        <v>86392</v>
      </c>
      <c r="I886" s="25">
        <v>1304</v>
      </c>
      <c r="J886" s="26">
        <v>1195.47</v>
      </c>
      <c r="K886" s="25">
        <v>159</v>
      </c>
      <c r="L886" s="21" t="s">
        <v>17</v>
      </c>
      <c r="M886" s="22" t="s">
        <v>31</v>
      </c>
      <c r="N886" s="27">
        <f t="shared" si="104"/>
        <v>16</v>
      </c>
      <c r="O886" s="28">
        <f t="shared" si="105"/>
        <v>1.5093990184276321E-2</v>
      </c>
      <c r="P886" s="28">
        <f t="shared" si="106"/>
        <v>0.12193251533742332</v>
      </c>
      <c r="Q886" s="26">
        <f t="shared" si="107"/>
        <v>0.91677147239263801</v>
      </c>
      <c r="R886" s="29">
        <f t="shared" si="108"/>
        <v>7.5186792452830193</v>
      </c>
      <c r="S886" s="30">
        <f t="shared" si="109"/>
        <v>6</v>
      </c>
      <c r="T886" s="30">
        <f t="shared" si="110"/>
        <v>2023</v>
      </c>
      <c r="U886" s="29" t="str">
        <f t="shared" si="111"/>
        <v>June</v>
      </c>
    </row>
    <row r="887" spans="1:21" ht="17.399999999999999" x14ac:dyDescent="0.3">
      <c r="A887" s="21" t="s">
        <v>1618</v>
      </c>
      <c r="B887" s="21" t="s">
        <v>1619</v>
      </c>
      <c r="C887" s="23" t="s">
        <v>3519</v>
      </c>
      <c r="D887" s="21" t="s">
        <v>3517</v>
      </c>
      <c r="E887" s="24">
        <v>45090</v>
      </c>
      <c r="F887" s="24">
        <v>45109</v>
      </c>
      <c r="G887" s="22" t="s">
        <v>14</v>
      </c>
      <c r="H887" s="25">
        <v>58108</v>
      </c>
      <c r="I887" s="25">
        <v>2879</v>
      </c>
      <c r="J887" s="26">
        <v>5650.81</v>
      </c>
      <c r="K887" s="25">
        <v>296</v>
      </c>
      <c r="L887" s="21" t="s">
        <v>21</v>
      </c>
      <c r="M887" s="22" t="s">
        <v>3537</v>
      </c>
      <c r="N887" s="27">
        <f t="shared" si="104"/>
        <v>19</v>
      </c>
      <c r="O887" s="28">
        <f t="shared" si="105"/>
        <v>4.9545673573346181E-2</v>
      </c>
      <c r="P887" s="28">
        <f t="shared" si="106"/>
        <v>0.10281347690170198</v>
      </c>
      <c r="Q887" s="26">
        <f t="shared" si="107"/>
        <v>1.9627683223341439</v>
      </c>
      <c r="R887" s="29">
        <f t="shared" si="108"/>
        <v>19.090574324324326</v>
      </c>
      <c r="S887" s="30">
        <f t="shared" si="109"/>
        <v>6</v>
      </c>
      <c r="T887" s="30">
        <f t="shared" si="110"/>
        <v>2023</v>
      </c>
      <c r="U887" s="29" t="str">
        <f t="shared" si="111"/>
        <v>June</v>
      </c>
    </row>
    <row r="888" spans="1:21" ht="17.399999999999999" x14ac:dyDescent="0.3">
      <c r="A888" s="21" t="s">
        <v>3440</v>
      </c>
      <c r="B888" s="22" t="s">
        <v>3780</v>
      </c>
      <c r="C888" s="23" t="s">
        <v>3518</v>
      </c>
      <c r="D888" s="22" t="s">
        <v>3545</v>
      </c>
      <c r="E888" s="24">
        <v>45090</v>
      </c>
      <c r="F888" s="24">
        <v>45104</v>
      </c>
      <c r="G888" s="22" t="s">
        <v>14</v>
      </c>
      <c r="H888" s="25">
        <v>27289</v>
      </c>
      <c r="I888" s="25">
        <v>796</v>
      </c>
      <c r="J888" s="26">
        <v>1312.45</v>
      </c>
      <c r="K888" s="25">
        <v>105</v>
      </c>
      <c r="L888" s="21" t="s">
        <v>21</v>
      </c>
      <c r="M888" s="22" t="s">
        <v>3537</v>
      </c>
      <c r="N888" s="27">
        <f t="shared" si="104"/>
        <v>14</v>
      </c>
      <c r="O888" s="28">
        <f t="shared" si="105"/>
        <v>2.9169262340137052E-2</v>
      </c>
      <c r="P888" s="28">
        <f t="shared" si="106"/>
        <v>0.13190954773869346</v>
      </c>
      <c r="Q888" s="26">
        <f t="shared" si="107"/>
        <v>1.6488065326633166</v>
      </c>
      <c r="R888" s="29">
        <f t="shared" si="108"/>
        <v>12.49952380952381</v>
      </c>
      <c r="S888" s="30">
        <f t="shared" si="109"/>
        <v>6</v>
      </c>
      <c r="T888" s="30">
        <f t="shared" si="110"/>
        <v>2023</v>
      </c>
      <c r="U888" s="29" t="str">
        <f t="shared" si="111"/>
        <v>June</v>
      </c>
    </row>
    <row r="889" spans="1:21" ht="17.399999999999999" x14ac:dyDescent="0.3">
      <c r="A889" s="21" t="s">
        <v>3445</v>
      </c>
      <c r="B889" s="21" t="s">
        <v>3446</v>
      </c>
      <c r="C889" s="23" t="s">
        <v>3518</v>
      </c>
      <c r="D889" s="21" t="s">
        <v>3520</v>
      </c>
      <c r="E889" s="24">
        <v>45090</v>
      </c>
      <c r="F889" s="24">
        <v>45107</v>
      </c>
      <c r="G889" s="22" t="s">
        <v>11</v>
      </c>
      <c r="H889" s="25">
        <v>62550</v>
      </c>
      <c r="I889" s="25">
        <v>1990</v>
      </c>
      <c r="J889" s="26">
        <v>1558.55</v>
      </c>
      <c r="K889" s="25">
        <v>366</v>
      </c>
      <c r="L889" s="21" t="s">
        <v>21</v>
      </c>
      <c r="M889" s="22" t="s">
        <v>11</v>
      </c>
      <c r="N889" s="27">
        <f t="shared" si="104"/>
        <v>17</v>
      </c>
      <c r="O889" s="28">
        <f t="shared" si="105"/>
        <v>3.1814548361310951E-2</v>
      </c>
      <c r="P889" s="28">
        <f t="shared" si="106"/>
        <v>0.18391959798994975</v>
      </c>
      <c r="Q889" s="26">
        <f t="shared" si="107"/>
        <v>0.78319095477386935</v>
      </c>
      <c r="R889" s="29">
        <f t="shared" si="108"/>
        <v>4.2583333333333329</v>
      </c>
      <c r="S889" s="30">
        <f t="shared" si="109"/>
        <v>6</v>
      </c>
      <c r="T889" s="30">
        <f t="shared" si="110"/>
        <v>2023</v>
      </c>
      <c r="U889" s="29" t="str">
        <f t="shared" si="111"/>
        <v>June</v>
      </c>
    </row>
    <row r="890" spans="1:21" ht="17.399999999999999" x14ac:dyDescent="0.3">
      <c r="A890" s="21" t="s">
        <v>1380</v>
      </c>
      <c r="B890" s="21" t="s">
        <v>1381</v>
      </c>
      <c r="C890" s="23" t="s">
        <v>3516</v>
      </c>
      <c r="D890" s="21" t="s">
        <v>3520</v>
      </c>
      <c r="E890" s="24">
        <v>45090</v>
      </c>
      <c r="F890" s="24">
        <v>45116</v>
      </c>
      <c r="G890" s="22" t="s">
        <v>16</v>
      </c>
      <c r="H890" s="25">
        <v>76672</v>
      </c>
      <c r="I890" s="25">
        <v>2737</v>
      </c>
      <c r="J890" s="26">
        <v>4825.3999999999996</v>
      </c>
      <c r="K890" s="25">
        <v>417</v>
      </c>
      <c r="L890" s="21" t="s">
        <v>21</v>
      </c>
      <c r="M890" s="22" t="s">
        <v>16</v>
      </c>
      <c r="N890" s="27">
        <f t="shared" si="104"/>
        <v>26</v>
      </c>
      <c r="O890" s="28">
        <f t="shared" si="105"/>
        <v>3.5697516694490818E-2</v>
      </c>
      <c r="P890" s="28">
        <f t="shared" si="106"/>
        <v>0.15235659481183778</v>
      </c>
      <c r="Q890" s="26">
        <f t="shared" si="107"/>
        <v>1.7630252100840336</v>
      </c>
      <c r="R890" s="29">
        <f t="shared" si="108"/>
        <v>11.571702637889688</v>
      </c>
      <c r="S890" s="30">
        <f t="shared" si="109"/>
        <v>6</v>
      </c>
      <c r="T890" s="30">
        <f t="shared" si="110"/>
        <v>2023</v>
      </c>
      <c r="U890" s="29" t="str">
        <f t="shared" si="111"/>
        <v>June</v>
      </c>
    </row>
    <row r="891" spans="1:21" ht="17.399999999999999" x14ac:dyDescent="0.3">
      <c r="A891" s="21" t="s">
        <v>2115</v>
      </c>
      <c r="B891" s="21" t="s">
        <v>2116</v>
      </c>
      <c r="C891" s="23" t="s">
        <v>3515</v>
      </c>
      <c r="D891" s="21" t="s">
        <v>3517</v>
      </c>
      <c r="E891" s="24">
        <v>45090</v>
      </c>
      <c r="F891" s="24">
        <v>45113</v>
      </c>
      <c r="G891" s="22" t="s">
        <v>14</v>
      </c>
      <c r="H891" s="25">
        <v>40915</v>
      </c>
      <c r="I891" s="25">
        <v>1463</v>
      </c>
      <c r="J891" s="26">
        <v>1425.13</v>
      </c>
      <c r="K891" s="25">
        <v>283</v>
      </c>
      <c r="L891" s="21" t="s">
        <v>21</v>
      </c>
      <c r="M891" s="22" t="s">
        <v>3537</v>
      </c>
      <c r="N891" s="27">
        <f t="shared" si="104"/>
        <v>23</v>
      </c>
      <c r="O891" s="28">
        <f t="shared" si="105"/>
        <v>3.575705731394354E-2</v>
      </c>
      <c r="P891" s="28">
        <f t="shared" si="106"/>
        <v>0.19343814080656185</v>
      </c>
      <c r="Q891" s="26">
        <f t="shared" si="107"/>
        <v>0.97411483253588527</v>
      </c>
      <c r="R891" s="29">
        <f t="shared" si="108"/>
        <v>5.0357950530035342</v>
      </c>
      <c r="S891" s="30">
        <f t="shared" si="109"/>
        <v>6</v>
      </c>
      <c r="T891" s="30">
        <f t="shared" si="110"/>
        <v>2023</v>
      </c>
      <c r="U891" s="29" t="str">
        <f t="shared" si="111"/>
        <v>June</v>
      </c>
    </row>
    <row r="892" spans="1:21" ht="17.399999999999999" x14ac:dyDescent="0.3">
      <c r="A892" s="21" t="s">
        <v>1382</v>
      </c>
      <c r="B892" s="21" t="s">
        <v>1383</v>
      </c>
      <c r="C892" s="23" t="s">
        <v>3516</v>
      </c>
      <c r="D892" s="21" t="s">
        <v>3521</v>
      </c>
      <c r="E892" s="24">
        <v>45091</v>
      </c>
      <c r="F892" s="24">
        <v>45108</v>
      </c>
      <c r="G892" s="22" t="s">
        <v>14</v>
      </c>
      <c r="H892" s="25">
        <v>66545</v>
      </c>
      <c r="I892" s="25">
        <v>1186</v>
      </c>
      <c r="J892" s="26">
        <v>1451.75</v>
      </c>
      <c r="K892" s="25">
        <v>91</v>
      </c>
      <c r="L892" s="21" t="s">
        <v>17</v>
      </c>
      <c r="M892" s="22" t="s">
        <v>3537</v>
      </c>
      <c r="N892" s="27">
        <f t="shared" si="104"/>
        <v>17</v>
      </c>
      <c r="O892" s="28">
        <f t="shared" si="105"/>
        <v>1.7822526110151025E-2</v>
      </c>
      <c r="P892" s="28">
        <f t="shared" si="106"/>
        <v>7.672849915682968E-2</v>
      </c>
      <c r="Q892" s="26">
        <f t="shared" si="107"/>
        <v>1.2240725126475549</v>
      </c>
      <c r="R892" s="29">
        <f t="shared" si="108"/>
        <v>15.953296703296703</v>
      </c>
      <c r="S892" s="30">
        <f t="shared" si="109"/>
        <v>6</v>
      </c>
      <c r="T892" s="30">
        <f t="shared" si="110"/>
        <v>2023</v>
      </c>
      <c r="U892" s="29" t="str">
        <f t="shared" si="111"/>
        <v>June</v>
      </c>
    </row>
    <row r="893" spans="1:21" ht="17.399999999999999" x14ac:dyDescent="0.3">
      <c r="A893" s="21" t="s">
        <v>1562</v>
      </c>
      <c r="B893" s="21" t="s">
        <v>1563</v>
      </c>
      <c r="C893" s="23" t="s">
        <v>3515</v>
      </c>
      <c r="D893" s="21" t="s">
        <v>3521</v>
      </c>
      <c r="E893" s="24">
        <v>45091</v>
      </c>
      <c r="F893" s="24">
        <v>45099</v>
      </c>
      <c r="G893" s="22" t="s">
        <v>31</v>
      </c>
      <c r="H893" s="25">
        <v>40811</v>
      </c>
      <c r="I893" s="25">
        <v>452</v>
      </c>
      <c r="J893" s="26">
        <v>417.37</v>
      </c>
      <c r="K893" s="25">
        <v>74</v>
      </c>
      <c r="L893" s="21" t="s">
        <v>21</v>
      </c>
      <c r="M893" s="22" t="s">
        <v>31</v>
      </c>
      <c r="N893" s="27">
        <f t="shared" si="104"/>
        <v>8</v>
      </c>
      <c r="O893" s="28">
        <f t="shared" si="105"/>
        <v>1.1075445345617604E-2</v>
      </c>
      <c r="P893" s="28">
        <f t="shared" si="106"/>
        <v>0.16371681415929204</v>
      </c>
      <c r="Q893" s="26">
        <f t="shared" si="107"/>
        <v>0.92338495575221236</v>
      </c>
      <c r="R893" s="29">
        <f t="shared" si="108"/>
        <v>5.640135135135135</v>
      </c>
      <c r="S893" s="30">
        <f t="shared" si="109"/>
        <v>6</v>
      </c>
      <c r="T893" s="30">
        <f t="shared" si="110"/>
        <v>2023</v>
      </c>
      <c r="U893" s="29" t="str">
        <f t="shared" si="111"/>
        <v>June</v>
      </c>
    </row>
    <row r="894" spans="1:21" ht="17.399999999999999" x14ac:dyDescent="0.3">
      <c r="A894" s="21" t="s">
        <v>1964</v>
      </c>
      <c r="B894" s="22" t="s">
        <v>3781</v>
      </c>
      <c r="C894" s="23" t="s">
        <v>3515</v>
      </c>
      <c r="D894" s="22" t="s">
        <v>3545</v>
      </c>
      <c r="E894" s="24">
        <v>45091</v>
      </c>
      <c r="F894" s="24">
        <v>45103</v>
      </c>
      <c r="G894" s="22" t="s">
        <v>16</v>
      </c>
      <c r="H894" s="25">
        <v>40711</v>
      </c>
      <c r="I894" s="25">
        <v>1987</v>
      </c>
      <c r="J894" s="26">
        <v>2923.25</v>
      </c>
      <c r="K894" s="25">
        <v>212</v>
      </c>
      <c r="L894" s="21" t="s">
        <v>21</v>
      </c>
      <c r="M894" s="22" t="s">
        <v>16</v>
      </c>
      <c r="N894" s="27">
        <f t="shared" si="104"/>
        <v>12</v>
      </c>
      <c r="O894" s="28">
        <f t="shared" si="105"/>
        <v>4.8807447618579747E-2</v>
      </c>
      <c r="P894" s="28">
        <f t="shared" si="106"/>
        <v>0.10669350780070458</v>
      </c>
      <c r="Q894" s="26">
        <f t="shared" si="107"/>
        <v>1.4711877201811776</v>
      </c>
      <c r="R894" s="29">
        <f t="shared" si="108"/>
        <v>13.788915094339623</v>
      </c>
      <c r="S894" s="30">
        <f t="shared" si="109"/>
        <v>6</v>
      </c>
      <c r="T894" s="30">
        <f t="shared" si="110"/>
        <v>2023</v>
      </c>
      <c r="U894" s="29" t="str">
        <f t="shared" si="111"/>
        <v>June</v>
      </c>
    </row>
    <row r="895" spans="1:21" ht="17.399999999999999" x14ac:dyDescent="0.3">
      <c r="A895" s="21" t="s">
        <v>1995</v>
      </c>
      <c r="B895" s="21" t="s">
        <v>1996</v>
      </c>
      <c r="C895" s="23" t="s">
        <v>3519</v>
      </c>
      <c r="D895" s="21" t="s">
        <v>3517</v>
      </c>
      <c r="E895" s="24">
        <v>45092</v>
      </c>
      <c r="F895" s="24">
        <v>45105</v>
      </c>
      <c r="G895" s="22" t="s">
        <v>11</v>
      </c>
      <c r="H895" s="25">
        <v>42157</v>
      </c>
      <c r="I895" s="25">
        <v>2107</v>
      </c>
      <c r="J895" s="26">
        <v>4078.72</v>
      </c>
      <c r="K895" s="25">
        <v>125</v>
      </c>
      <c r="L895" s="21" t="s">
        <v>17</v>
      </c>
      <c r="M895" s="22" t="s">
        <v>11</v>
      </c>
      <c r="N895" s="27">
        <f t="shared" si="104"/>
        <v>13</v>
      </c>
      <c r="O895" s="28">
        <f t="shared" si="105"/>
        <v>4.997983727494841E-2</v>
      </c>
      <c r="P895" s="28">
        <f t="shared" si="106"/>
        <v>5.9326056003796868E-2</v>
      </c>
      <c r="Q895" s="26">
        <f t="shared" si="107"/>
        <v>1.9357949691504508</v>
      </c>
      <c r="R895" s="29">
        <f t="shared" si="108"/>
        <v>32.629759999999997</v>
      </c>
      <c r="S895" s="30">
        <f t="shared" si="109"/>
        <v>6</v>
      </c>
      <c r="T895" s="30">
        <f t="shared" si="110"/>
        <v>2023</v>
      </c>
      <c r="U895" s="29" t="str">
        <f t="shared" si="111"/>
        <v>June</v>
      </c>
    </row>
    <row r="896" spans="1:21" ht="17.399999999999999" x14ac:dyDescent="0.3">
      <c r="A896" s="21" t="s">
        <v>2005</v>
      </c>
      <c r="B896" s="22" t="s">
        <v>3782</v>
      </c>
      <c r="C896" s="23" t="s">
        <v>3519</v>
      </c>
      <c r="D896" s="22" t="s">
        <v>3545</v>
      </c>
      <c r="E896" s="24">
        <v>45092</v>
      </c>
      <c r="F896" s="24">
        <v>45100</v>
      </c>
      <c r="G896" s="22" t="s">
        <v>14</v>
      </c>
      <c r="H896" s="25">
        <v>25519</v>
      </c>
      <c r="I896" s="25">
        <v>1005</v>
      </c>
      <c r="J896" s="26">
        <v>1435.06</v>
      </c>
      <c r="K896" s="25">
        <v>154</v>
      </c>
      <c r="L896" s="21" t="s">
        <v>21</v>
      </c>
      <c r="M896" s="22" t="s">
        <v>3537</v>
      </c>
      <c r="N896" s="27">
        <f t="shared" si="104"/>
        <v>8</v>
      </c>
      <c r="O896" s="28">
        <f t="shared" si="105"/>
        <v>3.9382420941259454E-2</v>
      </c>
      <c r="P896" s="28">
        <f t="shared" si="106"/>
        <v>0.15323383084577114</v>
      </c>
      <c r="Q896" s="26">
        <f t="shared" si="107"/>
        <v>1.4279203980099502</v>
      </c>
      <c r="R896" s="29">
        <f t="shared" si="108"/>
        <v>9.3185714285714276</v>
      </c>
      <c r="S896" s="30">
        <f t="shared" si="109"/>
        <v>6</v>
      </c>
      <c r="T896" s="30">
        <f t="shared" si="110"/>
        <v>2023</v>
      </c>
      <c r="U896" s="29" t="str">
        <f t="shared" si="111"/>
        <v>June</v>
      </c>
    </row>
    <row r="897" spans="1:21" ht="17.399999999999999" x14ac:dyDescent="0.3">
      <c r="A897" s="21" t="s">
        <v>2497</v>
      </c>
      <c r="B897" s="21" t="s">
        <v>2498</v>
      </c>
      <c r="C897" s="23" t="s">
        <v>3519</v>
      </c>
      <c r="D897" s="21" t="s">
        <v>3521</v>
      </c>
      <c r="E897" s="24">
        <v>45092</v>
      </c>
      <c r="F897" s="24">
        <v>45096</v>
      </c>
      <c r="G897" s="22" t="s">
        <v>14</v>
      </c>
      <c r="H897" s="25">
        <v>82182</v>
      </c>
      <c r="I897" s="25">
        <v>1495</v>
      </c>
      <c r="J897" s="26">
        <v>1273.3699999999999</v>
      </c>
      <c r="K897" s="25">
        <v>246</v>
      </c>
      <c r="L897" s="21" t="s">
        <v>17</v>
      </c>
      <c r="M897" s="22" t="s">
        <v>3537</v>
      </c>
      <c r="N897" s="27">
        <f t="shared" si="104"/>
        <v>4</v>
      </c>
      <c r="O897" s="28">
        <f t="shared" si="105"/>
        <v>1.8191331435107445E-2</v>
      </c>
      <c r="P897" s="28">
        <f t="shared" si="106"/>
        <v>0.16454849498327759</v>
      </c>
      <c r="Q897" s="26">
        <f t="shared" si="107"/>
        <v>0.85175250836120397</v>
      </c>
      <c r="R897" s="29">
        <f t="shared" si="108"/>
        <v>5.1763008130081296</v>
      </c>
      <c r="S897" s="30">
        <f t="shared" si="109"/>
        <v>6</v>
      </c>
      <c r="T897" s="30">
        <f t="shared" si="110"/>
        <v>2023</v>
      </c>
      <c r="U897" s="29" t="str">
        <f t="shared" si="111"/>
        <v>June</v>
      </c>
    </row>
    <row r="898" spans="1:21" ht="17.399999999999999" x14ac:dyDescent="0.3">
      <c r="A898" s="21" t="s">
        <v>492</v>
      </c>
      <c r="B898" s="21" t="s">
        <v>493</v>
      </c>
      <c r="C898" s="23" t="s">
        <v>3516</v>
      </c>
      <c r="D898" s="21" t="s">
        <v>3517</v>
      </c>
      <c r="E898" s="24">
        <v>45092</v>
      </c>
      <c r="F898" s="24">
        <v>45111</v>
      </c>
      <c r="G898" s="22" t="s">
        <v>11</v>
      </c>
      <c r="H898" s="25">
        <v>31306</v>
      </c>
      <c r="I898" s="25">
        <v>815</v>
      </c>
      <c r="J898" s="26">
        <v>568.45000000000005</v>
      </c>
      <c r="K898" s="25">
        <v>47</v>
      </c>
      <c r="L898" s="21" t="s">
        <v>17</v>
      </c>
      <c r="M898" s="22" t="s">
        <v>11</v>
      </c>
      <c r="N898" s="27">
        <f t="shared" ref="N898:N961" si="112">F898-E898</f>
        <v>19</v>
      </c>
      <c r="O898" s="28">
        <f t="shared" ref="O898:O961" si="113">I898/H898</f>
        <v>2.6033348239954002E-2</v>
      </c>
      <c r="P898" s="28">
        <f t="shared" ref="P898:P961" si="114">K898/I898</f>
        <v>5.7668711656441718E-2</v>
      </c>
      <c r="Q898" s="26">
        <f t="shared" ref="Q898:Q961" si="115">J898/I898</f>
        <v>0.69748466257668718</v>
      </c>
      <c r="R898" s="29">
        <f t="shared" ref="R898:R961" si="116">IFERROR(J898/K898,"0")</f>
        <v>12.094680851063831</v>
      </c>
      <c r="S898" s="30">
        <f t="shared" ref="S898:S961" si="117">MONTH(E898)</f>
        <v>6</v>
      </c>
      <c r="T898" s="30">
        <f t="shared" ref="T898:T961" si="118">YEAR(E898)</f>
        <v>2023</v>
      </c>
      <c r="U898" s="29" t="str">
        <f t="shared" ref="U898:U961" si="119">TEXT(E898,"mmmm")</f>
        <v>June</v>
      </c>
    </row>
    <row r="899" spans="1:21" ht="17.399999999999999" x14ac:dyDescent="0.3">
      <c r="A899" s="21" t="s">
        <v>2447</v>
      </c>
      <c r="B899" s="21" t="s">
        <v>2448</v>
      </c>
      <c r="C899" s="23" t="s">
        <v>3515</v>
      </c>
      <c r="D899" s="21" t="s">
        <v>3517</v>
      </c>
      <c r="E899" s="24">
        <v>45092</v>
      </c>
      <c r="F899" s="24">
        <v>45110</v>
      </c>
      <c r="G899" s="22" t="s">
        <v>24</v>
      </c>
      <c r="H899" s="25">
        <v>61774</v>
      </c>
      <c r="I899" s="25">
        <v>2027</v>
      </c>
      <c r="J899" s="26">
        <v>3843.67</v>
      </c>
      <c r="K899" s="25">
        <v>141</v>
      </c>
      <c r="L899" s="21" t="s">
        <v>21</v>
      </c>
      <c r="M899" s="22" t="s">
        <v>3536</v>
      </c>
      <c r="N899" s="27">
        <f t="shared" si="112"/>
        <v>18</v>
      </c>
      <c r="O899" s="28">
        <f t="shared" si="113"/>
        <v>3.2813157639136205E-2</v>
      </c>
      <c r="P899" s="28">
        <f t="shared" si="114"/>
        <v>6.9560927479033058E-2</v>
      </c>
      <c r="Q899" s="26">
        <f t="shared" si="115"/>
        <v>1.896235816477553</v>
      </c>
      <c r="R899" s="29">
        <f t="shared" si="116"/>
        <v>27.260070921985815</v>
      </c>
      <c r="S899" s="30">
        <f t="shared" si="117"/>
        <v>6</v>
      </c>
      <c r="T899" s="30">
        <f t="shared" si="118"/>
        <v>2023</v>
      </c>
      <c r="U899" s="29" t="str">
        <f t="shared" si="119"/>
        <v>June</v>
      </c>
    </row>
    <row r="900" spans="1:21" ht="17.399999999999999" x14ac:dyDescent="0.3">
      <c r="A900" s="21" t="s">
        <v>2992</v>
      </c>
      <c r="B900" s="21" t="s">
        <v>2993</v>
      </c>
      <c r="C900" s="23" t="s">
        <v>3515</v>
      </c>
      <c r="D900" s="21" t="s">
        <v>3517</v>
      </c>
      <c r="E900" s="24">
        <v>45092</v>
      </c>
      <c r="F900" s="24">
        <v>45118</v>
      </c>
      <c r="G900" s="22" t="s">
        <v>31</v>
      </c>
      <c r="H900" s="25">
        <v>71831</v>
      </c>
      <c r="I900" s="25">
        <v>2825</v>
      </c>
      <c r="J900" s="26">
        <v>1842.1</v>
      </c>
      <c r="K900" s="25">
        <v>142</v>
      </c>
      <c r="L900" s="21" t="s">
        <v>21</v>
      </c>
      <c r="M900" s="22" t="s">
        <v>31</v>
      </c>
      <c r="N900" s="27">
        <f t="shared" si="112"/>
        <v>26</v>
      </c>
      <c r="O900" s="28">
        <f t="shared" si="113"/>
        <v>3.9328423661093397E-2</v>
      </c>
      <c r="P900" s="28">
        <f t="shared" si="114"/>
        <v>5.0265486725663715E-2</v>
      </c>
      <c r="Q900" s="26">
        <f t="shared" si="115"/>
        <v>0.65207079646017696</v>
      </c>
      <c r="R900" s="29">
        <f t="shared" si="116"/>
        <v>12.972535211267605</v>
      </c>
      <c r="S900" s="30">
        <f t="shared" si="117"/>
        <v>6</v>
      </c>
      <c r="T900" s="30">
        <f t="shared" si="118"/>
        <v>2023</v>
      </c>
      <c r="U900" s="29" t="str">
        <f t="shared" si="119"/>
        <v>June</v>
      </c>
    </row>
    <row r="901" spans="1:21" ht="17.399999999999999" x14ac:dyDescent="0.3">
      <c r="A901" s="21" t="s">
        <v>58</v>
      </c>
      <c r="B901" s="22" t="s">
        <v>3783</v>
      </c>
      <c r="C901" s="23" t="s">
        <v>3519</v>
      </c>
      <c r="D901" s="22" t="s">
        <v>3545</v>
      </c>
      <c r="E901" s="24">
        <v>45093</v>
      </c>
      <c r="F901" s="24">
        <v>45109</v>
      </c>
      <c r="G901" s="22" t="s">
        <v>31</v>
      </c>
      <c r="H901" s="25">
        <v>94016</v>
      </c>
      <c r="I901" s="25">
        <v>2427</v>
      </c>
      <c r="J901" s="26">
        <v>3928.42</v>
      </c>
      <c r="K901" s="25">
        <v>207</v>
      </c>
      <c r="L901" s="21" t="s">
        <v>17</v>
      </c>
      <c r="M901" s="22" t="s">
        <v>31</v>
      </c>
      <c r="N901" s="27">
        <f t="shared" si="112"/>
        <v>16</v>
      </c>
      <c r="O901" s="28">
        <f t="shared" si="113"/>
        <v>2.5814754935330156E-2</v>
      </c>
      <c r="P901" s="28">
        <f t="shared" si="114"/>
        <v>8.5290482076637822E-2</v>
      </c>
      <c r="Q901" s="26">
        <f t="shared" si="115"/>
        <v>1.6186320560362588</v>
      </c>
      <c r="R901" s="29">
        <f t="shared" si="116"/>
        <v>18.977874396135267</v>
      </c>
      <c r="S901" s="30">
        <f t="shared" si="117"/>
        <v>6</v>
      </c>
      <c r="T901" s="30">
        <f t="shared" si="118"/>
        <v>2023</v>
      </c>
      <c r="U901" s="29" t="str">
        <f t="shared" si="119"/>
        <v>June</v>
      </c>
    </row>
    <row r="902" spans="1:21" ht="17.399999999999999" x14ac:dyDescent="0.3">
      <c r="A902" s="21" t="s">
        <v>829</v>
      </c>
      <c r="B902" s="21" t="s">
        <v>830</v>
      </c>
      <c r="C902" s="23" t="s">
        <v>3519</v>
      </c>
      <c r="D902" s="21" t="s">
        <v>3517</v>
      </c>
      <c r="E902" s="24">
        <v>45093</v>
      </c>
      <c r="F902" s="24">
        <v>45102</v>
      </c>
      <c r="G902" s="22" t="s">
        <v>11</v>
      </c>
      <c r="H902" s="25">
        <v>91852</v>
      </c>
      <c r="I902" s="25">
        <v>4186</v>
      </c>
      <c r="J902" s="26">
        <v>4363.12</v>
      </c>
      <c r="K902" s="25">
        <v>0</v>
      </c>
      <c r="L902" s="21" t="s">
        <v>17</v>
      </c>
      <c r="M902" s="22" t="s">
        <v>11</v>
      </c>
      <c r="N902" s="27">
        <f t="shared" si="112"/>
        <v>9</v>
      </c>
      <c r="O902" s="28">
        <f t="shared" si="113"/>
        <v>4.5573313591429694E-2</v>
      </c>
      <c r="P902" s="28">
        <f t="shared" si="114"/>
        <v>0</v>
      </c>
      <c r="Q902" s="26">
        <f t="shared" si="115"/>
        <v>1.0423124701385571</v>
      </c>
      <c r="R902" s="29" t="str">
        <f t="shared" si="116"/>
        <v>0</v>
      </c>
      <c r="S902" s="30">
        <f t="shared" si="117"/>
        <v>6</v>
      </c>
      <c r="T902" s="30">
        <f t="shared" si="118"/>
        <v>2023</v>
      </c>
      <c r="U902" s="29" t="str">
        <f t="shared" si="119"/>
        <v>June</v>
      </c>
    </row>
    <row r="903" spans="1:21" ht="17.399999999999999" x14ac:dyDescent="0.3">
      <c r="A903" s="21" t="s">
        <v>3090</v>
      </c>
      <c r="B903" s="21" t="s">
        <v>3091</v>
      </c>
      <c r="C903" s="23" t="s">
        <v>3519</v>
      </c>
      <c r="D903" s="21" t="s">
        <v>3517</v>
      </c>
      <c r="E903" s="24">
        <v>45093</v>
      </c>
      <c r="F903" s="24">
        <v>45106</v>
      </c>
      <c r="G903" s="22" t="s">
        <v>11</v>
      </c>
      <c r="H903" s="25">
        <v>76713</v>
      </c>
      <c r="I903" s="25">
        <v>2685</v>
      </c>
      <c r="J903" s="26">
        <v>1802.59</v>
      </c>
      <c r="K903" s="25">
        <v>254</v>
      </c>
      <c r="L903" s="21" t="s">
        <v>17</v>
      </c>
      <c r="M903" s="22" t="s">
        <v>11</v>
      </c>
      <c r="N903" s="27">
        <f t="shared" si="112"/>
        <v>13</v>
      </c>
      <c r="O903" s="28">
        <f t="shared" si="113"/>
        <v>3.5000586602010088E-2</v>
      </c>
      <c r="P903" s="28">
        <f t="shared" si="114"/>
        <v>9.4599627560521413E-2</v>
      </c>
      <c r="Q903" s="26">
        <f t="shared" si="115"/>
        <v>0.67135567970204835</v>
      </c>
      <c r="R903" s="29">
        <f t="shared" si="116"/>
        <v>7.0968110236220472</v>
      </c>
      <c r="S903" s="30">
        <f t="shared" si="117"/>
        <v>6</v>
      </c>
      <c r="T903" s="30">
        <f t="shared" si="118"/>
        <v>2023</v>
      </c>
      <c r="U903" s="29" t="str">
        <f t="shared" si="119"/>
        <v>June</v>
      </c>
    </row>
    <row r="904" spans="1:21" ht="17.399999999999999" x14ac:dyDescent="0.3">
      <c r="A904" s="21" t="s">
        <v>596</v>
      </c>
      <c r="B904" s="21" t="s">
        <v>597</v>
      </c>
      <c r="C904" s="23" t="s">
        <v>3516</v>
      </c>
      <c r="D904" s="21" t="s">
        <v>3521</v>
      </c>
      <c r="E904" s="24">
        <v>45093</v>
      </c>
      <c r="F904" s="24">
        <v>45115</v>
      </c>
      <c r="G904" s="22" t="s">
        <v>14</v>
      </c>
      <c r="H904" s="25">
        <v>20830</v>
      </c>
      <c r="I904" s="25">
        <v>895</v>
      </c>
      <c r="J904" s="26">
        <v>751.9</v>
      </c>
      <c r="K904" s="25">
        <v>127</v>
      </c>
      <c r="L904" s="21" t="s">
        <v>17</v>
      </c>
      <c r="M904" s="22" t="s">
        <v>3537</v>
      </c>
      <c r="N904" s="27">
        <f t="shared" si="112"/>
        <v>22</v>
      </c>
      <c r="O904" s="28">
        <f t="shared" si="113"/>
        <v>4.2966874699951994E-2</v>
      </c>
      <c r="P904" s="28">
        <f t="shared" si="114"/>
        <v>0.14189944134078211</v>
      </c>
      <c r="Q904" s="26">
        <f t="shared" si="115"/>
        <v>0.84011173184357535</v>
      </c>
      <c r="R904" s="29">
        <f t="shared" si="116"/>
        <v>5.9204724409448817</v>
      </c>
      <c r="S904" s="30">
        <f t="shared" si="117"/>
        <v>6</v>
      </c>
      <c r="T904" s="30">
        <f t="shared" si="118"/>
        <v>2023</v>
      </c>
      <c r="U904" s="29" t="str">
        <f t="shared" si="119"/>
        <v>June</v>
      </c>
    </row>
    <row r="905" spans="1:21" ht="17.399999999999999" x14ac:dyDescent="0.3">
      <c r="A905" s="21" t="s">
        <v>1569</v>
      </c>
      <c r="B905" s="21" t="s">
        <v>1570</v>
      </c>
      <c r="C905" s="23" t="s">
        <v>3516</v>
      </c>
      <c r="D905" s="21" t="s">
        <v>3520</v>
      </c>
      <c r="E905" s="24">
        <v>45093</v>
      </c>
      <c r="F905" s="24">
        <v>45104</v>
      </c>
      <c r="G905" s="22" t="s">
        <v>24</v>
      </c>
      <c r="H905" s="25">
        <v>20963</v>
      </c>
      <c r="I905" s="25">
        <v>1025</v>
      </c>
      <c r="J905" s="26">
        <v>1514.8</v>
      </c>
      <c r="K905" s="25">
        <v>172</v>
      </c>
      <c r="L905" s="21" t="s">
        <v>17</v>
      </c>
      <c r="M905" s="22" t="s">
        <v>3536</v>
      </c>
      <c r="N905" s="27">
        <f t="shared" si="112"/>
        <v>11</v>
      </c>
      <c r="O905" s="28">
        <f t="shared" si="113"/>
        <v>4.8895673329199064E-2</v>
      </c>
      <c r="P905" s="28">
        <f t="shared" si="114"/>
        <v>0.1678048780487805</v>
      </c>
      <c r="Q905" s="26">
        <f t="shared" si="115"/>
        <v>1.4778536585365853</v>
      </c>
      <c r="R905" s="29">
        <f t="shared" si="116"/>
        <v>8.8069767441860467</v>
      </c>
      <c r="S905" s="30">
        <f t="shared" si="117"/>
        <v>6</v>
      </c>
      <c r="T905" s="30">
        <f t="shared" si="118"/>
        <v>2023</v>
      </c>
      <c r="U905" s="29" t="str">
        <f t="shared" si="119"/>
        <v>June</v>
      </c>
    </row>
    <row r="906" spans="1:21" ht="17.399999999999999" x14ac:dyDescent="0.3">
      <c r="A906" s="21" t="s">
        <v>3261</v>
      </c>
      <c r="B906" s="22" t="s">
        <v>3784</v>
      </c>
      <c r="C906" s="23" t="s">
        <v>3516</v>
      </c>
      <c r="D906" s="22" t="s">
        <v>3545</v>
      </c>
      <c r="E906" s="24">
        <v>45093</v>
      </c>
      <c r="F906" s="24">
        <v>45110</v>
      </c>
      <c r="G906" s="22" t="s">
        <v>16</v>
      </c>
      <c r="H906" s="25">
        <v>39158</v>
      </c>
      <c r="I906" s="25">
        <v>511</v>
      </c>
      <c r="J906" s="26">
        <v>331.56</v>
      </c>
      <c r="K906" s="25">
        <v>36</v>
      </c>
      <c r="L906" s="21" t="s">
        <v>17</v>
      </c>
      <c r="M906" s="22" t="s">
        <v>16</v>
      </c>
      <c r="N906" s="27">
        <f t="shared" si="112"/>
        <v>17</v>
      </c>
      <c r="O906" s="28">
        <f t="shared" si="113"/>
        <v>1.3049696102967466E-2</v>
      </c>
      <c r="P906" s="28">
        <f t="shared" si="114"/>
        <v>7.0450097847358117E-2</v>
      </c>
      <c r="Q906" s="26">
        <f t="shared" si="115"/>
        <v>0.64884540117416833</v>
      </c>
      <c r="R906" s="29">
        <f t="shared" si="116"/>
        <v>9.2100000000000009</v>
      </c>
      <c r="S906" s="30">
        <f t="shared" si="117"/>
        <v>6</v>
      </c>
      <c r="T906" s="30">
        <f t="shared" si="118"/>
        <v>2023</v>
      </c>
      <c r="U906" s="29" t="str">
        <f t="shared" si="119"/>
        <v>June</v>
      </c>
    </row>
    <row r="907" spans="1:21" ht="17.399999999999999" x14ac:dyDescent="0.3">
      <c r="A907" s="21" t="s">
        <v>406</v>
      </c>
      <c r="B907" s="21" t="s">
        <v>407</v>
      </c>
      <c r="C907" s="23" t="s">
        <v>3515</v>
      </c>
      <c r="D907" s="21" t="s">
        <v>3521</v>
      </c>
      <c r="E907" s="24">
        <v>45093</v>
      </c>
      <c r="F907" s="24">
        <v>45113</v>
      </c>
      <c r="G907" s="22" t="s">
        <v>31</v>
      </c>
      <c r="H907" s="25">
        <v>51859</v>
      </c>
      <c r="I907" s="25">
        <v>1842</v>
      </c>
      <c r="J907" s="26">
        <v>2243.08</v>
      </c>
      <c r="K907" s="25">
        <v>0</v>
      </c>
      <c r="L907" s="21" t="s">
        <v>21</v>
      </c>
      <c r="M907" s="22" t="s">
        <v>31</v>
      </c>
      <c r="N907" s="27">
        <f t="shared" si="112"/>
        <v>20</v>
      </c>
      <c r="O907" s="28">
        <f t="shared" si="113"/>
        <v>3.5519389112786591E-2</v>
      </c>
      <c r="P907" s="28">
        <f t="shared" si="114"/>
        <v>0</v>
      </c>
      <c r="Q907" s="26">
        <f t="shared" si="115"/>
        <v>1.2177415852334419</v>
      </c>
      <c r="R907" s="29" t="str">
        <f t="shared" si="116"/>
        <v>0</v>
      </c>
      <c r="S907" s="30">
        <f t="shared" si="117"/>
        <v>6</v>
      </c>
      <c r="T907" s="30">
        <f t="shared" si="118"/>
        <v>2023</v>
      </c>
      <c r="U907" s="29" t="str">
        <f t="shared" si="119"/>
        <v>June</v>
      </c>
    </row>
    <row r="908" spans="1:21" ht="17.399999999999999" x14ac:dyDescent="0.3">
      <c r="A908" s="21" t="s">
        <v>1539</v>
      </c>
      <c r="B908" s="22" t="s">
        <v>3785</v>
      </c>
      <c r="C908" s="23" t="s">
        <v>3515</v>
      </c>
      <c r="D908" s="22" t="s">
        <v>3545</v>
      </c>
      <c r="E908" s="24">
        <v>45093</v>
      </c>
      <c r="F908" s="24">
        <v>45096</v>
      </c>
      <c r="G908" s="22" t="s">
        <v>14</v>
      </c>
      <c r="H908" s="25">
        <v>24386</v>
      </c>
      <c r="I908" s="25">
        <v>1096</v>
      </c>
      <c r="J908" s="26">
        <v>1248.24</v>
      </c>
      <c r="K908" s="25">
        <v>87</v>
      </c>
      <c r="L908" s="21" t="s">
        <v>17</v>
      </c>
      <c r="M908" s="22" t="s">
        <v>3537</v>
      </c>
      <c r="N908" s="27">
        <f t="shared" si="112"/>
        <v>3</v>
      </c>
      <c r="O908" s="28">
        <f t="shared" si="113"/>
        <v>4.49438202247191E-2</v>
      </c>
      <c r="P908" s="28">
        <f t="shared" si="114"/>
        <v>7.9379562043795621E-2</v>
      </c>
      <c r="Q908" s="26">
        <f t="shared" si="115"/>
        <v>1.138905109489051</v>
      </c>
      <c r="R908" s="29">
        <f t="shared" si="116"/>
        <v>14.347586206896551</v>
      </c>
      <c r="S908" s="30">
        <f t="shared" si="117"/>
        <v>6</v>
      </c>
      <c r="T908" s="30">
        <f t="shared" si="118"/>
        <v>2023</v>
      </c>
      <c r="U908" s="29" t="str">
        <f t="shared" si="119"/>
        <v>June</v>
      </c>
    </row>
    <row r="909" spans="1:21" ht="17.399999999999999" x14ac:dyDescent="0.3">
      <c r="A909" s="21" t="s">
        <v>3476</v>
      </c>
      <c r="B909" s="21" t="s">
        <v>3477</v>
      </c>
      <c r="C909" s="23" t="s">
        <v>3515</v>
      </c>
      <c r="D909" s="21" t="s">
        <v>3517</v>
      </c>
      <c r="E909" s="24">
        <v>45093</v>
      </c>
      <c r="F909" s="24">
        <v>45119</v>
      </c>
      <c r="G909" s="22" t="s">
        <v>3535</v>
      </c>
      <c r="H909" s="25">
        <v>16313</v>
      </c>
      <c r="I909" s="25">
        <v>769</v>
      </c>
      <c r="J909" s="26">
        <v>450.52</v>
      </c>
      <c r="K909" s="25">
        <v>68</v>
      </c>
      <c r="L909" s="21" t="s">
        <v>17</v>
      </c>
      <c r="M909" s="22" t="s">
        <v>3535</v>
      </c>
      <c r="N909" s="27">
        <f t="shared" si="112"/>
        <v>26</v>
      </c>
      <c r="O909" s="28">
        <f t="shared" si="113"/>
        <v>4.7140317538159747E-2</v>
      </c>
      <c r="P909" s="28">
        <f t="shared" si="114"/>
        <v>8.8426527958387513E-2</v>
      </c>
      <c r="Q909" s="26">
        <f t="shared" si="115"/>
        <v>0.58585175552665802</v>
      </c>
      <c r="R909" s="29">
        <f t="shared" si="116"/>
        <v>6.6252941176470586</v>
      </c>
      <c r="S909" s="30">
        <f t="shared" si="117"/>
        <v>6</v>
      </c>
      <c r="T909" s="30">
        <f t="shared" si="118"/>
        <v>2023</v>
      </c>
      <c r="U909" s="29" t="str">
        <f t="shared" si="119"/>
        <v>June</v>
      </c>
    </row>
    <row r="910" spans="1:21" ht="17.399999999999999" x14ac:dyDescent="0.3">
      <c r="A910" s="21" t="s">
        <v>1921</v>
      </c>
      <c r="B910" s="21" t="s">
        <v>1922</v>
      </c>
      <c r="C910" s="23" t="s">
        <v>3518</v>
      </c>
      <c r="D910" s="21" t="s">
        <v>3520</v>
      </c>
      <c r="E910" s="24">
        <v>45094</v>
      </c>
      <c r="F910" s="24">
        <v>45112</v>
      </c>
      <c r="G910" s="22" t="s">
        <v>16</v>
      </c>
      <c r="H910" s="25">
        <v>85555</v>
      </c>
      <c r="I910" s="25">
        <v>1215</v>
      </c>
      <c r="J910" s="26">
        <v>1128.55</v>
      </c>
      <c r="K910" s="25">
        <v>0</v>
      </c>
      <c r="L910" s="21" t="s">
        <v>21</v>
      </c>
      <c r="M910" s="22" t="s">
        <v>16</v>
      </c>
      <c r="N910" s="27">
        <f t="shared" si="112"/>
        <v>18</v>
      </c>
      <c r="O910" s="28">
        <f t="shared" si="113"/>
        <v>1.4201390918122845E-2</v>
      </c>
      <c r="P910" s="28">
        <f t="shared" si="114"/>
        <v>0</v>
      </c>
      <c r="Q910" s="26">
        <f t="shared" si="115"/>
        <v>0.92884773662551434</v>
      </c>
      <c r="R910" s="29" t="str">
        <f t="shared" si="116"/>
        <v>0</v>
      </c>
      <c r="S910" s="30">
        <f t="shared" si="117"/>
        <v>6</v>
      </c>
      <c r="T910" s="30">
        <f t="shared" si="118"/>
        <v>2023</v>
      </c>
      <c r="U910" s="29" t="str">
        <f t="shared" si="119"/>
        <v>June</v>
      </c>
    </row>
    <row r="911" spans="1:21" ht="17.399999999999999" x14ac:dyDescent="0.3">
      <c r="A911" s="21" t="s">
        <v>271</v>
      </c>
      <c r="B911" s="21" t="s">
        <v>272</v>
      </c>
      <c r="C911" s="23" t="s">
        <v>3515</v>
      </c>
      <c r="D911" s="21" t="s">
        <v>3520</v>
      </c>
      <c r="E911" s="24">
        <v>45094</v>
      </c>
      <c r="F911" s="24">
        <v>45103</v>
      </c>
      <c r="G911" s="22" t="s">
        <v>24</v>
      </c>
      <c r="H911" s="25">
        <v>88939</v>
      </c>
      <c r="I911" s="25">
        <v>2448</v>
      </c>
      <c r="J911" s="26">
        <v>3741.89</v>
      </c>
      <c r="K911" s="25">
        <v>205</v>
      </c>
      <c r="L911" s="21" t="s">
        <v>21</v>
      </c>
      <c r="M911" s="22" t="s">
        <v>3536</v>
      </c>
      <c r="N911" s="27">
        <f t="shared" si="112"/>
        <v>9</v>
      </c>
      <c r="O911" s="28">
        <f t="shared" si="113"/>
        <v>2.7524483072667784E-2</v>
      </c>
      <c r="P911" s="28">
        <f t="shared" si="114"/>
        <v>8.3741830065359471E-2</v>
      </c>
      <c r="Q911" s="26">
        <f t="shared" si="115"/>
        <v>1.5285498366013071</v>
      </c>
      <c r="R911" s="29">
        <f t="shared" si="116"/>
        <v>18.253121951219512</v>
      </c>
      <c r="S911" s="30">
        <f t="shared" si="117"/>
        <v>6</v>
      </c>
      <c r="T911" s="30">
        <f t="shared" si="118"/>
        <v>2023</v>
      </c>
      <c r="U911" s="29" t="str">
        <f t="shared" si="119"/>
        <v>June</v>
      </c>
    </row>
    <row r="912" spans="1:21" ht="17.399999999999999" x14ac:dyDescent="0.3">
      <c r="A912" s="21" t="s">
        <v>666</v>
      </c>
      <c r="B912" s="21" t="s">
        <v>667</v>
      </c>
      <c r="C912" s="23" t="s">
        <v>3515</v>
      </c>
      <c r="D912" s="21" t="s">
        <v>3517</v>
      </c>
      <c r="E912" s="24">
        <v>45094</v>
      </c>
      <c r="F912" s="24">
        <v>45113</v>
      </c>
      <c r="G912" s="22" t="s">
        <v>16</v>
      </c>
      <c r="H912" s="25">
        <v>67235</v>
      </c>
      <c r="I912" s="25">
        <v>2033</v>
      </c>
      <c r="J912" s="26">
        <v>1912.37</v>
      </c>
      <c r="K912" s="25">
        <v>384</v>
      </c>
      <c r="L912" s="21" t="s">
        <v>17</v>
      </c>
      <c r="M912" s="22" t="s">
        <v>16</v>
      </c>
      <c r="N912" s="27">
        <f t="shared" si="112"/>
        <v>19</v>
      </c>
      <c r="O912" s="28">
        <f t="shared" si="113"/>
        <v>3.0237227634416598E-2</v>
      </c>
      <c r="P912" s="28">
        <f t="shared" si="114"/>
        <v>0.18888342351205115</v>
      </c>
      <c r="Q912" s="26">
        <f t="shared" si="115"/>
        <v>0.94066404328578446</v>
      </c>
      <c r="R912" s="29">
        <f t="shared" si="116"/>
        <v>4.9801302083333328</v>
      </c>
      <c r="S912" s="30">
        <f t="shared" si="117"/>
        <v>6</v>
      </c>
      <c r="T912" s="30">
        <f t="shared" si="118"/>
        <v>2023</v>
      </c>
      <c r="U912" s="29" t="str">
        <f t="shared" si="119"/>
        <v>June</v>
      </c>
    </row>
    <row r="913" spans="1:21" ht="17.399999999999999" x14ac:dyDescent="0.3">
      <c r="A913" s="21" t="s">
        <v>582</v>
      </c>
      <c r="B913" s="21" t="s">
        <v>583</v>
      </c>
      <c r="C913" s="23" t="s">
        <v>3519</v>
      </c>
      <c r="D913" s="21" t="s">
        <v>3521</v>
      </c>
      <c r="E913" s="24">
        <v>45095</v>
      </c>
      <c r="F913" s="24">
        <v>45120</v>
      </c>
      <c r="G913" s="22" t="s">
        <v>16</v>
      </c>
      <c r="H913" s="25">
        <v>23399</v>
      </c>
      <c r="I913" s="25">
        <v>293</v>
      </c>
      <c r="J913" s="26">
        <v>557.51</v>
      </c>
      <c r="K913" s="25">
        <v>46</v>
      </c>
      <c r="L913" s="21" t="s">
        <v>21</v>
      </c>
      <c r="M913" s="22" t="s">
        <v>16</v>
      </c>
      <c r="N913" s="27">
        <f t="shared" si="112"/>
        <v>25</v>
      </c>
      <c r="O913" s="28">
        <f t="shared" si="113"/>
        <v>1.2521902645412197E-2</v>
      </c>
      <c r="P913" s="28">
        <f t="shared" si="114"/>
        <v>0.15699658703071673</v>
      </c>
      <c r="Q913" s="26">
        <f t="shared" si="115"/>
        <v>1.9027645051194539</v>
      </c>
      <c r="R913" s="29">
        <f t="shared" si="116"/>
        <v>12.119782608695653</v>
      </c>
      <c r="S913" s="30">
        <f t="shared" si="117"/>
        <v>6</v>
      </c>
      <c r="T913" s="30">
        <f t="shared" si="118"/>
        <v>2023</v>
      </c>
      <c r="U913" s="29" t="str">
        <f t="shared" si="119"/>
        <v>June</v>
      </c>
    </row>
    <row r="914" spans="1:21" ht="17.399999999999999" x14ac:dyDescent="0.3">
      <c r="A914" s="21" t="s">
        <v>1558</v>
      </c>
      <c r="B914" s="21" t="s">
        <v>1559</v>
      </c>
      <c r="C914" s="23" t="s">
        <v>3516</v>
      </c>
      <c r="D914" s="21" t="s">
        <v>3521</v>
      </c>
      <c r="E914" s="24">
        <v>45095</v>
      </c>
      <c r="F914" s="24">
        <v>45119</v>
      </c>
      <c r="G914" s="22" t="s">
        <v>11</v>
      </c>
      <c r="H914" s="25">
        <v>53329</v>
      </c>
      <c r="I914" s="25">
        <v>571</v>
      </c>
      <c r="J914" s="26">
        <v>757.48</v>
      </c>
      <c r="K914" s="25">
        <v>73</v>
      </c>
      <c r="L914" s="21" t="s">
        <v>21</v>
      </c>
      <c r="M914" s="22" t="s">
        <v>11</v>
      </c>
      <c r="N914" s="27">
        <f t="shared" si="112"/>
        <v>24</v>
      </c>
      <c r="O914" s="28">
        <f t="shared" si="113"/>
        <v>1.0707119953496222E-2</v>
      </c>
      <c r="P914" s="28">
        <f t="shared" si="114"/>
        <v>0.12784588441330999</v>
      </c>
      <c r="Q914" s="26">
        <f t="shared" si="115"/>
        <v>1.326584938704028</v>
      </c>
      <c r="R914" s="29">
        <f t="shared" si="116"/>
        <v>10.376438356164384</v>
      </c>
      <c r="S914" s="30">
        <f t="shared" si="117"/>
        <v>6</v>
      </c>
      <c r="T914" s="30">
        <f t="shared" si="118"/>
        <v>2023</v>
      </c>
      <c r="U914" s="29" t="str">
        <f t="shared" si="119"/>
        <v>June</v>
      </c>
    </row>
    <row r="915" spans="1:21" ht="17.399999999999999" x14ac:dyDescent="0.3">
      <c r="A915" s="21" t="s">
        <v>1190</v>
      </c>
      <c r="B915" s="21" t="s">
        <v>1191</v>
      </c>
      <c r="C915" s="23" t="s">
        <v>3519</v>
      </c>
      <c r="D915" s="21" t="s">
        <v>3517</v>
      </c>
      <c r="E915" s="24">
        <v>45096</v>
      </c>
      <c r="F915" s="24">
        <v>45121</v>
      </c>
      <c r="G915" s="22" t="s">
        <v>3535</v>
      </c>
      <c r="H915" s="25">
        <v>89858</v>
      </c>
      <c r="I915" s="25">
        <v>1708</v>
      </c>
      <c r="J915" s="26">
        <v>1704.58</v>
      </c>
      <c r="K915" s="25">
        <v>316</v>
      </c>
      <c r="L915" s="21" t="s">
        <v>21</v>
      </c>
      <c r="M915" s="22" t="s">
        <v>3535</v>
      </c>
      <c r="N915" s="27">
        <f t="shared" si="112"/>
        <v>25</v>
      </c>
      <c r="O915" s="28">
        <f t="shared" si="113"/>
        <v>1.900776781143582E-2</v>
      </c>
      <c r="P915" s="28">
        <f t="shared" si="114"/>
        <v>0.18501170960187355</v>
      </c>
      <c r="Q915" s="26">
        <f t="shared" si="115"/>
        <v>0.99799765807962526</v>
      </c>
      <c r="R915" s="29">
        <f t="shared" si="116"/>
        <v>5.3942405063291137</v>
      </c>
      <c r="S915" s="30">
        <f t="shared" si="117"/>
        <v>6</v>
      </c>
      <c r="T915" s="30">
        <f t="shared" si="118"/>
        <v>2023</v>
      </c>
      <c r="U915" s="29" t="str">
        <f t="shared" si="119"/>
        <v>June</v>
      </c>
    </row>
    <row r="916" spans="1:21" ht="17.399999999999999" x14ac:dyDescent="0.3">
      <c r="A916" s="21" t="s">
        <v>1253</v>
      </c>
      <c r="B916" s="22" t="s">
        <v>3786</v>
      </c>
      <c r="C916" s="23" t="s">
        <v>3519</v>
      </c>
      <c r="D916" s="22" t="s">
        <v>3545</v>
      </c>
      <c r="E916" s="24">
        <v>45096</v>
      </c>
      <c r="F916" s="24">
        <v>45114</v>
      </c>
      <c r="G916" s="22" t="s">
        <v>11</v>
      </c>
      <c r="H916" s="25">
        <v>31355</v>
      </c>
      <c r="I916" s="25">
        <v>1096</v>
      </c>
      <c r="J916" s="26">
        <v>721.59</v>
      </c>
      <c r="K916" s="25">
        <v>67</v>
      </c>
      <c r="L916" s="21" t="s">
        <v>17</v>
      </c>
      <c r="M916" s="22" t="s">
        <v>11</v>
      </c>
      <c r="N916" s="27">
        <f t="shared" si="112"/>
        <v>18</v>
      </c>
      <c r="O916" s="28">
        <f t="shared" si="113"/>
        <v>3.4954552702918196E-2</v>
      </c>
      <c r="P916" s="28">
        <f t="shared" si="114"/>
        <v>6.113138686131387E-2</v>
      </c>
      <c r="Q916" s="26">
        <f t="shared" si="115"/>
        <v>0.65838503649635038</v>
      </c>
      <c r="R916" s="29">
        <f t="shared" si="116"/>
        <v>10.770000000000001</v>
      </c>
      <c r="S916" s="30">
        <f t="shared" si="117"/>
        <v>6</v>
      </c>
      <c r="T916" s="30">
        <f t="shared" si="118"/>
        <v>2023</v>
      </c>
      <c r="U916" s="29" t="str">
        <f t="shared" si="119"/>
        <v>June</v>
      </c>
    </row>
    <row r="917" spans="1:21" ht="17.399999999999999" x14ac:dyDescent="0.3">
      <c r="A917" s="21" t="s">
        <v>1601</v>
      </c>
      <c r="B917" s="21" t="s">
        <v>1602</v>
      </c>
      <c r="C917" s="23" t="s">
        <v>3519</v>
      </c>
      <c r="D917" s="21" t="s">
        <v>3517</v>
      </c>
      <c r="E917" s="24">
        <v>45096</v>
      </c>
      <c r="F917" s="24">
        <v>45121</v>
      </c>
      <c r="G917" s="22" t="s">
        <v>24</v>
      </c>
      <c r="H917" s="25">
        <v>23415</v>
      </c>
      <c r="I917" s="25">
        <v>499</v>
      </c>
      <c r="J917" s="26">
        <v>918.39</v>
      </c>
      <c r="K917" s="25">
        <v>0</v>
      </c>
      <c r="L917" s="21" t="s">
        <v>21</v>
      </c>
      <c r="M917" s="22" t="s">
        <v>3536</v>
      </c>
      <c r="N917" s="27">
        <f t="shared" si="112"/>
        <v>25</v>
      </c>
      <c r="O917" s="28">
        <f t="shared" si="113"/>
        <v>2.1311125346999787E-2</v>
      </c>
      <c r="P917" s="28">
        <f t="shared" si="114"/>
        <v>0</v>
      </c>
      <c r="Q917" s="26">
        <f t="shared" si="115"/>
        <v>1.8404609218436874</v>
      </c>
      <c r="R917" s="29" t="str">
        <f t="shared" si="116"/>
        <v>0</v>
      </c>
      <c r="S917" s="30">
        <f t="shared" si="117"/>
        <v>6</v>
      </c>
      <c r="T917" s="30">
        <f t="shared" si="118"/>
        <v>2023</v>
      </c>
      <c r="U917" s="29" t="str">
        <f t="shared" si="119"/>
        <v>June</v>
      </c>
    </row>
    <row r="918" spans="1:21" ht="17.399999999999999" x14ac:dyDescent="0.3">
      <c r="A918" s="21" t="s">
        <v>2061</v>
      </c>
      <c r="B918" s="21" t="s">
        <v>2062</v>
      </c>
      <c r="C918" s="23" t="s">
        <v>3519</v>
      </c>
      <c r="D918" s="21" t="s">
        <v>3517</v>
      </c>
      <c r="E918" s="24">
        <v>45096</v>
      </c>
      <c r="F918" s="24">
        <v>45121</v>
      </c>
      <c r="G918" s="22" t="s">
        <v>14</v>
      </c>
      <c r="H918" s="25">
        <v>72895</v>
      </c>
      <c r="I918" s="25">
        <v>2369</v>
      </c>
      <c r="J918" s="26">
        <v>3830.92</v>
      </c>
      <c r="K918" s="25">
        <v>369</v>
      </c>
      <c r="L918" s="21" t="s">
        <v>17</v>
      </c>
      <c r="M918" s="22" t="s">
        <v>3537</v>
      </c>
      <c r="N918" s="27">
        <f t="shared" si="112"/>
        <v>25</v>
      </c>
      <c r="O918" s="28">
        <f t="shared" si="113"/>
        <v>3.2498799643322585E-2</v>
      </c>
      <c r="P918" s="28">
        <f t="shared" si="114"/>
        <v>0.15576192486281132</v>
      </c>
      <c r="Q918" s="26">
        <f t="shared" si="115"/>
        <v>1.6171042634022794</v>
      </c>
      <c r="R918" s="29">
        <f t="shared" si="116"/>
        <v>10.381897018970189</v>
      </c>
      <c r="S918" s="30">
        <f t="shared" si="117"/>
        <v>6</v>
      </c>
      <c r="T918" s="30">
        <f t="shared" si="118"/>
        <v>2023</v>
      </c>
      <c r="U918" s="29" t="str">
        <f t="shared" si="119"/>
        <v>June</v>
      </c>
    </row>
    <row r="919" spans="1:21" ht="17.399999999999999" x14ac:dyDescent="0.3">
      <c r="A919" s="21" t="s">
        <v>2593</v>
      </c>
      <c r="B919" s="21" t="s">
        <v>2594</v>
      </c>
      <c r="C919" s="23" t="s">
        <v>3519</v>
      </c>
      <c r="D919" s="21" t="s">
        <v>3517</v>
      </c>
      <c r="E919" s="24">
        <v>45096</v>
      </c>
      <c r="F919" s="24">
        <v>45113</v>
      </c>
      <c r="G919" s="22" t="s">
        <v>14</v>
      </c>
      <c r="H919" s="25">
        <v>38904</v>
      </c>
      <c r="I919" s="25">
        <v>663</v>
      </c>
      <c r="J919" s="26">
        <v>1001.81</v>
      </c>
      <c r="K919" s="25">
        <v>58</v>
      </c>
      <c r="L919" s="21" t="s">
        <v>21</v>
      </c>
      <c r="M919" s="22" t="s">
        <v>3537</v>
      </c>
      <c r="N919" s="27">
        <f t="shared" si="112"/>
        <v>17</v>
      </c>
      <c r="O919" s="28">
        <f t="shared" si="113"/>
        <v>1.704194941394201E-2</v>
      </c>
      <c r="P919" s="28">
        <f t="shared" si="114"/>
        <v>8.7481146304675711E-2</v>
      </c>
      <c r="Q919" s="26">
        <f t="shared" si="115"/>
        <v>1.5110256410256409</v>
      </c>
      <c r="R919" s="29">
        <f t="shared" si="116"/>
        <v>17.272586206896552</v>
      </c>
      <c r="S919" s="30">
        <f t="shared" si="117"/>
        <v>6</v>
      </c>
      <c r="T919" s="30">
        <f t="shared" si="118"/>
        <v>2023</v>
      </c>
      <c r="U919" s="29" t="str">
        <f t="shared" si="119"/>
        <v>June</v>
      </c>
    </row>
    <row r="920" spans="1:21" ht="17.399999999999999" x14ac:dyDescent="0.3">
      <c r="A920" s="21" t="s">
        <v>568</v>
      </c>
      <c r="B920" s="21" t="s">
        <v>569</v>
      </c>
      <c r="C920" s="23" t="s">
        <v>3516</v>
      </c>
      <c r="D920" s="21" t="s">
        <v>3517</v>
      </c>
      <c r="E920" s="24">
        <v>45096</v>
      </c>
      <c r="F920" s="24">
        <v>45123</v>
      </c>
      <c r="G920" s="22" t="s">
        <v>16</v>
      </c>
      <c r="H920" s="25">
        <v>91272</v>
      </c>
      <c r="I920" s="25">
        <v>1251</v>
      </c>
      <c r="J920" s="26">
        <v>637.58000000000004</v>
      </c>
      <c r="K920" s="25">
        <v>164</v>
      </c>
      <c r="L920" s="21" t="s">
        <v>17</v>
      </c>
      <c r="M920" s="22" t="s">
        <v>16</v>
      </c>
      <c r="N920" s="27">
        <f t="shared" si="112"/>
        <v>27</v>
      </c>
      <c r="O920" s="28">
        <f t="shared" si="113"/>
        <v>1.3706284512227189E-2</v>
      </c>
      <c r="P920" s="28">
        <f t="shared" si="114"/>
        <v>0.1310951239008793</v>
      </c>
      <c r="Q920" s="26">
        <f t="shared" si="115"/>
        <v>0.50965627498001598</v>
      </c>
      <c r="R920" s="29">
        <f t="shared" si="116"/>
        <v>3.8876829268292687</v>
      </c>
      <c r="S920" s="30">
        <f t="shared" si="117"/>
        <v>6</v>
      </c>
      <c r="T920" s="30">
        <f t="shared" si="118"/>
        <v>2023</v>
      </c>
      <c r="U920" s="29" t="str">
        <f t="shared" si="119"/>
        <v>June</v>
      </c>
    </row>
    <row r="921" spans="1:21" ht="17.399999999999999" x14ac:dyDescent="0.3">
      <c r="A921" s="21" t="s">
        <v>2376</v>
      </c>
      <c r="B921" s="22" t="s">
        <v>3787</v>
      </c>
      <c r="C921" s="23" t="s">
        <v>3516</v>
      </c>
      <c r="D921" s="22" t="s">
        <v>3545</v>
      </c>
      <c r="E921" s="24">
        <v>45096</v>
      </c>
      <c r="F921" s="24">
        <v>45121</v>
      </c>
      <c r="G921" s="22" t="s">
        <v>24</v>
      </c>
      <c r="H921" s="25">
        <v>17032</v>
      </c>
      <c r="I921" s="25">
        <v>489</v>
      </c>
      <c r="J921" s="26">
        <v>346.64</v>
      </c>
      <c r="K921" s="25">
        <v>27</v>
      </c>
      <c r="L921" s="21" t="s">
        <v>21</v>
      </c>
      <c r="M921" s="22" t="s">
        <v>3536</v>
      </c>
      <c r="N921" s="27">
        <f t="shared" si="112"/>
        <v>25</v>
      </c>
      <c r="O921" s="28">
        <f t="shared" si="113"/>
        <v>2.871066228276186E-2</v>
      </c>
      <c r="P921" s="28">
        <f t="shared" si="114"/>
        <v>5.5214723926380369E-2</v>
      </c>
      <c r="Q921" s="26">
        <f t="shared" si="115"/>
        <v>0.70887525562372189</v>
      </c>
      <c r="R921" s="29">
        <f t="shared" si="116"/>
        <v>12.838518518518518</v>
      </c>
      <c r="S921" s="30">
        <f t="shared" si="117"/>
        <v>6</v>
      </c>
      <c r="T921" s="30">
        <f t="shared" si="118"/>
        <v>2023</v>
      </c>
      <c r="U921" s="29" t="str">
        <f t="shared" si="119"/>
        <v>June</v>
      </c>
    </row>
    <row r="922" spans="1:21" ht="17.399999999999999" x14ac:dyDescent="0.3">
      <c r="A922" s="21" t="s">
        <v>2541</v>
      </c>
      <c r="B922" s="22" t="s">
        <v>3788</v>
      </c>
      <c r="C922" s="23" t="s">
        <v>3516</v>
      </c>
      <c r="D922" s="22" t="s">
        <v>3545</v>
      </c>
      <c r="E922" s="24">
        <v>45096</v>
      </c>
      <c r="F922" s="24">
        <v>45111</v>
      </c>
      <c r="G922" s="22" t="s">
        <v>16</v>
      </c>
      <c r="H922" s="25">
        <v>90599</v>
      </c>
      <c r="I922" s="25">
        <v>3664</v>
      </c>
      <c r="J922" s="26">
        <v>6574.62</v>
      </c>
      <c r="K922" s="25">
        <v>469</v>
      </c>
      <c r="L922" s="21" t="s">
        <v>17</v>
      </c>
      <c r="M922" s="22" t="s">
        <v>16</v>
      </c>
      <c r="N922" s="27">
        <f t="shared" si="112"/>
        <v>15</v>
      </c>
      <c r="O922" s="28">
        <f t="shared" si="113"/>
        <v>4.0441947482864046E-2</v>
      </c>
      <c r="P922" s="28">
        <f t="shared" si="114"/>
        <v>0.12800218340611352</v>
      </c>
      <c r="Q922" s="26">
        <f t="shared" si="115"/>
        <v>1.7943831877729257</v>
      </c>
      <c r="R922" s="29">
        <f t="shared" si="116"/>
        <v>14.018379530916844</v>
      </c>
      <c r="S922" s="30">
        <f t="shared" si="117"/>
        <v>6</v>
      </c>
      <c r="T922" s="30">
        <f t="shared" si="118"/>
        <v>2023</v>
      </c>
      <c r="U922" s="29" t="str">
        <f t="shared" si="119"/>
        <v>June</v>
      </c>
    </row>
    <row r="923" spans="1:21" ht="17.399999999999999" x14ac:dyDescent="0.3">
      <c r="A923" s="21" t="s">
        <v>1941</v>
      </c>
      <c r="B923" s="21" t="s">
        <v>1942</v>
      </c>
      <c r="C923" s="23" t="s">
        <v>3515</v>
      </c>
      <c r="D923" s="21" t="s">
        <v>3520</v>
      </c>
      <c r="E923" s="24">
        <v>45096</v>
      </c>
      <c r="F923" s="24">
        <v>45124</v>
      </c>
      <c r="G923" s="22" t="s">
        <v>16</v>
      </c>
      <c r="H923" s="25">
        <v>16524</v>
      </c>
      <c r="I923" s="25">
        <v>262</v>
      </c>
      <c r="J923" s="26">
        <v>347.1</v>
      </c>
      <c r="K923" s="25">
        <v>26</v>
      </c>
      <c r="L923" s="21" t="s">
        <v>17</v>
      </c>
      <c r="M923" s="22" t="s">
        <v>16</v>
      </c>
      <c r="N923" s="27">
        <f t="shared" si="112"/>
        <v>28</v>
      </c>
      <c r="O923" s="28">
        <f t="shared" si="113"/>
        <v>1.5855725006051802E-2</v>
      </c>
      <c r="P923" s="28">
        <f t="shared" si="114"/>
        <v>9.9236641221374045E-2</v>
      </c>
      <c r="Q923" s="26">
        <f t="shared" si="115"/>
        <v>1.3248091603053436</v>
      </c>
      <c r="R923" s="29">
        <f t="shared" si="116"/>
        <v>13.350000000000001</v>
      </c>
      <c r="S923" s="30">
        <f t="shared" si="117"/>
        <v>6</v>
      </c>
      <c r="T923" s="30">
        <f t="shared" si="118"/>
        <v>2023</v>
      </c>
      <c r="U923" s="29" t="str">
        <f t="shared" si="119"/>
        <v>June</v>
      </c>
    </row>
    <row r="924" spans="1:21" ht="17.399999999999999" x14ac:dyDescent="0.3">
      <c r="A924" s="21" t="s">
        <v>2511</v>
      </c>
      <c r="B924" s="21" t="s">
        <v>2512</v>
      </c>
      <c r="C924" s="23" t="s">
        <v>3515</v>
      </c>
      <c r="D924" s="21" t="s">
        <v>3520</v>
      </c>
      <c r="E924" s="24">
        <v>45096</v>
      </c>
      <c r="F924" s="24">
        <v>45116</v>
      </c>
      <c r="G924" s="22" t="s">
        <v>14</v>
      </c>
      <c r="H924" s="25">
        <v>94065</v>
      </c>
      <c r="I924" s="25">
        <v>2924</v>
      </c>
      <c r="J924" s="26">
        <v>1817.99</v>
      </c>
      <c r="K924" s="25">
        <v>584</v>
      </c>
      <c r="L924" s="21" t="s">
        <v>21</v>
      </c>
      <c r="M924" s="22" t="s">
        <v>3537</v>
      </c>
      <c r="N924" s="27">
        <f t="shared" si="112"/>
        <v>20</v>
      </c>
      <c r="O924" s="28">
        <f t="shared" si="113"/>
        <v>3.108488810928613E-2</v>
      </c>
      <c r="P924" s="28">
        <f t="shared" si="114"/>
        <v>0.19972640218878249</v>
      </c>
      <c r="Q924" s="26">
        <f t="shared" si="115"/>
        <v>0.6217476060191518</v>
      </c>
      <c r="R924" s="29">
        <f t="shared" si="116"/>
        <v>3.112996575342466</v>
      </c>
      <c r="S924" s="30">
        <f t="shared" si="117"/>
        <v>6</v>
      </c>
      <c r="T924" s="30">
        <f t="shared" si="118"/>
        <v>2023</v>
      </c>
      <c r="U924" s="29" t="str">
        <f t="shared" si="119"/>
        <v>June</v>
      </c>
    </row>
    <row r="925" spans="1:21" ht="17.399999999999999" x14ac:dyDescent="0.3">
      <c r="A925" s="21" t="s">
        <v>2671</v>
      </c>
      <c r="B925" s="21" t="s">
        <v>2672</v>
      </c>
      <c r="C925" s="23" t="s">
        <v>3515</v>
      </c>
      <c r="D925" s="21" t="s">
        <v>3517</v>
      </c>
      <c r="E925" s="24">
        <v>45096</v>
      </c>
      <c r="F925" s="24">
        <v>45099</v>
      </c>
      <c r="G925" s="22" t="s">
        <v>24</v>
      </c>
      <c r="H925" s="25">
        <v>91600</v>
      </c>
      <c r="I925" s="25">
        <v>1035</v>
      </c>
      <c r="J925" s="26">
        <v>2022.83</v>
      </c>
      <c r="K925" s="25">
        <v>163</v>
      </c>
      <c r="L925" s="21" t="s">
        <v>17</v>
      </c>
      <c r="M925" s="22" t="s">
        <v>3536</v>
      </c>
      <c r="N925" s="27">
        <f t="shared" si="112"/>
        <v>3</v>
      </c>
      <c r="O925" s="28">
        <f t="shared" si="113"/>
        <v>1.1299126637554585E-2</v>
      </c>
      <c r="P925" s="28">
        <f t="shared" si="114"/>
        <v>0.157487922705314</v>
      </c>
      <c r="Q925" s="26">
        <f t="shared" si="115"/>
        <v>1.9544251207729468</v>
      </c>
      <c r="R925" s="29">
        <f t="shared" si="116"/>
        <v>12.41</v>
      </c>
      <c r="S925" s="30">
        <f t="shared" si="117"/>
        <v>6</v>
      </c>
      <c r="T925" s="30">
        <f t="shared" si="118"/>
        <v>2023</v>
      </c>
      <c r="U925" s="29" t="str">
        <f t="shared" si="119"/>
        <v>June</v>
      </c>
    </row>
    <row r="926" spans="1:21" ht="17.399999999999999" x14ac:dyDescent="0.3">
      <c r="A926" s="21" t="s">
        <v>232</v>
      </c>
      <c r="B926" s="22" t="s">
        <v>3789</v>
      </c>
      <c r="C926" s="23" t="s">
        <v>3519</v>
      </c>
      <c r="D926" s="22" t="s">
        <v>3545</v>
      </c>
      <c r="E926" s="24">
        <v>45097</v>
      </c>
      <c r="F926" s="24">
        <v>45101</v>
      </c>
      <c r="G926" s="22" t="s">
        <v>16</v>
      </c>
      <c r="H926" s="25">
        <v>97354</v>
      </c>
      <c r="I926" s="25">
        <v>3966</v>
      </c>
      <c r="J926" s="26">
        <v>2637.77</v>
      </c>
      <c r="K926" s="25">
        <v>628</v>
      </c>
      <c r="L926" s="21" t="s">
        <v>21</v>
      </c>
      <c r="M926" s="22" t="s">
        <v>16</v>
      </c>
      <c r="N926" s="27">
        <f t="shared" si="112"/>
        <v>4</v>
      </c>
      <c r="O926" s="28">
        <f t="shared" si="113"/>
        <v>4.0737925508967272E-2</v>
      </c>
      <c r="P926" s="28">
        <f t="shared" si="114"/>
        <v>0.1583459404942007</v>
      </c>
      <c r="Q926" s="26">
        <f t="shared" si="115"/>
        <v>0.66509581442259202</v>
      </c>
      <c r="R926" s="29">
        <f t="shared" si="116"/>
        <v>4.2002707006369429</v>
      </c>
      <c r="S926" s="30">
        <f t="shared" si="117"/>
        <v>6</v>
      </c>
      <c r="T926" s="30">
        <f t="shared" si="118"/>
        <v>2023</v>
      </c>
      <c r="U926" s="29" t="str">
        <f t="shared" si="119"/>
        <v>June</v>
      </c>
    </row>
    <row r="927" spans="1:21" ht="17.399999999999999" x14ac:dyDescent="0.3">
      <c r="A927" s="21" t="s">
        <v>702</v>
      </c>
      <c r="B927" s="21" t="s">
        <v>703</v>
      </c>
      <c r="C927" s="23" t="s">
        <v>3519</v>
      </c>
      <c r="D927" s="21" t="s">
        <v>3521</v>
      </c>
      <c r="E927" s="24">
        <v>45097</v>
      </c>
      <c r="F927" s="24">
        <v>45102</v>
      </c>
      <c r="G927" s="22" t="s">
        <v>11</v>
      </c>
      <c r="H927" s="25">
        <v>57958</v>
      </c>
      <c r="I927" s="25">
        <v>2328</v>
      </c>
      <c r="J927" s="26">
        <v>2135.23</v>
      </c>
      <c r="K927" s="25">
        <v>280</v>
      </c>
      <c r="L927" s="21" t="s">
        <v>21</v>
      </c>
      <c r="M927" s="22" t="s">
        <v>11</v>
      </c>
      <c r="N927" s="27">
        <f t="shared" si="112"/>
        <v>5</v>
      </c>
      <c r="O927" s="28">
        <f t="shared" si="113"/>
        <v>4.0167017495427726E-2</v>
      </c>
      <c r="P927" s="28">
        <f t="shared" si="114"/>
        <v>0.12027491408934708</v>
      </c>
      <c r="Q927" s="26">
        <f t="shared" si="115"/>
        <v>0.91719501718213059</v>
      </c>
      <c r="R927" s="29">
        <f t="shared" si="116"/>
        <v>7.6258214285714283</v>
      </c>
      <c r="S927" s="30">
        <f t="shared" si="117"/>
        <v>6</v>
      </c>
      <c r="T927" s="30">
        <f t="shared" si="118"/>
        <v>2023</v>
      </c>
      <c r="U927" s="29" t="str">
        <f t="shared" si="119"/>
        <v>June</v>
      </c>
    </row>
    <row r="928" spans="1:21" ht="17.399999999999999" x14ac:dyDescent="0.3">
      <c r="A928" s="21" t="s">
        <v>3204</v>
      </c>
      <c r="B928" s="22" t="s">
        <v>3790</v>
      </c>
      <c r="C928" s="23" t="s">
        <v>3519</v>
      </c>
      <c r="D928" s="22" t="s">
        <v>3545</v>
      </c>
      <c r="E928" s="24">
        <v>45097</v>
      </c>
      <c r="F928" s="24">
        <v>45104</v>
      </c>
      <c r="G928" s="22" t="s">
        <v>24</v>
      </c>
      <c r="H928" s="25">
        <v>42846</v>
      </c>
      <c r="I928" s="25">
        <v>1857</v>
      </c>
      <c r="J928" s="26">
        <v>2794.1</v>
      </c>
      <c r="K928" s="25">
        <v>170</v>
      </c>
      <c r="L928" s="21" t="s">
        <v>17</v>
      </c>
      <c r="M928" s="22" t="s">
        <v>3536</v>
      </c>
      <c r="N928" s="27">
        <f t="shared" si="112"/>
        <v>7</v>
      </c>
      <c r="O928" s="28">
        <f t="shared" si="113"/>
        <v>4.3341268729869764E-2</v>
      </c>
      <c r="P928" s="28">
        <f t="shared" si="114"/>
        <v>9.1545503500269257E-2</v>
      </c>
      <c r="Q928" s="26">
        <f t="shared" si="115"/>
        <v>1.5046311254711899</v>
      </c>
      <c r="R928" s="29">
        <f t="shared" si="116"/>
        <v>16.435882352941174</v>
      </c>
      <c r="S928" s="30">
        <f t="shared" si="117"/>
        <v>6</v>
      </c>
      <c r="T928" s="30">
        <f t="shared" si="118"/>
        <v>2023</v>
      </c>
      <c r="U928" s="29" t="str">
        <f t="shared" si="119"/>
        <v>June</v>
      </c>
    </row>
    <row r="929" spans="1:21" ht="17.399999999999999" x14ac:dyDescent="0.3">
      <c r="A929" s="21" t="s">
        <v>1416</v>
      </c>
      <c r="B929" s="21" t="s">
        <v>1417</v>
      </c>
      <c r="C929" s="23" t="s">
        <v>3515</v>
      </c>
      <c r="D929" s="21" t="s">
        <v>3521</v>
      </c>
      <c r="E929" s="24">
        <v>45097</v>
      </c>
      <c r="F929" s="24">
        <v>45104</v>
      </c>
      <c r="G929" s="22" t="s">
        <v>16</v>
      </c>
      <c r="H929" s="25">
        <v>47540</v>
      </c>
      <c r="I929" s="25">
        <v>2104</v>
      </c>
      <c r="J929" s="26">
        <v>3739.63</v>
      </c>
      <c r="K929" s="25">
        <v>335</v>
      </c>
      <c r="L929" s="21" t="s">
        <v>17</v>
      </c>
      <c r="M929" s="22" t="s">
        <v>16</v>
      </c>
      <c r="N929" s="27">
        <f t="shared" si="112"/>
        <v>7</v>
      </c>
      <c r="O929" s="28">
        <f t="shared" si="113"/>
        <v>4.4257467395877159E-2</v>
      </c>
      <c r="P929" s="28">
        <f t="shared" si="114"/>
        <v>0.15922053231939162</v>
      </c>
      <c r="Q929" s="26">
        <f t="shared" si="115"/>
        <v>1.7773906844106464</v>
      </c>
      <c r="R929" s="29">
        <f t="shared" si="116"/>
        <v>11.163074626865672</v>
      </c>
      <c r="S929" s="30">
        <f t="shared" si="117"/>
        <v>6</v>
      </c>
      <c r="T929" s="30">
        <f t="shared" si="118"/>
        <v>2023</v>
      </c>
      <c r="U929" s="29" t="str">
        <f t="shared" si="119"/>
        <v>June</v>
      </c>
    </row>
    <row r="930" spans="1:21" ht="17.399999999999999" x14ac:dyDescent="0.3">
      <c r="A930" s="21" t="s">
        <v>640</v>
      </c>
      <c r="B930" s="21" t="s">
        <v>641</v>
      </c>
      <c r="C930" s="23" t="s">
        <v>3516</v>
      </c>
      <c r="D930" s="21" t="s">
        <v>3517</v>
      </c>
      <c r="E930" s="24">
        <v>45097</v>
      </c>
      <c r="F930" s="24">
        <v>45113</v>
      </c>
      <c r="G930" s="22" t="s">
        <v>31</v>
      </c>
      <c r="H930" s="25">
        <v>57491</v>
      </c>
      <c r="I930" s="25">
        <v>1892</v>
      </c>
      <c r="J930" s="26">
        <v>2795</v>
      </c>
      <c r="K930" s="25">
        <v>108</v>
      </c>
      <c r="L930" s="21" t="s">
        <v>21</v>
      </c>
      <c r="M930" s="22" t="s">
        <v>31</v>
      </c>
      <c r="N930" s="27">
        <f t="shared" si="112"/>
        <v>16</v>
      </c>
      <c r="O930" s="28">
        <f t="shared" si="113"/>
        <v>3.2909498878085267E-2</v>
      </c>
      <c r="P930" s="28">
        <f t="shared" si="114"/>
        <v>5.7082452431289642E-2</v>
      </c>
      <c r="Q930" s="26">
        <f t="shared" si="115"/>
        <v>1.4772727272727273</v>
      </c>
      <c r="R930" s="29">
        <f t="shared" si="116"/>
        <v>25.87962962962963</v>
      </c>
      <c r="S930" s="30">
        <f t="shared" si="117"/>
        <v>6</v>
      </c>
      <c r="T930" s="30">
        <f t="shared" si="118"/>
        <v>2023</v>
      </c>
      <c r="U930" s="29" t="str">
        <f t="shared" si="119"/>
        <v>June</v>
      </c>
    </row>
    <row r="931" spans="1:21" ht="17.399999999999999" x14ac:dyDescent="0.3">
      <c r="A931" s="21" t="s">
        <v>1274</v>
      </c>
      <c r="B931" s="21" t="s">
        <v>1275</v>
      </c>
      <c r="C931" s="23" t="s">
        <v>3519</v>
      </c>
      <c r="D931" s="21" t="s">
        <v>3517</v>
      </c>
      <c r="E931" s="24">
        <v>45098</v>
      </c>
      <c r="F931" s="24">
        <v>45125</v>
      </c>
      <c r="G931" s="22" t="s">
        <v>16</v>
      </c>
      <c r="H931" s="25">
        <v>29016</v>
      </c>
      <c r="I931" s="25">
        <v>1125</v>
      </c>
      <c r="J931" s="26">
        <v>1156.17</v>
      </c>
      <c r="K931" s="25">
        <v>191</v>
      </c>
      <c r="L931" s="21" t="s">
        <v>21</v>
      </c>
      <c r="M931" s="22" t="s">
        <v>16</v>
      </c>
      <c r="N931" s="27">
        <f t="shared" si="112"/>
        <v>27</v>
      </c>
      <c r="O931" s="28">
        <f t="shared" si="113"/>
        <v>3.8771712158808931E-2</v>
      </c>
      <c r="P931" s="28">
        <f t="shared" si="114"/>
        <v>0.16977777777777778</v>
      </c>
      <c r="Q931" s="26">
        <f t="shared" si="115"/>
        <v>1.0277066666666668</v>
      </c>
      <c r="R931" s="29">
        <f t="shared" si="116"/>
        <v>6.0532460732984301</v>
      </c>
      <c r="S931" s="30">
        <f t="shared" si="117"/>
        <v>6</v>
      </c>
      <c r="T931" s="30">
        <f t="shared" si="118"/>
        <v>2023</v>
      </c>
      <c r="U931" s="29" t="str">
        <f t="shared" si="119"/>
        <v>June</v>
      </c>
    </row>
    <row r="932" spans="1:21" ht="17.399999999999999" x14ac:dyDescent="0.3">
      <c r="A932" s="21" t="s">
        <v>3122</v>
      </c>
      <c r="B932" s="21" t="s">
        <v>3123</v>
      </c>
      <c r="C932" s="23" t="s">
        <v>3519</v>
      </c>
      <c r="D932" s="21" t="s">
        <v>3520</v>
      </c>
      <c r="E932" s="24">
        <v>45098</v>
      </c>
      <c r="F932" s="24">
        <v>45103</v>
      </c>
      <c r="G932" s="22" t="s">
        <v>14</v>
      </c>
      <c r="H932" s="25">
        <v>2435</v>
      </c>
      <c r="I932" s="25">
        <v>74</v>
      </c>
      <c r="J932" s="26">
        <v>135.21</v>
      </c>
      <c r="K932" s="25">
        <v>9</v>
      </c>
      <c r="L932" s="21" t="s">
        <v>17</v>
      </c>
      <c r="M932" s="22" t="s">
        <v>3537</v>
      </c>
      <c r="N932" s="27">
        <f t="shared" si="112"/>
        <v>5</v>
      </c>
      <c r="O932" s="28">
        <f t="shared" si="113"/>
        <v>3.0390143737166326E-2</v>
      </c>
      <c r="P932" s="28">
        <f t="shared" si="114"/>
        <v>0.12162162162162163</v>
      </c>
      <c r="Q932" s="26">
        <f t="shared" si="115"/>
        <v>1.8271621621621623</v>
      </c>
      <c r="R932" s="29">
        <f t="shared" si="116"/>
        <v>15.023333333333333</v>
      </c>
      <c r="S932" s="30">
        <f t="shared" si="117"/>
        <v>6</v>
      </c>
      <c r="T932" s="30">
        <f t="shared" si="118"/>
        <v>2023</v>
      </c>
      <c r="U932" s="29" t="str">
        <f t="shared" si="119"/>
        <v>June</v>
      </c>
    </row>
    <row r="933" spans="1:21" ht="17.399999999999999" x14ac:dyDescent="0.3">
      <c r="A933" s="21" t="s">
        <v>3392</v>
      </c>
      <c r="B933" s="21" t="s">
        <v>3393</v>
      </c>
      <c r="C933" s="23" t="s">
        <v>3519</v>
      </c>
      <c r="D933" s="21" t="s">
        <v>3520</v>
      </c>
      <c r="E933" s="24">
        <v>45098</v>
      </c>
      <c r="F933" s="24">
        <v>45116</v>
      </c>
      <c r="G933" s="22" t="s">
        <v>14</v>
      </c>
      <c r="H933" s="25">
        <v>28424</v>
      </c>
      <c r="I933" s="25">
        <v>979</v>
      </c>
      <c r="J933" s="26">
        <v>1697.64</v>
      </c>
      <c r="K933" s="25">
        <v>96</v>
      </c>
      <c r="L933" s="21" t="s">
        <v>21</v>
      </c>
      <c r="M933" s="22" t="s">
        <v>3537</v>
      </c>
      <c r="N933" s="27">
        <f t="shared" si="112"/>
        <v>18</v>
      </c>
      <c r="O933" s="28">
        <f t="shared" si="113"/>
        <v>3.4442724458204337E-2</v>
      </c>
      <c r="P933" s="28">
        <f t="shared" si="114"/>
        <v>9.8059244126659853E-2</v>
      </c>
      <c r="Q933" s="26">
        <f t="shared" si="115"/>
        <v>1.7340551583248214</v>
      </c>
      <c r="R933" s="29">
        <f t="shared" si="116"/>
        <v>17.68375</v>
      </c>
      <c r="S933" s="30">
        <f t="shared" si="117"/>
        <v>6</v>
      </c>
      <c r="T933" s="30">
        <f t="shared" si="118"/>
        <v>2023</v>
      </c>
      <c r="U933" s="29" t="str">
        <f t="shared" si="119"/>
        <v>June</v>
      </c>
    </row>
    <row r="934" spans="1:21" ht="17.399999999999999" x14ac:dyDescent="0.3">
      <c r="A934" s="21" t="s">
        <v>2032</v>
      </c>
      <c r="B934" s="21" t="s">
        <v>2033</v>
      </c>
      <c r="C934" s="23" t="s">
        <v>3516</v>
      </c>
      <c r="D934" s="21" t="s">
        <v>3520</v>
      </c>
      <c r="E934" s="24">
        <v>45098</v>
      </c>
      <c r="F934" s="24">
        <v>45106</v>
      </c>
      <c r="G934" s="22" t="s">
        <v>11</v>
      </c>
      <c r="H934" s="25">
        <v>67656</v>
      </c>
      <c r="I934" s="25">
        <v>779</v>
      </c>
      <c r="J934" s="26">
        <v>1208.3</v>
      </c>
      <c r="K934" s="25">
        <v>127</v>
      </c>
      <c r="L934" s="21" t="s">
        <v>17</v>
      </c>
      <c r="M934" s="22" t="s">
        <v>11</v>
      </c>
      <c r="N934" s="27">
        <f t="shared" si="112"/>
        <v>8</v>
      </c>
      <c r="O934" s="28">
        <f t="shared" si="113"/>
        <v>1.1514130306255173E-2</v>
      </c>
      <c r="P934" s="28">
        <f t="shared" si="114"/>
        <v>0.16302952503209242</v>
      </c>
      <c r="Q934" s="26">
        <f t="shared" si="115"/>
        <v>1.5510911424903722</v>
      </c>
      <c r="R934" s="29">
        <f t="shared" si="116"/>
        <v>9.514173228346456</v>
      </c>
      <c r="S934" s="30">
        <f t="shared" si="117"/>
        <v>6</v>
      </c>
      <c r="T934" s="30">
        <f t="shared" si="118"/>
        <v>2023</v>
      </c>
      <c r="U934" s="29" t="str">
        <f t="shared" si="119"/>
        <v>June</v>
      </c>
    </row>
    <row r="935" spans="1:21" ht="17.399999999999999" x14ac:dyDescent="0.3">
      <c r="A935" s="21" t="s">
        <v>3300</v>
      </c>
      <c r="B935" s="21" t="s">
        <v>3301</v>
      </c>
      <c r="C935" s="23" t="s">
        <v>3516</v>
      </c>
      <c r="D935" s="21" t="s">
        <v>3517</v>
      </c>
      <c r="E935" s="24">
        <v>45098</v>
      </c>
      <c r="F935" s="24">
        <v>45100</v>
      </c>
      <c r="G935" s="22" t="s">
        <v>16</v>
      </c>
      <c r="H935" s="25">
        <v>48837</v>
      </c>
      <c r="I935" s="25">
        <v>1898</v>
      </c>
      <c r="J935" s="26">
        <v>1729.05</v>
      </c>
      <c r="K935" s="25">
        <v>115</v>
      </c>
      <c r="L935" s="21" t="s">
        <v>17</v>
      </c>
      <c r="M935" s="22" t="s">
        <v>16</v>
      </c>
      <c r="N935" s="27">
        <f t="shared" si="112"/>
        <v>2</v>
      </c>
      <c r="O935" s="28">
        <f t="shared" si="113"/>
        <v>3.8863976083707022E-2</v>
      </c>
      <c r="P935" s="28">
        <f t="shared" si="114"/>
        <v>6.0590094836670182E-2</v>
      </c>
      <c r="Q935" s="26">
        <f t="shared" si="115"/>
        <v>0.91098524762908317</v>
      </c>
      <c r="R935" s="29">
        <f t="shared" si="116"/>
        <v>15.035217391304348</v>
      </c>
      <c r="S935" s="30">
        <f t="shared" si="117"/>
        <v>6</v>
      </c>
      <c r="T935" s="30">
        <f t="shared" si="118"/>
        <v>2023</v>
      </c>
      <c r="U935" s="29" t="str">
        <f t="shared" si="119"/>
        <v>June</v>
      </c>
    </row>
    <row r="936" spans="1:21" ht="17.399999999999999" x14ac:dyDescent="0.3">
      <c r="A936" s="21" t="s">
        <v>321</v>
      </c>
      <c r="B936" s="21" t="s">
        <v>322</v>
      </c>
      <c r="C936" s="23" t="s">
        <v>3515</v>
      </c>
      <c r="D936" s="21" t="s">
        <v>3520</v>
      </c>
      <c r="E936" s="24">
        <v>45098</v>
      </c>
      <c r="F936" s="24">
        <v>45124</v>
      </c>
      <c r="G936" s="22" t="s">
        <v>11</v>
      </c>
      <c r="H936" s="25">
        <v>22976</v>
      </c>
      <c r="I936" s="25">
        <v>366</v>
      </c>
      <c r="J936" s="26">
        <v>562.48</v>
      </c>
      <c r="K936" s="25">
        <v>0</v>
      </c>
      <c r="L936" s="21" t="s">
        <v>17</v>
      </c>
      <c r="M936" s="22" t="s">
        <v>11</v>
      </c>
      <c r="N936" s="27">
        <f t="shared" si="112"/>
        <v>26</v>
      </c>
      <c r="O936" s="28">
        <f t="shared" si="113"/>
        <v>1.5929665738161559E-2</v>
      </c>
      <c r="P936" s="28">
        <f t="shared" si="114"/>
        <v>0</v>
      </c>
      <c r="Q936" s="26">
        <f t="shared" si="115"/>
        <v>1.5368306010928963</v>
      </c>
      <c r="R936" s="29" t="str">
        <f t="shared" si="116"/>
        <v>0</v>
      </c>
      <c r="S936" s="30">
        <f t="shared" si="117"/>
        <v>6</v>
      </c>
      <c r="T936" s="30">
        <f t="shared" si="118"/>
        <v>2023</v>
      </c>
      <c r="U936" s="29" t="str">
        <f t="shared" si="119"/>
        <v>June</v>
      </c>
    </row>
    <row r="937" spans="1:21" ht="17.399999999999999" x14ac:dyDescent="0.3">
      <c r="A937" s="21" t="s">
        <v>342</v>
      </c>
      <c r="B937" s="21" t="s">
        <v>343</v>
      </c>
      <c r="C937" s="23" t="s">
        <v>3519</v>
      </c>
      <c r="D937" s="21" t="s">
        <v>3521</v>
      </c>
      <c r="E937" s="24">
        <v>45099</v>
      </c>
      <c r="F937" s="24">
        <v>45128</v>
      </c>
      <c r="G937" s="22" t="s">
        <v>16</v>
      </c>
      <c r="H937" s="25">
        <v>22959</v>
      </c>
      <c r="I937" s="25">
        <v>1053</v>
      </c>
      <c r="J937" s="26">
        <v>1009.91</v>
      </c>
      <c r="K937" s="25">
        <v>100</v>
      </c>
      <c r="L937" s="21" t="s">
        <v>21</v>
      </c>
      <c r="M937" s="22" t="s">
        <v>16</v>
      </c>
      <c r="N937" s="27">
        <f t="shared" si="112"/>
        <v>29</v>
      </c>
      <c r="O937" s="28">
        <f t="shared" si="113"/>
        <v>4.5864366914935319E-2</v>
      </c>
      <c r="P937" s="28">
        <f t="shared" si="114"/>
        <v>9.4966761633428307E-2</v>
      </c>
      <c r="Q937" s="26">
        <f t="shared" si="115"/>
        <v>0.9590788224121557</v>
      </c>
      <c r="R937" s="29">
        <f t="shared" si="116"/>
        <v>10.0991</v>
      </c>
      <c r="S937" s="30">
        <f t="shared" si="117"/>
        <v>6</v>
      </c>
      <c r="T937" s="30">
        <f t="shared" si="118"/>
        <v>2023</v>
      </c>
      <c r="U937" s="29" t="str">
        <f t="shared" si="119"/>
        <v>June</v>
      </c>
    </row>
    <row r="938" spans="1:21" ht="17.399999999999999" x14ac:dyDescent="0.3">
      <c r="A938" s="21" t="s">
        <v>355</v>
      </c>
      <c r="B938" s="22" t="s">
        <v>3791</v>
      </c>
      <c r="C938" s="23" t="s">
        <v>3519</v>
      </c>
      <c r="D938" s="22" t="s">
        <v>3545</v>
      </c>
      <c r="E938" s="24">
        <v>45099</v>
      </c>
      <c r="F938" s="24">
        <v>45125</v>
      </c>
      <c r="G938" s="22" t="s">
        <v>16</v>
      </c>
      <c r="H938" s="25">
        <v>67199</v>
      </c>
      <c r="I938" s="25">
        <v>1194</v>
      </c>
      <c r="J938" s="26">
        <v>2284.81</v>
      </c>
      <c r="K938" s="25">
        <v>107</v>
      </c>
      <c r="L938" s="21" t="s">
        <v>21</v>
      </c>
      <c r="M938" s="22" t="s">
        <v>16</v>
      </c>
      <c r="N938" s="27">
        <f t="shared" si="112"/>
        <v>26</v>
      </c>
      <c r="O938" s="28">
        <f t="shared" si="113"/>
        <v>1.7768121549427821E-2</v>
      </c>
      <c r="P938" s="28">
        <f t="shared" si="114"/>
        <v>8.9614740368509208E-2</v>
      </c>
      <c r="Q938" s="26">
        <f t="shared" si="115"/>
        <v>1.9135762144053601</v>
      </c>
      <c r="R938" s="29">
        <f t="shared" si="116"/>
        <v>21.353364485981309</v>
      </c>
      <c r="S938" s="30">
        <f t="shared" si="117"/>
        <v>6</v>
      </c>
      <c r="T938" s="30">
        <f t="shared" si="118"/>
        <v>2023</v>
      </c>
      <c r="U938" s="29" t="str">
        <f t="shared" si="119"/>
        <v>June</v>
      </c>
    </row>
    <row r="939" spans="1:21" ht="17.399999999999999" x14ac:dyDescent="0.3">
      <c r="A939" s="21" t="s">
        <v>404</v>
      </c>
      <c r="B939" s="21" t="s">
        <v>405</v>
      </c>
      <c r="C939" s="23" t="s">
        <v>3519</v>
      </c>
      <c r="D939" s="21" t="s">
        <v>3521</v>
      </c>
      <c r="E939" s="24">
        <v>45099</v>
      </c>
      <c r="F939" s="24">
        <v>45105</v>
      </c>
      <c r="G939" s="22" t="s">
        <v>14</v>
      </c>
      <c r="H939" s="25">
        <v>88092</v>
      </c>
      <c r="I939" s="25">
        <v>890</v>
      </c>
      <c r="J939" s="26">
        <v>653.23</v>
      </c>
      <c r="K939" s="25">
        <v>62</v>
      </c>
      <c r="L939" s="21" t="s">
        <v>17</v>
      </c>
      <c r="M939" s="22" t="s">
        <v>3537</v>
      </c>
      <c r="N939" s="27">
        <f t="shared" si="112"/>
        <v>6</v>
      </c>
      <c r="O939" s="28">
        <f t="shared" si="113"/>
        <v>1.0103074058938382E-2</v>
      </c>
      <c r="P939" s="28">
        <f t="shared" si="114"/>
        <v>6.9662921348314602E-2</v>
      </c>
      <c r="Q939" s="26">
        <f t="shared" si="115"/>
        <v>0.73396629213483144</v>
      </c>
      <c r="R939" s="29">
        <f t="shared" si="116"/>
        <v>10.535967741935485</v>
      </c>
      <c r="S939" s="30">
        <f t="shared" si="117"/>
        <v>6</v>
      </c>
      <c r="T939" s="30">
        <f t="shared" si="118"/>
        <v>2023</v>
      </c>
      <c r="U939" s="29" t="str">
        <f t="shared" si="119"/>
        <v>June</v>
      </c>
    </row>
    <row r="940" spans="1:21" ht="17.399999999999999" x14ac:dyDescent="0.3">
      <c r="A940" s="21" t="s">
        <v>2202</v>
      </c>
      <c r="B940" s="22" t="s">
        <v>3792</v>
      </c>
      <c r="C940" s="23" t="s">
        <v>3518</v>
      </c>
      <c r="D940" s="22" t="s">
        <v>3545</v>
      </c>
      <c r="E940" s="24">
        <v>45099</v>
      </c>
      <c r="F940" s="24">
        <v>45113</v>
      </c>
      <c r="G940" s="22" t="s">
        <v>14</v>
      </c>
      <c r="H940" s="25">
        <v>80026</v>
      </c>
      <c r="I940" s="25">
        <v>2667</v>
      </c>
      <c r="J940" s="26">
        <v>4980.8599999999997</v>
      </c>
      <c r="K940" s="25">
        <v>201</v>
      </c>
      <c r="L940" s="21" t="s">
        <v>17</v>
      </c>
      <c r="M940" s="22" t="s">
        <v>3537</v>
      </c>
      <c r="N940" s="27">
        <f t="shared" si="112"/>
        <v>14</v>
      </c>
      <c r="O940" s="28">
        <f t="shared" si="113"/>
        <v>3.3326668832629393E-2</v>
      </c>
      <c r="P940" s="28">
        <f t="shared" si="114"/>
        <v>7.536557930258718E-2</v>
      </c>
      <c r="Q940" s="26">
        <f t="shared" si="115"/>
        <v>1.8675890513685789</v>
      </c>
      <c r="R940" s="29">
        <f t="shared" si="116"/>
        <v>24.780398009950247</v>
      </c>
      <c r="S940" s="30">
        <f t="shared" si="117"/>
        <v>6</v>
      </c>
      <c r="T940" s="30">
        <f t="shared" si="118"/>
        <v>2023</v>
      </c>
      <c r="U940" s="29" t="str">
        <f t="shared" si="119"/>
        <v>June</v>
      </c>
    </row>
    <row r="941" spans="1:21" ht="17.399999999999999" x14ac:dyDescent="0.3">
      <c r="A941" s="21" t="s">
        <v>3139</v>
      </c>
      <c r="B941" s="21" t="s">
        <v>3140</v>
      </c>
      <c r="C941" s="23" t="s">
        <v>3518</v>
      </c>
      <c r="D941" s="21" t="s">
        <v>3517</v>
      </c>
      <c r="E941" s="24">
        <v>45099</v>
      </c>
      <c r="F941" s="24">
        <v>45129</v>
      </c>
      <c r="G941" s="22" t="s">
        <v>16</v>
      </c>
      <c r="H941" s="25">
        <v>8491</v>
      </c>
      <c r="I941" s="25">
        <v>101</v>
      </c>
      <c r="J941" s="26">
        <v>154.30000000000001</v>
      </c>
      <c r="K941" s="25">
        <v>9</v>
      </c>
      <c r="L941" s="21" t="s">
        <v>21</v>
      </c>
      <c r="M941" s="22" t="s">
        <v>16</v>
      </c>
      <c r="N941" s="27">
        <f t="shared" si="112"/>
        <v>30</v>
      </c>
      <c r="O941" s="28">
        <f t="shared" si="113"/>
        <v>1.1894947591567543E-2</v>
      </c>
      <c r="P941" s="28">
        <f t="shared" si="114"/>
        <v>8.9108910891089105E-2</v>
      </c>
      <c r="Q941" s="26">
        <f t="shared" si="115"/>
        <v>1.5277227722772277</v>
      </c>
      <c r="R941" s="29">
        <f t="shared" si="116"/>
        <v>17.144444444444446</v>
      </c>
      <c r="S941" s="30">
        <f t="shared" si="117"/>
        <v>6</v>
      </c>
      <c r="T941" s="30">
        <f t="shared" si="118"/>
        <v>2023</v>
      </c>
      <c r="U941" s="29" t="str">
        <f t="shared" si="119"/>
        <v>June</v>
      </c>
    </row>
    <row r="942" spans="1:21" ht="17.399999999999999" x14ac:dyDescent="0.3">
      <c r="A942" s="21" t="s">
        <v>2412</v>
      </c>
      <c r="B942" s="21" t="s">
        <v>2413</v>
      </c>
      <c r="C942" s="23" t="s">
        <v>3519</v>
      </c>
      <c r="D942" s="21" t="s">
        <v>3520</v>
      </c>
      <c r="E942" s="24">
        <v>45100</v>
      </c>
      <c r="F942" s="24">
        <v>45122</v>
      </c>
      <c r="G942" s="22" t="s">
        <v>14</v>
      </c>
      <c r="H942" s="25">
        <v>2279</v>
      </c>
      <c r="I942" s="25">
        <v>102</v>
      </c>
      <c r="J942" s="26">
        <v>76.62</v>
      </c>
      <c r="K942" s="25">
        <v>9</v>
      </c>
      <c r="L942" s="21" t="s">
        <v>21</v>
      </c>
      <c r="M942" s="22" t="s">
        <v>3537</v>
      </c>
      <c r="N942" s="27">
        <f t="shared" si="112"/>
        <v>22</v>
      </c>
      <c r="O942" s="28">
        <f t="shared" si="113"/>
        <v>4.4756472136902148E-2</v>
      </c>
      <c r="P942" s="28">
        <f t="shared" si="114"/>
        <v>8.8235294117647065E-2</v>
      </c>
      <c r="Q942" s="26">
        <f t="shared" si="115"/>
        <v>0.75117647058823533</v>
      </c>
      <c r="R942" s="29">
        <f t="shared" si="116"/>
        <v>8.5133333333333336</v>
      </c>
      <c r="S942" s="30">
        <f t="shared" si="117"/>
        <v>6</v>
      </c>
      <c r="T942" s="30">
        <f t="shared" si="118"/>
        <v>2023</v>
      </c>
      <c r="U942" s="29" t="str">
        <f t="shared" si="119"/>
        <v>June</v>
      </c>
    </row>
    <row r="943" spans="1:21" ht="17.399999999999999" x14ac:dyDescent="0.3">
      <c r="A943" s="21" t="s">
        <v>2743</v>
      </c>
      <c r="B943" s="21" t="s">
        <v>2744</v>
      </c>
      <c r="C943" s="23" t="s">
        <v>3519</v>
      </c>
      <c r="D943" s="21" t="s">
        <v>3517</v>
      </c>
      <c r="E943" s="24">
        <v>45100</v>
      </c>
      <c r="F943" s="24">
        <v>45108</v>
      </c>
      <c r="G943" s="22" t="s">
        <v>16</v>
      </c>
      <c r="H943" s="25">
        <v>24510</v>
      </c>
      <c r="I943" s="25">
        <v>1107</v>
      </c>
      <c r="J943" s="26">
        <v>1239.46</v>
      </c>
      <c r="K943" s="25">
        <v>0</v>
      </c>
      <c r="L943" s="21" t="s">
        <v>17</v>
      </c>
      <c r="M943" s="22" t="s">
        <v>16</v>
      </c>
      <c r="N943" s="27">
        <f t="shared" si="112"/>
        <v>8</v>
      </c>
      <c r="O943" s="28">
        <f t="shared" si="113"/>
        <v>4.5165238678090573E-2</v>
      </c>
      <c r="P943" s="28">
        <f t="shared" si="114"/>
        <v>0</v>
      </c>
      <c r="Q943" s="26">
        <f t="shared" si="115"/>
        <v>1.1196567299006324</v>
      </c>
      <c r="R943" s="29" t="str">
        <f t="shared" si="116"/>
        <v>0</v>
      </c>
      <c r="S943" s="30">
        <f t="shared" si="117"/>
        <v>6</v>
      </c>
      <c r="T943" s="30">
        <f t="shared" si="118"/>
        <v>2023</v>
      </c>
      <c r="U943" s="29" t="str">
        <f t="shared" si="119"/>
        <v>June</v>
      </c>
    </row>
    <row r="944" spans="1:21" ht="17.399999999999999" x14ac:dyDescent="0.3">
      <c r="A944" s="21" t="s">
        <v>2791</v>
      </c>
      <c r="B944" s="21" t="s">
        <v>2792</v>
      </c>
      <c r="C944" s="23" t="s">
        <v>3519</v>
      </c>
      <c r="D944" s="21" t="s">
        <v>3517</v>
      </c>
      <c r="E944" s="24">
        <v>45100</v>
      </c>
      <c r="F944" s="24">
        <v>45106</v>
      </c>
      <c r="G944" s="22" t="s">
        <v>11</v>
      </c>
      <c r="H944" s="25">
        <v>46084</v>
      </c>
      <c r="I944" s="25">
        <v>1032</v>
      </c>
      <c r="J944" s="26">
        <v>1644.29</v>
      </c>
      <c r="K944" s="25">
        <v>151</v>
      </c>
      <c r="L944" s="21" t="s">
        <v>21</v>
      </c>
      <c r="M944" s="22" t="s">
        <v>11</v>
      </c>
      <c r="N944" s="27">
        <f t="shared" si="112"/>
        <v>6</v>
      </c>
      <c r="O944" s="28">
        <f t="shared" si="113"/>
        <v>2.2393889419321241E-2</v>
      </c>
      <c r="P944" s="28">
        <f t="shared" si="114"/>
        <v>0.14631782945736435</v>
      </c>
      <c r="Q944" s="26">
        <f t="shared" si="115"/>
        <v>1.5933042635658914</v>
      </c>
      <c r="R944" s="29">
        <f t="shared" si="116"/>
        <v>10.889337748344371</v>
      </c>
      <c r="S944" s="30">
        <f t="shared" si="117"/>
        <v>6</v>
      </c>
      <c r="T944" s="30">
        <f t="shared" si="118"/>
        <v>2023</v>
      </c>
      <c r="U944" s="29" t="str">
        <f t="shared" si="119"/>
        <v>June</v>
      </c>
    </row>
    <row r="945" spans="1:21" ht="17.399999999999999" x14ac:dyDescent="0.3">
      <c r="A945" s="21" t="s">
        <v>650</v>
      </c>
      <c r="B945" s="21" t="s">
        <v>651</v>
      </c>
      <c r="C945" s="23" t="s">
        <v>3518</v>
      </c>
      <c r="D945" s="21" t="s">
        <v>3521</v>
      </c>
      <c r="E945" s="24">
        <v>45100</v>
      </c>
      <c r="F945" s="24">
        <v>45101</v>
      </c>
      <c r="G945" s="22" t="s">
        <v>24</v>
      </c>
      <c r="H945" s="25">
        <v>48202</v>
      </c>
      <c r="I945" s="25">
        <v>750</v>
      </c>
      <c r="J945" s="26">
        <v>786.62</v>
      </c>
      <c r="K945" s="25">
        <v>60</v>
      </c>
      <c r="L945" s="21" t="s">
        <v>21</v>
      </c>
      <c r="M945" s="22" t="s">
        <v>3536</v>
      </c>
      <c r="N945" s="27">
        <f t="shared" si="112"/>
        <v>1</v>
      </c>
      <c r="O945" s="28">
        <f t="shared" si="113"/>
        <v>1.555952035185262E-2</v>
      </c>
      <c r="P945" s="28">
        <f t="shared" si="114"/>
        <v>0.08</v>
      </c>
      <c r="Q945" s="26">
        <f t="shared" si="115"/>
        <v>1.0488266666666666</v>
      </c>
      <c r="R945" s="29">
        <f t="shared" si="116"/>
        <v>13.110333333333333</v>
      </c>
      <c r="S945" s="30">
        <f t="shared" si="117"/>
        <v>6</v>
      </c>
      <c r="T945" s="30">
        <f t="shared" si="118"/>
        <v>2023</v>
      </c>
      <c r="U945" s="29" t="str">
        <f t="shared" si="119"/>
        <v>June</v>
      </c>
    </row>
    <row r="946" spans="1:21" ht="17.399999999999999" x14ac:dyDescent="0.3">
      <c r="A946" s="21" t="s">
        <v>783</v>
      </c>
      <c r="B946" s="21" t="s">
        <v>784</v>
      </c>
      <c r="C946" s="23" t="s">
        <v>3516</v>
      </c>
      <c r="D946" s="21" t="s">
        <v>3520</v>
      </c>
      <c r="E946" s="24">
        <v>45100</v>
      </c>
      <c r="F946" s="24">
        <v>45107</v>
      </c>
      <c r="G946" s="22" t="s">
        <v>24</v>
      </c>
      <c r="H946" s="25">
        <v>20508</v>
      </c>
      <c r="I946" s="25">
        <v>327</v>
      </c>
      <c r="J946" s="26">
        <v>220.85</v>
      </c>
      <c r="K946" s="25">
        <v>62</v>
      </c>
      <c r="L946" s="21" t="s">
        <v>21</v>
      </c>
      <c r="M946" s="22" t="s">
        <v>3536</v>
      </c>
      <c r="N946" s="27">
        <f t="shared" si="112"/>
        <v>7</v>
      </c>
      <c r="O946" s="28">
        <f t="shared" si="113"/>
        <v>1.5944997074312465E-2</v>
      </c>
      <c r="P946" s="28">
        <f t="shared" si="114"/>
        <v>0.18960244648318042</v>
      </c>
      <c r="Q946" s="26">
        <f t="shared" si="115"/>
        <v>0.67538226299694193</v>
      </c>
      <c r="R946" s="29">
        <f t="shared" si="116"/>
        <v>3.5620967741935483</v>
      </c>
      <c r="S946" s="30">
        <f t="shared" si="117"/>
        <v>6</v>
      </c>
      <c r="T946" s="30">
        <f t="shared" si="118"/>
        <v>2023</v>
      </c>
      <c r="U946" s="29" t="str">
        <f t="shared" si="119"/>
        <v>June</v>
      </c>
    </row>
    <row r="947" spans="1:21" ht="17.399999999999999" x14ac:dyDescent="0.3">
      <c r="A947" s="21" t="s">
        <v>2362</v>
      </c>
      <c r="B947" s="21" t="s">
        <v>2363</v>
      </c>
      <c r="C947" s="23" t="s">
        <v>3516</v>
      </c>
      <c r="D947" s="21" t="s">
        <v>3520</v>
      </c>
      <c r="E947" s="24">
        <v>45100</v>
      </c>
      <c r="F947" s="24">
        <v>45114</v>
      </c>
      <c r="G947" s="22" t="s">
        <v>24</v>
      </c>
      <c r="H947" s="25">
        <v>13175</v>
      </c>
      <c r="I947" s="25">
        <v>150</v>
      </c>
      <c r="J947" s="26">
        <v>284.81</v>
      </c>
      <c r="K947" s="25">
        <v>0</v>
      </c>
      <c r="L947" s="21" t="s">
        <v>17</v>
      </c>
      <c r="M947" s="22" t="s">
        <v>3536</v>
      </c>
      <c r="N947" s="27">
        <f t="shared" si="112"/>
        <v>14</v>
      </c>
      <c r="O947" s="28">
        <f t="shared" si="113"/>
        <v>1.1385199240986717E-2</v>
      </c>
      <c r="P947" s="28">
        <f t="shared" si="114"/>
        <v>0</v>
      </c>
      <c r="Q947" s="26">
        <f t="shared" si="115"/>
        <v>1.8987333333333334</v>
      </c>
      <c r="R947" s="29" t="str">
        <f t="shared" si="116"/>
        <v>0</v>
      </c>
      <c r="S947" s="30">
        <f t="shared" si="117"/>
        <v>6</v>
      </c>
      <c r="T947" s="30">
        <f t="shared" si="118"/>
        <v>2023</v>
      </c>
      <c r="U947" s="29" t="str">
        <f t="shared" si="119"/>
        <v>June</v>
      </c>
    </row>
    <row r="948" spans="1:21" ht="17.399999999999999" x14ac:dyDescent="0.3">
      <c r="A948" s="21" t="s">
        <v>1172</v>
      </c>
      <c r="B948" s="21" t="s">
        <v>1173</v>
      </c>
      <c r="C948" s="23" t="s">
        <v>3515</v>
      </c>
      <c r="D948" s="21" t="s">
        <v>3520</v>
      </c>
      <c r="E948" s="24">
        <v>45100</v>
      </c>
      <c r="F948" s="24">
        <v>45119</v>
      </c>
      <c r="G948" s="22" t="s">
        <v>14</v>
      </c>
      <c r="H948" s="25">
        <v>73592</v>
      </c>
      <c r="I948" s="25">
        <v>2016</v>
      </c>
      <c r="J948" s="26">
        <v>1678.67</v>
      </c>
      <c r="K948" s="25">
        <v>398</v>
      </c>
      <c r="L948" s="21" t="s">
        <v>21</v>
      </c>
      <c r="M948" s="22" t="s">
        <v>3537</v>
      </c>
      <c r="N948" s="27">
        <f t="shared" si="112"/>
        <v>19</v>
      </c>
      <c r="O948" s="28">
        <f t="shared" si="113"/>
        <v>2.739428198717252E-2</v>
      </c>
      <c r="P948" s="28">
        <f t="shared" si="114"/>
        <v>0.19742063492063491</v>
      </c>
      <c r="Q948" s="26">
        <f t="shared" si="115"/>
        <v>0.83267361111111116</v>
      </c>
      <c r="R948" s="29">
        <f t="shared" si="116"/>
        <v>4.2177638190954774</v>
      </c>
      <c r="S948" s="30">
        <f t="shared" si="117"/>
        <v>6</v>
      </c>
      <c r="T948" s="30">
        <f t="shared" si="118"/>
        <v>2023</v>
      </c>
      <c r="U948" s="29" t="str">
        <f t="shared" si="119"/>
        <v>June</v>
      </c>
    </row>
    <row r="949" spans="1:21" ht="17.399999999999999" x14ac:dyDescent="0.3">
      <c r="A949" s="21" t="s">
        <v>910</v>
      </c>
      <c r="B949" s="22" t="s">
        <v>3793</v>
      </c>
      <c r="C949" s="23" t="s">
        <v>3518</v>
      </c>
      <c r="D949" s="22" t="s">
        <v>3545</v>
      </c>
      <c r="E949" s="24">
        <v>45101</v>
      </c>
      <c r="F949" s="24">
        <v>45102</v>
      </c>
      <c r="G949" s="22" t="s">
        <v>31</v>
      </c>
      <c r="H949" s="25">
        <v>95758</v>
      </c>
      <c r="I949" s="25">
        <v>4482</v>
      </c>
      <c r="J949" s="26">
        <v>7363.14</v>
      </c>
      <c r="K949" s="25">
        <v>801</v>
      </c>
      <c r="L949" s="21" t="s">
        <v>21</v>
      </c>
      <c r="M949" s="22" t="s">
        <v>31</v>
      </c>
      <c r="N949" s="27">
        <f t="shared" si="112"/>
        <v>1</v>
      </c>
      <c r="O949" s="28">
        <f t="shared" si="113"/>
        <v>4.6805488836441866E-2</v>
      </c>
      <c r="P949" s="28">
        <f t="shared" si="114"/>
        <v>0.17871485943775101</v>
      </c>
      <c r="Q949" s="26">
        <f t="shared" si="115"/>
        <v>1.6428246318607764</v>
      </c>
      <c r="R949" s="29">
        <f t="shared" si="116"/>
        <v>9.1924344569288401</v>
      </c>
      <c r="S949" s="30">
        <f t="shared" si="117"/>
        <v>6</v>
      </c>
      <c r="T949" s="30">
        <f t="shared" si="118"/>
        <v>2023</v>
      </c>
      <c r="U949" s="29" t="str">
        <f t="shared" si="119"/>
        <v>June</v>
      </c>
    </row>
    <row r="950" spans="1:21" ht="17.399999999999999" x14ac:dyDescent="0.3">
      <c r="A950" s="21" t="s">
        <v>2391</v>
      </c>
      <c r="B950" s="21" t="s">
        <v>2392</v>
      </c>
      <c r="C950" s="23" t="s">
        <v>3518</v>
      </c>
      <c r="D950" s="21" t="s">
        <v>3517</v>
      </c>
      <c r="E950" s="24">
        <v>45101</v>
      </c>
      <c r="F950" s="24">
        <v>45110</v>
      </c>
      <c r="G950" s="22" t="s">
        <v>16</v>
      </c>
      <c r="H950" s="25">
        <v>9705</v>
      </c>
      <c r="I950" s="25">
        <v>190</v>
      </c>
      <c r="J950" s="26">
        <v>341.09</v>
      </c>
      <c r="K950" s="25">
        <v>10</v>
      </c>
      <c r="L950" s="21" t="s">
        <v>21</v>
      </c>
      <c r="M950" s="22" t="s">
        <v>16</v>
      </c>
      <c r="N950" s="27">
        <f t="shared" si="112"/>
        <v>9</v>
      </c>
      <c r="O950" s="28">
        <f t="shared" si="113"/>
        <v>1.9577537351880475E-2</v>
      </c>
      <c r="P950" s="28">
        <f t="shared" si="114"/>
        <v>5.2631578947368418E-2</v>
      </c>
      <c r="Q950" s="26">
        <f t="shared" si="115"/>
        <v>1.7952105263157894</v>
      </c>
      <c r="R950" s="29">
        <f t="shared" si="116"/>
        <v>34.108999999999995</v>
      </c>
      <c r="S950" s="30">
        <f t="shared" si="117"/>
        <v>6</v>
      </c>
      <c r="T950" s="30">
        <f t="shared" si="118"/>
        <v>2023</v>
      </c>
      <c r="U950" s="29" t="str">
        <f t="shared" si="119"/>
        <v>June</v>
      </c>
    </row>
    <row r="951" spans="1:21" ht="17.399999999999999" x14ac:dyDescent="0.3">
      <c r="A951" s="21" t="s">
        <v>3492</v>
      </c>
      <c r="B951" s="21" t="s">
        <v>3493</v>
      </c>
      <c r="C951" s="23" t="s">
        <v>3518</v>
      </c>
      <c r="D951" s="21" t="s">
        <v>3520</v>
      </c>
      <c r="E951" s="24">
        <v>45101</v>
      </c>
      <c r="F951" s="24">
        <v>45124</v>
      </c>
      <c r="G951" s="22" t="s">
        <v>14</v>
      </c>
      <c r="H951" s="25">
        <v>21022</v>
      </c>
      <c r="I951" s="25">
        <v>698</v>
      </c>
      <c r="J951" s="26">
        <v>1211.3599999999999</v>
      </c>
      <c r="K951" s="25">
        <v>98</v>
      </c>
      <c r="L951" s="21" t="s">
        <v>21</v>
      </c>
      <c r="M951" s="22" t="s">
        <v>3537</v>
      </c>
      <c r="N951" s="27">
        <f t="shared" si="112"/>
        <v>23</v>
      </c>
      <c r="O951" s="28">
        <f t="shared" si="113"/>
        <v>3.3203310817239082E-2</v>
      </c>
      <c r="P951" s="28">
        <f t="shared" si="114"/>
        <v>0.14040114613180515</v>
      </c>
      <c r="Q951" s="26">
        <f t="shared" si="115"/>
        <v>1.7354727793696274</v>
      </c>
      <c r="R951" s="29">
        <f t="shared" si="116"/>
        <v>12.36081632653061</v>
      </c>
      <c r="S951" s="30">
        <f t="shared" si="117"/>
        <v>6</v>
      </c>
      <c r="T951" s="30">
        <f t="shared" si="118"/>
        <v>2023</v>
      </c>
      <c r="U951" s="29" t="str">
        <f t="shared" si="119"/>
        <v>June</v>
      </c>
    </row>
    <row r="952" spans="1:21" ht="17.399999999999999" x14ac:dyDescent="0.3">
      <c r="A952" s="21" t="s">
        <v>86</v>
      </c>
      <c r="B952" s="21" t="s">
        <v>87</v>
      </c>
      <c r="C952" s="23" t="s">
        <v>3516</v>
      </c>
      <c r="D952" s="21" t="s">
        <v>3521</v>
      </c>
      <c r="E952" s="24">
        <v>45101</v>
      </c>
      <c r="F952" s="24">
        <v>45106</v>
      </c>
      <c r="G952" s="22" t="s">
        <v>11</v>
      </c>
      <c r="H952" s="25">
        <v>42606</v>
      </c>
      <c r="I952" s="25">
        <v>1061</v>
      </c>
      <c r="J952" s="26">
        <v>973.67</v>
      </c>
      <c r="K952" s="25">
        <v>55</v>
      </c>
      <c r="L952" s="21" t="s">
        <v>21</v>
      </c>
      <c r="M952" s="22" t="s">
        <v>11</v>
      </c>
      <c r="N952" s="27">
        <f t="shared" si="112"/>
        <v>5</v>
      </c>
      <c r="O952" s="28">
        <f t="shared" si="113"/>
        <v>2.4902595878514764E-2</v>
      </c>
      <c r="P952" s="28">
        <f t="shared" si="114"/>
        <v>5.1837888784165884E-2</v>
      </c>
      <c r="Q952" s="26">
        <f t="shared" si="115"/>
        <v>0.91769085768143255</v>
      </c>
      <c r="R952" s="29">
        <f t="shared" si="116"/>
        <v>17.703090909090907</v>
      </c>
      <c r="S952" s="30">
        <f t="shared" si="117"/>
        <v>6</v>
      </c>
      <c r="T952" s="30">
        <f t="shared" si="118"/>
        <v>2023</v>
      </c>
      <c r="U952" s="29" t="str">
        <f t="shared" si="119"/>
        <v>June</v>
      </c>
    </row>
    <row r="953" spans="1:21" ht="17.399999999999999" x14ac:dyDescent="0.3">
      <c r="A953" s="21" t="s">
        <v>1131</v>
      </c>
      <c r="B953" s="21" t="s">
        <v>1132</v>
      </c>
      <c r="C953" s="23" t="s">
        <v>3515</v>
      </c>
      <c r="D953" s="21" t="s">
        <v>3521</v>
      </c>
      <c r="E953" s="24">
        <v>45101</v>
      </c>
      <c r="F953" s="24">
        <v>45113</v>
      </c>
      <c r="G953" s="22" t="s">
        <v>31</v>
      </c>
      <c r="H953" s="25">
        <v>98203</v>
      </c>
      <c r="I953" s="25">
        <v>2931</v>
      </c>
      <c r="J953" s="26">
        <v>2405.02</v>
      </c>
      <c r="K953" s="25">
        <v>205</v>
      </c>
      <c r="L953" s="21" t="s">
        <v>21</v>
      </c>
      <c r="M953" s="22" t="s">
        <v>31</v>
      </c>
      <c r="N953" s="27">
        <f t="shared" si="112"/>
        <v>12</v>
      </c>
      <c r="O953" s="28">
        <f t="shared" si="113"/>
        <v>2.9846338706556827E-2</v>
      </c>
      <c r="P953" s="28">
        <f t="shared" si="114"/>
        <v>6.9941999317639031E-2</v>
      </c>
      <c r="Q953" s="26">
        <f t="shared" si="115"/>
        <v>0.8205458887751621</v>
      </c>
      <c r="R953" s="29">
        <f t="shared" si="116"/>
        <v>11.731804878048781</v>
      </c>
      <c r="S953" s="30">
        <f t="shared" si="117"/>
        <v>6</v>
      </c>
      <c r="T953" s="30">
        <f t="shared" si="118"/>
        <v>2023</v>
      </c>
      <c r="U953" s="29" t="str">
        <f t="shared" si="119"/>
        <v>June</v>
      </c>
    </row>
    <row r="954" spans="1:21" ht="17.399999999999999" x14ac:dyDescent="0.3">
      <c r="A954" s="21" t="s">
        <v>2432</v>
      </c>
      <c r="B954" s="21" t="s">
        <v>2433</v>
      </c>
      <c r="C954" s="23" t="s">
        <v>3518</v>
      </c>
      <c r="D954" s="21" t="s">
        <v>3517</v>
      </c>
      <c r="E954" s="24">
        <v>45102</v>
      </c>
      <c r="F954" s="24">
        <v>45110</v>
      </c>
      <c r="G954" s="22" t="s">
        <v>14</v>
      </c>
      <c r="H954" s="25">
        <v>38599</v>
      </c>
      <c r="I954" s="25">
        <v>953</v>
      </c>
      <c r="J954" s="26">
        <v>1063.6099999999999</v>
      </c>
      <c r="K954" s="25">
        <v>0</v>
      </c>
      <c r="L954" s="21" t="s">
        <v>17</v>
      </c>
      <c r="M954" s="22" t="s">
        <v>3537</v>
      </c>
      <c r="N954" s="27">
        <f t="shared" si="112"/>
        <v>8</v>
      </c>
      <c r="O954" s="28">
        <f t="shared" si="113"/>
        <v>2.4689758802041505E-2</v>
      </c>
      <c r="P954" s="28">
        <f t="shared" si="114"/>
        <v>0</v>
      </c>
      <c r="Q954" s="26">
        <f t="shared" si="115"/>
        <v>1.1160650577124869</v>
      </c>
      <c r="R954" s="29" t="str">
        <f t="shared" si="116"/>
        <v>0</v>
      </c>
      <c r="S954" s="30">
        <f t="shared" si="117"/>
        <v>6</v>
      </c>
      <c r="T954" s="30">
        <f t="shared" si="118"/>
        <v>2023</v>
      </c>
      <c r="U954" s="29" t="str">
        <f t="shared" si="119"/>
        <v>June</v>
      </c>
    </row>
    <row r="955" spans="1:21" ht="17.399999999999999" x14ac:dyDescent="0.3">
      <c r="A955" s="21" t="s">
        <v>2892</v>
      </c>
      <c r="B955" s="21" t="s">
        <v>2893</v>
      </c>
      <c r="C955" s="23" t="s">
        <v>3518</v>
      </c>
      <c r="D955" s="21" t="s">
        <v>3520</v>
      </c>
      <c r="E955" s="24">
        <v>45102</v>
      </c>
      <c r="F955" s="24">
        <v>45111</v>
      </c>
      <c r="G955" s="22" t="s">
        <v>3535</v>
      </c>
      <c r="H955" s="25">
        <v>35157</v>
      </c>
      <c r="I955" s="25">
        <v>790</v>
      </c>
      <c r="J955" s="26">
        <v>1349.64</v>
      </c>
      <c r="K955" s="25">
        <v>0</v>
      </c>
      <c r="L955" s="21" t="s">
        <v>21</v>
      </c>
      <c r="M955" s="22" t="s">
        <v>3535</v>
      </c>
      <c r="N955" s="27">
        <f t="shared" si="112"/>
        <v>9</v>
      </c>
      <c r="O955" s="28">
        <f t="shared" si="113"/>
        <v>2.2470631737634042E-2</v>
      </c>
      <c r="P955" s="28">
        <f t="shared" si="114"/>
        <v>0</v>
      </c>
      <c r="Q955" s="26">
        <f t="shared" si="115"/>
        <v>1.7084050632911394</v>
      </c>
      <c r="R955" s="29" t="str">
        <f t="shared" si="116"/>
        <v>0</v>
      </c>
      <c r="S955" s="30">
        <f t="shared" si="117"/>
        <v>6</v>
      </c>
      <c r="T955" s="30">
        <f t="shared" si="118"/>
        <v>2023</v>
      </c>
      <c r="U955" s="29" t="str">
        <f t="shared" si="119"/>
        <v>June</v>
      </c>
    </row>
    <row r="956" spans="1:21" ht="17.399999999999999" x14ac:dyDescent="0.3">
      <c r="A956" s="21" t="s">
        <v>3496</v>
      </c>
      <c r="B956" s="21" t="s">
        <v>3497</v>
      </c>
      <c r="C956" s="23" t="s">
        <v>3518</v>
      </c>
      <c r="D956" s="21" t="s">
        <v>3517</v>
      </c>
      <c r="E956" s="24">
        <v>45102</v>
      </c>
      <c r="F956" s="24">
        <v>45119</v>
      </c>
      <c r="G956" s="22" t="s">
        <v>31</v>
      </c>
      <c r="H956" s="25">
        <v>71316</v>
      </c>
      <c r="I956" s="25">
        <v>2276</v>
      </c>
      <c r="J956" s="26">
        <v>3144.16</v>
      </c>
      <c r="K956" s="25">
        <v>184</v>
      </c>
      <c r="L956" s="21" t="s">
        <v>21</v>
      </c>
      <c r="M956" s="22" t="s">
        <v>31</v>
      </c>
      <c r="N956" s="27">
        <f t="shared" si="112"/>
        <v>17</v>
      </c>
      <c r="O956" s="28">
        <f t="shared" si="113"/>
        <v>3.1914296931964778E-2</v>
      </c>
      <c r="P956" s="28">
        <f t="shared" si="114"/>
        <v>8.0843585237258347E-2</v>
      </c>
      <c r="Q956" s="26">
        <f t="shared" si="115"/>
        <v>1.3814411247803162</v>
      </c>
      <c r="R956" s="29">
        <f t="shared" si="116"/>
        <v>17.087826086956522</v>
      </c>
      <c r="S956" s="30">
        <f t="shared" si="117"/>
        <v>6</v>
      </c>
      <c r="T956" s="30">
        <f t="shared" si="118"/>
        <v>2023</v>
      </c>
      <c r="U956" s="29" t="str">
        <f t="shared" si="119"/>
        <v>June</v>
      </c>
    </row>
    <row r="957" spans="1:21" ht="17.399999999999999" x14ac:dyDescent="0.3">
      <c r="A957" s="21" t="s">
        <v>1622</v>
      </c>
      <c r="B957" s="22" t="s">
        <v>3794</v>
      </c>
      <c r="C957" s="23" t="s">
        <v>3516</v>
      </c>
      <c r="D957" s="22" t="s">
        <v>3545</v>
      </c>
      <c r="E957" s="24">
        <v>45102</v>
      </c>
      <c r="F957" s="24">
        <v>45128</v>
      </c>
      <c r="G957" s="22" t="s">
        <v>14</v>
      </c>
      <c r="H957" s="25">
        <v>88505</v>
      </c>
      <c r="I957" s="25">
        <v>2766</v>
      </c>
      <c r="J957" s="26">
        <v>2640.22</v>
      </c>
      <c r="K957" s="25">
        <v>300</v>
      </c>
      <c r="L957" s="21" t="s">
        <v>17</v>
      </c>
      <c r="M957" s="22" t="s">
        <v>3537</v>
      </c>
      <c r="N957" s="27">
        <f t="shared" si="112"/>
        <v>26</v>
      </c>
      <c r="O957" s="28">
        <f t="shared" si="113"/>
        <v>3.1252471611773344E-2</v>
      </c>
      <c r="P957" s="28">
        <f t="shared" si="114"/>
        <v>0.10845986984815618</v>
      </c>
      <c r="Q957" s="26">
        <f t="shared" si="115"/>
        <v>0.954526391901663</v>
      </c>
      <c r="R957" s="29">
        <f t="shared" si="116"/>
        <v>8.8007333333333335</v>
      </c>
      <c r="S957" s="30">
        <f t="shared" si="117"/>
        <v>6</v>
      </c>
      <c r="T957" s="30">
        <f t="shared" si="118"/>
        <v>2023</v>
      </c>
      <c r="U957" s="29" t="str">
        <f t="shared" si="119"/>
        <v>June</v>
      </c>
    </row>
    <row r="958" spans="1:21" ht="17.399999999999999" x14ac:dyDescent="0.3">
      <c r="A958" s="21" t="s">
        <v>1760</v>
      </c>
      <c r="B958" s="21" t="s">
        <v>1761</v>
      </c>
      <c r="C958" s="23" t="s">
        <v>3516</v>
      </c>
      <c r="D958" s="21" t="s">
        <v>3521</v>
      </c>
      <c r="E958" s="24">
        <v>45102</v>
      </c>
      <c r="F958" s="24">
        <v>45120</v>
      </c>
      <c r="G958" s="22" t="s">
        <v>16</v>
      </c>
      <c r="H958" s="25">
        <v>63981</v>
      </c>
      <c r="I958" s="25">
        <v>2507</v>
      </c>
      <c r="J958" s="26">
        <v>3019.12</v>
      </c>
      <c r="K958" s="25">
        <v>157</v>
      </c>
      <c r="L958" s="21" t="s">
        <v>21</v>
      </c>
      <c r="M958" s="22" t="s">
        <v>16</v>
      </c>
      <c r="N958" s="27">
        <f t="shared" si="112"/>
        <v>18</v>
      </c>
      <c r="O958" s="28">
        <f t="shared" si="113"/>
        <v>3.9183507603819882E-2</v>
      </c>
      <c r="P958" s="28">
        <f t="shared" si="114"/>
        <v>6.2624650977263663E-2</v>
      </c>
      <c r="Q958" s="26">
        <f t="shared" si="115"/>
        <v>1.2042760271240527</v>
      </c>
      <c r="R958" s="29">
        <f t="shared" si="116"/>
        <v>19.230063694267514</v>
      </c>
      <c r="S958" s="30">
        <f t="shared" si="117"/>
        <v>6</v>
      </c>
      <c r="T958" s="30">
        <f t="shared" si="118"/>
        <v>2023</v>
      </c>
      <c r="U958" s="29" t="str">
        <f t="shared" si="119"/>
        <v>June</v>
      </c>
    </row>
    <row r="959" spans="1:21" ht="17.399999999999999" x14ac:dyDescent="0.3">
      <c r="A959" s="21" t="s">
        <v>2338</v>
      </c>
      <c r="B959" s="21" t="s">
        <v>2339</v>
      </c>
      <c r="C959" s="23" t="s">
        <v>3515</v>
      </c>
      <c r="D959" s="21" t="s">
        <v>3521</v>
      </c>
      <c r="E959" s="24">
        <v>45102</v>
      </c>
      <c r="F959" s="24">
        <v>45129</v>
      </c>
      <c r="G959" s="22" t="s">
        <v>31</v>
      </c>
      <c r="H959" s="25">
        <v>69836</v>
      </c>
      <c r="I959" s="25">
        <v>2470</v>
      </c>
      <c r="J959" s="26">
        <v>4420.1099999999997</v>
      </c>
      <c r="K959" s="25">
        <v>196</v>
      </c>
      <c r="L959" s="21" t="s">
        <v>21</v>
      </c>
      <c r="M959" s="22" t="s">
        <v>31</v>
      </c>
      <c r="N959" s="27">
        <f t="shared" si="112"/>
        <v>27</v>
      </c>
      <c r="O959" s="28">
        <f t="shared" si="113"/>
        <v>3.5368577810871181E-2</v>
      </c>
      <c r="P959" s="28">
        <f t="shared" si="114"/>
        <v>7.9352226720647775E-2</v>
      </c>
      <c r="Q959" s="26">
        <f t="shared" si="115"/>
        <v>1.7895182186234817</v>
      </c>
      <c r="R959" s="29">
        <f t="shared" si="116"/>
        <v>22.551581632653061</v>
      </c>
      <c r="S959" s="30">
        <f t="shared" si="117"/>
        <v>6</v>
      </c>
      <c r="T959" s="30">
        <f t="shared" si="118"/>
        <v>2023</v>
      </c>
      <c r="U959" s="29" t="str">
        <f t="shared" si="119"/>
        <v>June</v>
      </c>
    </row>
    <row r="960" spans="1:21" ht="17.399999999999999" x14ac:dyDescent="0.3">
      <c r="A960" s="21" t="s">
        <v>1238</v>
      </c>
      <c r="B960" s="21" t="s">
        <v>1239</v>
      </c>
      <c r="C960" s="23" t="s">
        <v>3519</v>
      </c>
      <c r="D960" s="21" t="s">
        <v>3520</v>
      </c>
      <c r="E960" s="24">
        <v>45103</v>
      </c>
      <c r="F960" s="24">
        <v>45105</v>
      </c>
      <c r="G960" s="22" t="s">
        <v>31</v>
      </c>
      <c r="H960" s="25">
        <v>94714</v>
      </c>
      <c r="I960" s="25">
        <v>1274</v>
      </c>
      <c r="J960" s="26">
        <v>1281.5999999999999</v>
      </c>
      <c r="K960" s="25">
        <v>163</v>
      </c>
      <c r="L960" s="21" t="s">
        <v>17</v>
      </c>
      <c r="M960" s="22" t="s">
        <v>31</v>
      </c>
      <c r="N960" s="27">
        <f t="shared" si="112"/>
        <v>2</v>
      </c>
      <c r="O960" s="28">
        <f t="shared" si="113"/>
        <v>1.3451020968389045E-2</v>
      </c>
      <c r="P960" s="28">
        <f t="shared" si="114"/>
        <v>0.12794348508634223</v>
      </c>
      <c r="Q960" s="26">
        <f t="shared" si="115"/>
        <v>1.0059654631083201</v>
      </c>
      <c r="R960" s="29">
        <f t="shared" si="116"/>
        <v>7.8625766871165634</v>
      </c>
      <c r="S960" s="30">
        <f t="shared" si="117"/>
        <v>6</v>
      </c>
      <c r="T960" s="30">
        <f t="shared" si="118"/>
        <v>2023</v>
      </c>
      <c r="U960" s="29" t="str">
        <f t="shared" si="119"/>
        <v>June</v>
      </c>
    </row>
    <row r="961" spans="1:21" ht="17.399999999999999" x14ac:dyDescent="0.3">
      <c r="A961" s="21" t="s">
        <v>2577</v>
      </c>
      <c r="B961" s="21" t="s">
        <v>2578</v>
      </c>
      <c r="C961" s="23" t="s">
        <v>3519</v>
      </c>
      <c r="D961" s="21" t="s">
        <v>3521</v>
      </c>
      <c r="E961" s="24">
        <v>45103</v>
      </c>
      <c r="F961" s="24">
        <v>45112</v>
      </c>
      <c r="G961" s="22" t="s">
        <v>24</v>
      </c>
      <c r="H961" s="25">
        <v>46420</v>
      </c>
      <c r="I961" s="25">
        <v>1646</v>
      </c>
      <c r="J961" s="26">
        <v>2817.62</v>
      </c>
      <c r="K961" s="25">
        <v>0</v>
      </c>
      <c r="L961" s="21" t="s">
        <v>17</v>
      </c>
      <c r="M961" s="22" t="s">
        <v>3536</v>
      </c>
      <c r="N961" s="27">
        <f t="shared" si="112"/>
        <v>9</v>
      </c>
      <c r="O961" s="28">
        <f t="shared" si="113"/>
        <v>3.5458853942266264E-2</v>
      </c>
      <c r="P961" s="28">
        <f t="shared" si="114"/>
        <v>0</v>
      </c>
      <c r="Q961" s="26">
        <f t="shared" si="115"/>
        <v>1.7117982989064398</v>
      </c>
      <c r="R961" s="29" t="str">
        <f t="shared" si="116"/>
        <v>0</v>
      </c>
      <c r="S961" s="30">
        <f t="shared" si="117"/>
        <v>6</v>
      </c>
      <c r="T961" s="30">
        <f t="shared" si="118"/>
        <v>2023</v>
      </c>
      <c r="U961" s="29" t="str">
        <f t="shared" si="119"/>
        <v>June</v>
      </c>
    </row>
    <row r="962" spans="1:21" ht="17.399999999999999" x14ac:dyDescent="0.3">
      <c r="A962" s="21" t="s">
        <v>2132</v>
      </c>
      <c r="B962" s="21" t="s">
        <v>2133</v>
      </c>
      <c r="C962" s="23" t="s">
        <v>3516</v>
      </c>
      <c r="D962" s="21" t="s">
        <v>3520</v>
      </c>
      <c r="E962" s="24">
        <v>45103</v>
      </c>
      <c r="F962" s="24">
        <v>45108</v>
      </c>
      <c r="G962" s="22" t="s">
        <v>16</v>
      </c>
      <c r="H962" s="25">
        <v>66310</v>
      </c>
      <c r="I962" s="25">
        <v>901</v>
      </c>
      <c r="J962" s="26">
        <v>1519.12</v>
      </c>
      <c r="K962" s="25">
        <v>60</v>
      </c>
      <c r="L962" s="21" t="s">
        <v>17</v>
      </c>
      <c r="M962" s="22" t="s">
        <v>16</v>
      </c>
      <c r="N962" s="27">
        <f t="shared" ref="N962:N1025" si="120">F962-E962</f>
        <v>5</v>
      </c>
      <c r="O962" s="28">
        <f t="shared" ref="O962:O1025" si="121">I962/H962</f>
        <v>1.3587694163776204E-2</v>
      </c>
      <c r="P962" s="28">
        <f t="shared" ref="P962:P1025" si="122">K962/I962</f>
        <v>6.6592674805771371E-2</v>
      </c>
      <c r="Q962" s="26">
        <f t="shared" ref="Q962:Q1025" si="123">J962/I962</f>
        <v>1.6860377358490566</v>
      </c>
      <c r="R962" s="29">
        <f t="shared" ref="R962:R1025" si="124">IFERROR(J962/K962,"0")</f>
        <v>25.318666666666665</v>
      </c>
      <c r="S962" s="30">
        <f t="shared" ref="S962:S1025" si="125">MONTH(E962)</f>
        <v>6</v>
      </c>
      <c r="T962" s="30">
        <f t="shared" ref="T962:T1025" si="126">YEAR(E962)</f>
        <v>2023</v>
      </c>
      <c r="U962" s="29" t="str">
        <f t="shared" ref="U962:U1025" si="127">TEXT(E962,"mmmm")</f>
        <v>June</v>
      </c>
    </row>
    <row r="963" spans="1:21" ht="17.399999999999999" x14ac:dyDescent="0.3">
      <c r="A963" s="21" t="s">
        <v>2661</v>
      </c>
      <c r="B963" s="21" t="s">
        <v>2662</v>
      </c>
      <c r="C963" s="23" t="s">
        <v>3516</v>
      </c>
      <c r="D963" s="21" t="s">
        <v>3521</v>
      </c>
      <c r="E963" s="24">
        <v>45103</v>
      </c>
      <c r="F963" s="24">
        <v>45125</v>
      </c>
      <c r="G963" s="22" t="s">
        <v>31</v>
      </c>
      <c r="H963" s="25">
        <v>59053</v>
      </c>
      <c r="I963" s="25">
        <v>2845</v>
      </c>
      <c r="J963" s="26">
        <v>4807.18</v>
      </c>
      <c r="K963" s="25">
        <v>308</v>
      </c>
      <c r="L963" s="21" t="s">
        <v>17</v>
      </c>
      <c r="M963" s="22" t="s">
        <v>31</v>
      </c>
      <c r="N963" s="27">
        <f t="shared" si="120"/>
        <v>22</v>
      </c>
      <c r="O963" s="28">
        <f t="shared" si="121"/>
        <v>4.8177061283931386E-2</v>
      </c>
      <c r="P963" s="28">
        <f t="shared" si="122"/>
        <v>0.10826010544815466</v>
      </c>
      <c r="Q963" s="26">
        <f t="shared" si="123"/>
        <v>1.6896942003514939</v>
      </c>
      <c r="R963" s="29">
        <f t="shared" si="124"/>
        <v>15.607727272727274</v>
      </c>
      <c r="S963" s="30">
        <f t="shared" si="125"/>
        <v>6</v>
      </c>
      <c r="T963" s="30">
        <f t="shared" si="126"/>
        <v>2023</v>
      </c>
      <c r="U963" s="29" t="str">
        <f t="shared" si="127"/>
        <v>June</v>
      </c>
    </row>
    <row r="964" spans="1:21" ht="17.399999999999999" x14ac:dyDescent="0.3">
      <c r="A964" s="21" t="s">
        <v>613</v>
      </c>
      <c r="B964" s="21" t="s">
        <v>614</v>
      </c>
      <c r="C964" s="23" t="s">
        <v>3515</v>
      </c>
      <c r="D964" s="21" t="s">
        <v>3521</v>
      </c>
      <c r="E964" s="24">
        <v>45103</v>
      </c>
      <c r="F964" s="24">
        <v>45105</v>
      </c>
      <c r="G964" s="22" t="s">
        <v>14</v>
      </c>
      <c r="H964" s="25">
        <v>20738</v>
      </c>
      <c r="I964" s="25">
        <v>623</v>
      </c>
      <c r="J964" s="26">
        <v>1242.6300000000001</v>
      </c>
      <c r="K964" s="25">
        <v>92</v>
      </c>
      <c r="L964" s="21" t="s">
        <v>21</v>
      </c>
      <c r="M964" s="22" t="s">
        <v>3537</v>
      </c>
      <c r="N964" s="27">
        <f t="shared" si="120"/>
        <v>2</v>
      </c>
      <c r="O964" s="28">
        <f t="shared" si="121"/>
        <v>3.0041469765647602E-2</v>
      </c>
      <c r="P964" s="28">
        <f t="shared" si="122"/>
        <v>0.1476725521669342</v>
      </c>
      <c r="Q964" s="26">
        <f t="shared" si="123"/>
        <v>1.9945906902086679</v>
      </c>
      <c r="R964" s="29">
        <f t="shared" si="124"/>
        <v>13.506847826086958</v>
      </c>
      <c r="S964" s="30">
        <f t="shared" si="125"/>
        <v>6</v>
      </c>
      <c r="T964" s="30">
        <f t="shared" si="126"/>
        <v>2023</v>
      </c>
      <c r="U964" s="29" t="str">
        <f t="shared" si="127"/>
        <v>June</v>
      </c>
    </row>
    <row r="965" spans="1:21" ht="17.399999999999999" x14ac:dyDescent="0.3">
      <c r="A965" s="21" t="s">
        <v>2093</v>
      </c>
      <c r="B965" s="21" t="s">
        <v>2094</v>
      </c>
      <c r="C965" s="23" t="s">
        <v>3515</v>
      </c>
      <c r="D965" s="21" t="s">
        <v>3517</v>
      </c>
      <c r="E965" s="24">
        <v>45103</v>
      </c>
      <c r="F965" s="24">
        <v>45114</v>
      </c>
      <c r="G965" s="22" t="s">
        <v>11</v>
      </c>
      <c r="H965" s="25">
        <v>1814</v>
      </c>
      <c r="I965" s="25">
        <v>35</v>
      </c>
      <c r="J965" s="26">
        <v>24.25</v>
      </c>
      <c r="K965" s="25">
        <v>6</v>
      </c>
      <c r="L965" s="21" t="s">
        <v>17</v>
      </c>
      <c r="M965" s="22" t="s">
        <v>11</v>
      </c>
      <c r="N965" s="27">
        <f t="shared" si="120"/>
        <v>11</v>
      </c>
      <c r="O965" s="28">
        <f t="shared" si="121"/>
        <v>1.9294377067254686E-2</v>
      </c>
      <c r="P965" s="28">
        <f t="shared" si="122"/>
        <v>0.17142857142857143</v>
      </c>
      <c r="Q965" s="26">
        <f t="shared" si="123"/>
        <v>0.69285714285714284</v>
      </c>
      <c r="R965" s="29">
        <f t="shared" si="124"/>
        <v>4.041666666666667</v>
      </c>
      <c r="S965" s="30">
        <f t="shared" si="125"/>
        <v>6</v>
      </c>
      <c r="T965" s="30">
        <f t="shared" si="126"/>
        <v>2023</v>
      </c>
      <c r="U965" s="29" t="str">
        <f t="shared" si="127"/>
        <v>June</v>
      </c>
    </row>
    <row r="966" spans="1:21" ht="17.399999999999999" x14ac:dyDescent="0.3">
      <c r="A966" s="21" t="s">
        <v>2270</v>
      </c>
      <c r="B966" s="21" t="s">
        <v>2271</v>
      </c>
      <c r="C966" s="23" t="s">
        <v>3515</v>
      </c>
      <c r="D966" s="21" t="s">
        <v>3517</v>
      </c>
      <c r="E966" s="24">
        <v>45103</v>
      </c>
      <c r="F966" s="24">
        <v>45130</v>
      </c>
      <c r="G966" s="22" t="s">
        <v>11</v>
      </c>
      <c r="H966" s="25">
        <v>87444</v>
      </c>
      <c r="I966" s="25">
        <v>2507</v>
      </c>
      <c r="J966" s="26">
        <v>4216.66</v>
      </c>
      <c r="K966" s="25">
        <v>157</v>
      </c>
      <c r="L966" s="21" t="s">
        <v>21</v>
      </c>
      <c r="M966" s="22" t="s">
        <v>11</v>
      </c>
      <c r="N966" s="27">
        <f t="shared" si="120"/>
        <v>27</v>
      </c>
      <c r="O966" s="28">
        <f t="shared" si="121"/>
        <v>2.866977722885504E-2</v>
      </c>
      <c r="P966" s="28">
        <f t="shared" si="122"/>
        <v>6.2624650977263663E-2</v>
      </c>
      <c r="Q966" s="26">
        <f t="shared" si="123"/>
        <v>1.6819545273234942</v>
      </c>
      <c r="R966" s="29">
        <f t="shared" si="124"/>
        <v>26.857707006369427</v>
      </c>
      <c r="S966" s="30">
        <f t="shared" si="125"/>
        <v>6</v>
      </c>
      <c r="T966" s="30">
        <f t="shared" si="126"/>
        <v>2023</v>
      </c>
      <c r="U966" s="29" t="str">
        <f t="shared" si="127"/>
        <v>June</v>
      </c>
    </row>
    <row r="967" spans="1:21" ht="17.399999999999999" x14ac:dyDescent="0.3">
      <c r="A967" s="21" t="s">
        <v>2736</v>
      </c>
      <c r="B967" s="21" t="s">
        <v>2737</v>
      </c>
      <c r="C967" s="23" t="s">
        <v>3515</v>
      </c>
      <c r="D967" s="21" t="s">
        <v>3520</v>
      </c>
      <c r="E967" s="24">
        <v>45103</v>
      </c>
      <c r="F967" s="24">
        <v>45116</v>
      </c>
      <c r="G967" s="22" t="s">
        <v>16</v>
      </c>
      <c r="H967" s="25">
        <v>96402</v>
      </c>
      <c r="I967" s="25">
        <v>1090</v>
      </c>
      <c r="J967" s="26">
        <v>1315.59</v>
      </c>
      <c r="K967" s="25">
        <v>66</v>
      </c>
      <c r="L967" s="21" t="s">
        <v>21</v>
      </c>
      <c r="M967" s="22" t="s">
        <v>16</v>
      </c>
      <c r="N967" s="27">
        <f t="shared" si="120"/>
        <v>13</v>
      </c>
      <c r="O967" s="28">
        <f t="shared" si="121"/>
        <v>1.1306819360594179E-2</v>
      </c>
      <c r="P967" s="28">
        <f t="shared" si="122"/>
        <v>6.0550458715596334E-2</v>
      </c>
      <c r="Q967" s="26">
        <f t="shared" si="123"/>
        <v>1.2069633027522935</v>
      </c>
      <c r="R967" s="29">
        <f t="shared" si="124"/>
        <v>19.933181818181819</v>
      </c>
      <c r="S967" s="30">
        <f t="shared" si="125"/>
        <v>6</v>
      </c>
      <c r="T967" s="30">
        <f t="shared" si="126"/>
        <v>2023</v>
      </c>
      <c r="U967" s="29" t="str">
        <f t="shared" si="127"/>
        <v>June</v>
      </c>
    </row>
    <row r="968" spans="1:21" ht="17.399999999999999" x14ac:dyDescent="0.3">
      <c r="A968" s="21" t="s">
        <v>2936</v>
      </c>
      <c r="B968" s="21" t="s">
        <v>2937</v>
      </c>
      <c r="C968" s="23" t="s">
        <v>3515</v>
      </c>
      <c r="D968" s="21" t="s">
        <v>3517</v>
      </c>
      <c r="E968" s="24">
        <v>45103</v>
      </c>
      <c r="F968" s="24">
        <v>45109</v>
      </c>
      <c r="G968" s="22" t="s">
        <v>11</v>
      </c>
      <c r="H968" s="25">
        <v>62413</v>
      </c>
      <c r="I968" s="25">
        <v>2314</v>
      </c>
      <c r="J968" s="26">
        <v>1532.41</v>
      </c>
      <c r="K968" s="25">
        <v>273</v>
      </c>
      <c r="L968" s="21" t="s">
        <v>21</v>
      </c>
      <c r="M968" s="22" t="s">
        <v>11</v>
      </c>
      <c r="N968" s="27">
        <f t="shared" si="120"/>
        <v>6</v>
      </c>
      <c r="O968" s="28">
        <f t="shared" si="121"/>
        <v>3.7075609248073321E-2</v>
      </c>
      <c r="P968" s="28">
        <f t="shared" si="122"/>
        <v>0.11797752808988764</v>
      </c>
      <c r="Q968" s="26">
        <f t="shared" si="123"/>
        <v>0.66223422644770968</v>
      </c>
      <c r="R968" s="29">
        <f t="shared" si="124"/>
        <v>5.6132234432234434</v>
      </c>
      <c r="S968" s="30">
        <f t="shared" si="125"/>
        <v>6</v>
      </c>
      <c r="T968" s="30">
        <f t="shared" si="126"/>
        <v>2023</v>
      </c>
      <c r="U968" s="29" t="str">
        <f t="shared" si="127"/>
        <v>June</v>
      </c>
    </row>
    <row r="969" spans="1:21" ht="17.399999999999999" x14ac:dyDescent="0.3">
      <c r="A969" s="21" t="s">
        <v>1510</v>
      </c>
      <c r="B969" s="21" t="s">
        <v>1511</v>
      </c>
      <c r="C969" s="23" t="s">
        <v>3516</v>
      </c>
      <c r="D969" s="21" t="s">
        <v>3521</v>
      </c>
      <c r="E969" s="24">
        <v>45104</v>
      </c>
      <c r="F969" s="24">
        <v>45127</v>
      </c>
      <c r="G969" s="22" t="s">
        <v>14</v>
      </c>
      <c r="H969" s="25">
        <v>16254</v>
      </c>
      <c r="I969" s="25">
        <v>807</v>
      </c>
      <c r="J969" s="26">
        <v>483.17</v>
      </c>
      <c r="K969" s="25">
        <v>147</v>
      </c>
      <c r="L969" s="21" t="s">
        <v>21</v>
      </c>
      <c r="M969" s="22" t="s">
        <v>3537</v>
      </c>
      <c r="N969" s="27">
        <f t="shared" si="120"/>
        <v>23</v>
      </c>
      <c r="O969" s="28">
        <f t="shared" si="121"/>
        <v>4.9649317091177557E-2</v>
      </c>
      <c r="P969" s="28">
        <f t="shared" si="122"/>
        <v>0.18215613382899629</v>
      </c>
      <c r="Q969" s="26">
        <f t="shared" si="123"/>
        <v>0.5987236679058241</v>
      </c>
      <c r="R969" s="29">
        <f t="shared" si="124"/>
        <v>3.2868707482993198</v>
      </c>
      <c r="S969" s="30">
        <f t="shared" si="125"/>
        <v>6</v>
      </c>
      <c r="T969" s="30">
        <f t="shared" si="126"/>
        <v>2023</v>
      </c>
      <c r="U969" s="29" t="str">
        <f t="shared" si="127"/>
        <v>June</v>
      </c>
    </row>
    <row r="970" spans="1:21" ht="17.399999999999999" x14ac:dyDescent="0.3">
      <c r="A970" s="21" t="s">
        <v>3325</v>
      </c>
      <c r="B970" s="21" t="s">
        <v>3326</v>
      </c>
      <c r="C970" s="23" t="s">
        <v>3519</v>
      </c>
      <c r="D970" s="21" t="s">
        <v>3517</v>
      </c>
      <c r="E970" s="24">
        <v>45105</v>
      </c>
      <c r="F970" s="24">
        <v>45123</v>
      </c>
      <c r="G970" s="22" t="s">
        <v>16</v>
      </c>
      <c r="H970" s="25">
        <v>61112</v>
      </c>
      <c r="I970" s="25">
        <v>2162</v>
      </c>
      <c r="J970" s="26">
        <v>3266.9</v>
      </c>
      <c r="K970" s="25">
        <v>292</v>
      </c>
      <c r="L970" s="21" t="s">
        <v>21</v>
      </c>
      <c r="M970" s="22" t="s">
        <v>16</v>
      </c>
      <c r="N970" s="27">
        <f t="shared" si="120"/>
        <v>18</v>
      </c>
      <c r="O970" s="28">
        <f t="shared" si="121"/>
        <v>3.537766723393114E-2</v>
      </c>
      <c r="P970" s="28">
        <f t="shared" si="122"/>
        <v>0.13506012950971322</v>
      </c>
      <c r="Q970" s="26">
        <f t="shared" si="123"/>
        <v>1.511054579093432</v>
      </c>
      <c r="R970" s="29">
        <f t="shared" si="124"/>
        <v>11.188013698630137</v>
      </c>
      <c r="S970" s="30">
        <f t="shared" si="125"/>
        <v>6</v>
      </c>
      <c r="T970" s="30">
        <f t="shared" si="126"/>
        <v>2023</v>
      </c>
      <c r="U970" s="29" t="str">
        <f t="shared" si="127"/>
        <v>June</v>
      </c>
    </row>
    <row r="971" spans="1:21" ht="17.399999999999999" x14ac:dyDescent="0.3">
      <c r="A971" s="21" t="s">
        <v>1232</v>
      </c>
      <c r="B971" s="21" t="s">
        <v>1233</v>
      </c>
      <c r="C971" s="23" t="s">
        <v>3518</v>
      </c>
      <c r="D971" s="21" t="s">
        <v>3520</v>
      </c>
      <c r="E971" s="24">
        <v>45105</v>
      </c>
      <c r="F971" s="24">
        <v>45127</v>
      </c>
      <c r="G971" s="22" t="s">
        <v>24</v>
      </c>
      <c r="H971" s="25">
        <v>27790</v>
      </c>
      <c r="I971" s="25">
        <v>662</v>
      </c>
      <c r="J971" s="26">
        <v>575.79</v>
      </c>
      <c r="K971" s="25">
        <v>53</v>
      </c>
      <c r="L971" s="21" t="s">
        <v>21</v>
      </c>
      <c r="M971" s="22" t="s">
        <v>3536</v>
      </c>
      <c r="N971" s="27">
        <f t="shared" si="120"/>
        <v>22</v>
      </c>
      <c r="O971" s="28">
        <f t="shared" si="121"/>
        <v>2.3821518531845987E-2</v>
      </c>
      <c r="P971" s="28">
        <f t="shared" si="122"/>
        <v>8.0060422960725075E-2</v>
      </c>
      <c r="Q971" s="26">
        <f t="shared" si="123"/>
        <v>0.86977341389728091</v>
      </c>
      <c r="R971" s="29">
        <f t="shared" si="124"/>
        <v>10.863962264150942</v>
      </c>
      <c r="S971" s="30">
        <f t="shared" si="125"/>
        <v>6</v>
      </c>
      <c r="T971" s="30">
        <f t="shared" si="126"/>
        <v>2023</v>
      </c>
      <c r="U971" s="29" t="str">
        <f t="shared" si="127"/>
        <v>June</v>
      </c>
    </row>
    <row r="972" spans="1:21" ht="17.399999999999999" x14ac:dyDescent="0.3">
      <c r="A972" s="21" t="s">
        <v>1353</v>
      </c>
      <c r="B972" s="22" t="s">
        <v>3795</v>
      </c>
      <c r="C972" s="23" t="s">
        <v>3516</v>
      </c>
      <c r="D972" s="22" t="s">
        <v>3545</v>
      </c>
      <c r="E972" s="24">
        <v>45105</v>
      </c>
      <c r="F972" s="24">
        <v>45128</v>
      </c>
      <c r="G972" s="22" t="s">
        <v>11</v>
      </c>
      <c r="H972" s="25">
        <v>48605</v>
      </c>
      <c r="I972" s="25">
        <v>1154</v>
      </c>
      <c r="J972" s="26">
        <v>1721.43</v>
      </c>
      <c r="K972" s="25">
        <v>105</v>
      </c>
      <c r="L972" s="21" t="s">
        <v>17</v>
      </c>
      <c r="M972" s="22" t="s">
        <v>11</v>
      </c>
      <c r="N972" s="27">
        <f t="shared" si="120"/>
        <v>23</v>
      </c>
      <c r="O972" s="28">
        <f t="shared" si="121"/>
        <v>2.3742413331961733E-2</v>
      </c>
      <c r="P972" s="28">
        <f t="shared" si="122"/>
        <v>9.0987868284228765E-2</v>
      </c>
      <c r="Q972" s="26">
        <f t="shared" si="123"/>
        <v>1.4917071057192375</v>
      </c>
      <c r="R972" s="29">
        <f t="shared" si="124"/>
        <v>16.394571428571428</v>
      </c>
      <c r="S972" s="30">
        <f t="shared" si="125"/>
        <v>6</v>
      </c>
      <c r="T972" s="30">
        <f t="shared" si="126"/>
        <v>2023</v>
      </c>
      <c r="U972" s="29" t="str">
        <f t="shared" si="127"/>
        <v>June</v>
      </c>
    </row>
    <row r="973" spans="1:21" ht="17.399999999999999" x14ac:dyDescent="0.3">
      <c r="A973" s="21" t="s">
        <v>2193</v>
      </c>
      <c r="B973" s="22" t="s">
        <v>3796</v>
      </c>
      <c r="C973" s="23" t="s">
        <v>3515</v>
      </c>
      <c r="D973" s="22" t="s">
        <v>3545</v>
      </c>
      <c r="E973" s="24">
        <v>45105</v>
      </c>
      <c r="F973" s="24">
        <v>45122</v>
      </c>
      <c r="G973" s="22" t="s">
        <v>14</v>
      </c>
      <c r="H973" s="25">
        <v>9666</v>
      </c>
      <c r="I973" s="25">
        <v>430</v>
      </c>
      <c r="J973" s="26">
        <v>215.6</v>
      </c>
      <c r="K973" s="25">
        <v>29</v>
      </c>
      <c r="L973" s="21" t="s">
        <v>17</v>
      </c>
      <c r="M973" s="22" t="s">
        <v>3537</v>
      </c>
      <c r="N973" s="27">
        <f t="shared" si="120"/>
        <v>17</v>
      </c>
      <c r="O973" s="28">
        <f t="shared" si="121"/>
        <v>4.4485826608731634E-2</v>
      </c>
      <c r="P973" s="28">
        <f t="shared" si="122"/>
        <v>6.7441860465116285E-2</v>
      </c>
      <c r="Q973" s="26">
        <f t="shared" si="123"/>
        <v>0.50139534883720926</v>
      </c>
      <c r="R973" s="29">
        <f t="shared" si="124"/>
        <v>7.4344827586206899</v>
      </c>
      <c r="S973" s="30">
        <f t="shared" si="125"/>
        <v>6</v>
      </c>
      <c r="T973" s="30">
        <f t="shared" si="126"/>
        <v>2023</v>
      </c>
      <c r="U973" s="29" t="str">
        <f t="shared" si="127"/>
        <v>June</v>
      </c>
    </row>
    <row r="974" spans="1:21" ht="17.399999999999999" x14ac:dyDescent="0.3">
      <c r="A974" s="21" t="s">
        <v>240</v>
      </c>
      <c r="B974" s="21" t="s">
        <v>241</v>
      </c>
      <c r="C974" s="23" t="s">
        <v>3516</v>
      </c>
      <c r="D974" s="21" t="s">
        <v>3520</v>
      </c>
      <c r="E974" s="24">
        <v>45106</v>
      </c>
      <c r="F974" s="24">
        <v>45117</v>
      </c>
      <c r="G974" s="22" t="s">
        <v>3535</v>
      </c>
      <c r="H974" s="25">
        <v>71592</v>
      </c>
      <c r="I974" s="25">
        <v>3410</v>
      </c>
      <c r="J974" s="26">
        <v>6688.28</v>
      </c>
      <c r="K974" s="25">
        <v>616</v>
      </c>
      <c r="L974" s="21" t="s">
        <v>17</v>
      </c>
      <c r="M974" s="22" t="s">
        <v>3535</v>
      </c>
      <c r="N974" s="27">
        <f t="shared" si="120"/>
        <v>11</v>
      </c>
      <c r="O974" s="28">
        <f t="shared" si="121"/>
        <v>4.7631020225723547E-2</v>
      </c>
      <c r="P974" s="28">
        <f t="shared" si="122"/>
        <v>0.18064516129032257</v>
      </c>
      <c r="Q974" s="26">
        <f t="shared" si="123"/>
        <v>1.9613724340175953</v>
      </c>
      <c r="R974" s="29">
        <f t="shared" si="124"/>
        <v>10.857597402597403</v>
      </c>
      <c r="S974" s="30">
        <f t="shared" si="125"/>
        <v>6</v>
      </c>
      <c r="T974" s="30">
        <f t="shared" si="126"/>
        <v>2023</v>
      </c>
      <c r="U974" s="29" t="str">
        <f t="shared" si="127"/>
        <v>June</v>
      </c>
    </row>
    <row r="975" spans="1:21" ht="17.399999999999999" x14ac:dyDescent="0.3">
      <c r="A975" s="21" t="s">
        <v>2876</v>
      </c>
      <c r="B975" s="21" t="s">
        <v>2877</v>
      </c>
      <c r="C975" s="23" t="s">
        <v>3516</v>
      </c>
      <c r="D975" s="21" t="s">
        <v>3521</v>
      </c>
      <c r="E975" s="24">
        <v>45106</v>
      </c>
      <c r="F975" s="24">
        <v>45136</v>
      </c>
      <c r="G975" s="22" t="s">
        <v>24</v>
      </c>
      <c r="H975" s="25">
        <v>25262</v>
      </c>
      <c r="I975" s="25">
        <v>396</v>
      </c>
      <c r="J975" s="26">
        <v>265.02999999999997</v>
      </c>
      <c r="K975" s="25">
        <v>38</v>
      </c>
      <c r="L975" s="21" t="s">
        <v>21</v>
      </c>
      <c r="M975" s="22" t="s">
        <v>3536</v>
      </c>
      <c r="N975" s="27">
        <f t="shared" si="120"/>
        <v>30</v>
      </c>
      <c r="O975" s="28">
        <f t="shared" si="121"/>
        <v>1.5675718470429895E-2</v>
      </c>
      <c r="P975" s="28">
        <f t="shared" si="122"/>
        <v>9.5959595959595953E-2</v>
      </c>
      <c r="Q975" s="26">
        <f t="shared" si="123"/>
        <v>0.66926767676767673</v>
      </c>
      <c r="R975" s="29">
        <f t="shared" si="124"/>
        <v>6.9744736842105253</v>
      </c>
      <c r="S975" s="30">
        <f t="shared" si="125"/>
        <v>6</v>
      </c>
      <c r="T975" s="30">
        <f t="shared" si="126"/>
        <v>2023</v>
      </c>
      <c r="U975" s="29" t="str">
        <f t="shared" si="127"/>
        <v>June</v>
      </c>
    </row>
    <row r="976" spans="1:21" ht="17.399999999999999" x14ac:dyDescent="0.3">
      <c r="A976" s="21" t="s">
        <v>360</v>
      </c>
      <c r="B976" s="21" t="s">
        <v>361</v>
      </c>
      <c r="C976" s="23" t="s">
        <v>3515</v>
      </c>
      <c r="D976" s="21" t="s">
        <v>3520</v>
      </c>
      <c r="E976" s="24">
        <v>45106</v>
      </c>
      <c r="F976" s="24">
        <v>45129</v>
      </c>
      <c r="G976" s="22" t="s">
        <v>11</v>
      </c>
      <c r="H976" s="25">
        <v>94557</v>
      </c>
      <c r="I976" s="25">
        <v>2924</v>
      </c>
      <c r="J976" s="26">
        <v>3786.06</v>
      </c>
      <c r="K976" s="25">
        <v>507</v>
      </c>
      <c r="L976" s="21" t="s">
        <v>21</v>
      </c>
      <c r="M976" s="22" t="s">
        <v>11</v>
      </c>
      <c r="N976" s="27">
        <f t="shared" si="120"/>
        <v>23</v>
      </c>
      <c r="O976" s="28">
        <f t="shared" si="121"/>
        <v>3.0923146884947704E-2</v>
      </c>
      <c r="P976" s="28">
        <f t="shared" si="122"/>
        <v>0.17339261285909713</v>
      </c>
      <c r="Q976" s="26">
        <f t="shared" si="123"/>
        <v>1.2948221614227087</v>
      </c>
      <c r="R976" s="29">
        <f t="shared" si="124"/>
        <v>7.4675739644970411</v>
      </c>
      <c r="S976" s="30">
        <f t="shared" si="125"/>
        <v>6</v>
      </c>
      <c r="T976" s="30">
        <f t="shared" si="126"/>
        <v>2023</v>
      </c>
      <c r="U976" s="29" t="str">
        <f t="shared" si="127"/>
        <v>June</v>
      </c>
    </row>
    <row r="977" spans="1:21" ht="17.399999999999999" x14ac:dyDescent="0.3">
      <c r="A977" s="21" t="s">
        <v>3374</v>
      </c>
      <c r="B977" s="22" t="s">
        <v>3797</v>
      </c>
      <c r="C977" s="23" t="s">
        <v>3515</v>
      </c>
      <c r="D977" s="22" t="s">
        <v>3545</v>
      </c>
      <c r="E977" s="24">
        <v>45106</v>
      </c>
      <c r="F977" s="24">
        <v>45132</v>
      </c>
      <c r="G977" s="22" t="s">
        <v>14</v>
      </c>
      <c r="H977" s="25">
        <v>97347</v>
      </c>
      <c r="I977" s="25">
        <v>4606</v>
      </c>
      <c r="J977" s="26">
        <v>8269.9</v>
      </c>
      <c r="K977" s="25">
        <v>664</v>
      </c>
      <c r="L977" s="21" t="s">
        <v>17</v>
      </c>
      <c r="M977" s="22" t="s">
        <v>3537</v>
      </c>
      <c r="N977" s="27">
        <f t="shared" si="120"/>
        <v>26</v>
      </c>
      <c r="O977" s="28">
        <f t="shared" si="121"/>
        <v>4.7315274225194409E-2</v>
      </c>
      <c r="P977" s="28">
        <f t="shared" si="122"/>
        <v>0.14415979157620495</v>
      </c>
      <c r="Q977" s="26">
        <f t="shared" si="123"/>
        <v>1.795462440295267</v>
      </c>
      <c r="R977" s="29">
        <f t="shared" si="124"/>
        <v>12.454668674698794</v>
      </c>
      <c r="S977" s="30">
        <f t="shared" si="125"/>
        <v>6</v>
      </c>
      <c r="T977" s="30">
        <f t="shared" si="126"/>
        <v>2023</v>
      </c>
      <c r="U977" s="29" t="str">
        <f t="shared" si="127"/>
        <v>June</v>
      </c>
    </row>
    <row r="978" spans="1:21" ht="17.399999999999999" x14ac:dyDescent="0.3">
      <c r="A978" s="21" t="s">
        <v>1447</v>
      </c>
      <c r="B978" s="21" t="s">
        <v>1448</v>
      </c>
      <c r="C978" s="23" t="s">
        <v>3519</v>
      </c>
      <c r="D978" s="21" t="s">
        <v>3521</v>
      </c>
      <c r="E978" s="24">
        <v>45107</v>
      </c>
      <c r="F978" s="24">
        <v>45129</v>
      </c>
      <c r="G978" s="22" t="s">
        <v>16</v>
      </c>
      <c r="H978" s="25">
        <v>24524</v>
      </c>
      <c r="I978" s="25">
        <v>617</v>
      </c>
      <c r="J978" s="26">
        <v>942.12</v>
      </c>
      <c r="K978" s="25">
        <v>95</v>
      </c>
      <c r="L978" s="21" t="s">
        <v>21</v>
      </c>
      <c r="M978" s="22" t="s">
        <v>16</v>
      </c>
      <c r="N978" s="27">
        <f t="shared" si="120"/>
        <v>22</v>
      </c>
      <c r="O978" s="28">
        <f t="shared" si="121"/>
        <v>2.5159027891045505E-2</v>
      </c>
      <c r="P978" s="28">
        <f t="shared" si="122"/>
        <v>0.1539708265802269</v>
      </c>
      <c r="Q978" s="26">
        <f t="shared" si="123"/>
        <v>1.5269367909238249</v>
      </c>
      <c r="R978" s="29">
        <f t="shared" si="124"/>
        <v>9.9170526315789473</v>
      </c>
      <c r="S978" s="30">
        <f t="shared" si="125"/>
        <v>6</v>
      </c>
      <c r="T978" s="30">
        <f t="shared" si="126"/>
        <v>2023</v>
      </c>
      <c r="U978" s="29" t="str">
        <f t="shared" si="127"/>
        <v>June</v>
      </c>
    </row>
    <row r="979" spans="1:21" ht="17.399999999999999" x14ac:dyDescent="0.3">
      <c r="A979" s="21" t="s">
        <v>2769</v>
      </c>
      <c r="B979" s="21" t="s">
        <v>2770</v>
      </c>
      <c r="C979" s="23" t="s">
        <v>3519</v>
      </c>
      <c r="D979" s="21" t="s">
        <v>3517</v>
      </c>
      <c r="E979" s="24">
        <v>45107</v>
      </c>
      <c r="F979" s="24">
        <v>45112</v>
      </c>
      <c r="G979" s="22" t="s">
        <v>31</v>
      </c>
      <c r="H979" s="25">
        <v>53393</v>
      </c>
      <c r="I979" s="25">
        <v>1670</v>
      </c>
      <c r="J979" s="26">
        <v>1450.1</v>
      </c>
      <c r="K979" s="25">
        <v>0</v>
      </c>
      <c r="L979" s="21" t="s">
        <v>21</v>
      </c>
      <c r="M979" s="22" t="s">
        <v>31</v>
      </c>
      <c r="N979" s="27">
        <f t="shared" si="120"/>
        <v>5</v>
      </c>
      <c r="O979" s="28">
        <f t="shared" si="121"/>
        <v>3.1277508287603242E-2</v>
      </c>
      <c r="P979" s="28">
        <f t="shared" si="122"/>
        <v>0</v>
      </c>
      <c r="Q979" s="26">
        <f t="shared" si="123"/>
        <v>0.86832335329341315</v>
      </c>
      <c r="R979" s="29" t="str">
        <f t="shared" si="124"/>
        <v>0</v>
      </c>
      <c r="S979" s="30">
        <f t="shared" si="125"/>
        <v>6</v>
      </c>
      <c r="T979" s="30">
        <f t="shared" si="126"/>
        <v>2023</v>
      </c>
      <c r="U979" s="29" t="str">
        <f t="shared" si="127"/>
        <v>June</v>
      </c>
    </row>
    <row r="980" spans="1:21" ht="17.399999999999999" x14ac:dyDescent="0.3">
      <c r="A980" s="21" t="s">
        <v>3088</v>
      </c>
      <c r="B980" s="21" t="s">
        <v>3089</v>
      </c>
      <c r="C980" s="23" t="s">
        <v>3519</v>
      </c>
      <c r="D980" s="21" t="s">
        <v>3521</v>
      </c>
      <c r="E980" s="24">
        <v>45107</v>
      </c>
      <c r="F980" s="24">
        <v>45117</v>
      </c>
      <c r="G980" s="22" t="s">
        <v>3535</v>
      </c>
      <c r="H980" s="25">
        <v>34062</v>
      </c>
      <c r="I980" s="25">
        <v>1392</v>
      </c>
      <c r="J980" s="26">
        <v>500000</v>
      </c>
      <c r="K980" s="25">
        <v>165</v>
      </c>
      <c r="L980" s="21" t="s">
        <v>17</v>
      </c>
      <c r="M980" s="22" t="s">
        <v>3535</v>
      </c>
      <c r="N980" s="27">
        <f t="shared" si="120"/>
        <v>10</v>
      </c>
      <c r="O980" s="28">
        <f t="shared" si="121"/>
        <v>4.0866654923375025E-2</v>
      </c>
      <c r="P980" s="28">
        <f t="shared" si="122"/>
        <v>0.11853448275862069</v>
      </c>
      <c r="Q980" s="26">
        <f t="shared" si="123"/>
        <v>359.19540229885058</v>
      </c>
      <c r="R980" s="29">
        <f t="shared" si="124"/>
        <v>3030.3030303030305</v>
      </c>
      <c r="S980" s="30">
        <f t="shared" si="125"/>
        <v>6</v>
      </c>
      <c r="T980" s="30">
        <f t="shared" si="126"/>
        <v>2023</v>
      </c>
      <c r="U980" s="29" t="str">
        <f t="shared" si="127"/>
        <v>June</v>
      </c>
    </row>
    <row r="981" spans="1:21" ht="17.399999999999999" x14ac:dyDescent="0.3">
      <c r="A981" s="21" t="s">
        <v>632</v>
      </c>
      <c r="B981" s="21" t="s">
        <v>633</v>
      </c>
      <c r="C981" s="23" t="s">
        <v>3518</v>
      </c>
      <c r="D981" s="21" t="s">
        <v>3521</v>
      </c>
      <c r="E981" s="24">
        <v>45107</v>
      </c>
      <c r="F981" s="24">
        <v>45118</v>
      </c>
      <c r="G981" s="22" t="s">
        <v>31</v>
      </c>
      <c r="H981" s="25">
        <v>41764</v>
      </c>
      <c r="I981" s="25">
        <v>956</v>
      </c>
      <c r="J981" s="26">
        <v>1475.53</v>
      </c>
      <c r="K981" s="25">
        <v>77</v>
      </c>
      <c r="L981" s="21" t="s">
        <v>21</v>
      </c>
      <c r="M981" s="22" t="s">
        <v>31</v>
      </c>
      <c r="N981" s="27">
        <f t="shared" si="120"/>
        <v>11</v>
      </c>
      <c r="O981" s="28">
        <f t="shared" si="121"/>
        <v>2.2890527727229194E-2</v>
      </c>
      <c r="P981" s="28">
        <f t="shared" si="122"/>
        <v>8.0543933054393307E-2</v>
      </c>
      <c r="Q981" s="26">
        <f t="shared" si="123"/>
        <v>1.5434414225941422</v>
      </c>
      <c r="R981" s="29">
        <f t="shared" si="124"/>
        <v>19.162727272727274</v>
      </c>
      <c r="S981" s="30">
        <f t="shared" si="125"/>
        <v>6</v>
      </c>
      <c r="T981" s="30">
        <f t="shared" si="126"/>
        <v>2023</v>
      </c>
      <c r="U981" s="29" t="str">
        <f t="shared" si="127"/>
        <v>June</v>
      </c>
    </row>
    <row r="982" spans="1:21" ht="17.399999999999999" x14ac:dyDescent="0.3">
      <c r="A982" s="21" t="s">
        <v>2801</v>
      </c>
      <c r="B982" s="21" t="s">
        <v>2802</v>
      </c>
      <c r="C982" s="23" t="s">
        <v>3516</v>
      </c>
      <c r="D982" s="21" t="s">
        <v>3517</v>
      </c>
      <c r="E982" s="24">
        <v>45107</v>
      </c>
      <c r="F982" s="24">
        <v>45110</v>
      </c>
      <c r="G982" s="22" t="s">
        <v>11</v>
      </c>
      <c r="H982" s="25">
        <v>63187</v>
      </c>
      <c r="I982" s="25">
        <v>2172</v>
      </c>
      <c r="J982" s="26">
        <v>1460.36</v>
      </c>
      <c r="K982" s="25">
        <v>140</v>
      </c>
      <c r="L982" s="21" t="s">
        <v>21</v>
      </c>
      <c r="M982" s="22" t="s">
        <v>11</v>
      </c>
      <c r="N982" s="27">
        <f t="shared" si="120"/>
        <v>3</v>
      </c>
      <c r="O982" s="28">
        <f t="shared" si="121"/>
        <v>3.4374159241616152E-2</v>
      </c>
      <c r="P982" s="28">
        <f t="shared" si="122"/>
        <v>6.4456721915285453E-2</v>
      </c>
      <c r="Q982" s="26">
        <f t="shared" si="123"/>
        <v>0.6723572744014733</v>
      </c>
      <c r="R982" s="29">
        <f t="shared" si="124"/>
        <v>10.431142857142856</v>
      </c>
      <c r="S982" s="30">
        <f t="shared" si="125"/>
        <v>6</v>
      </c>
      <c r="T982" s="30">
        <f t="shared" si="126"/>
        <v>2023</v>
      </c>
      <c r="U982" s="29" t="str">
        <f t="shared" si="127"/>
        <v>June</v>
      </c>
    </row>
    <row r="983" spans="1:21" ht="17.399999999999999" x14ac:dyDescent="0.3">
      <c r="A983" s="21" t="s">
        <v>334</v>
      </c>
      <c r="B983" s="21" t="s">
        <v>335</v>
      </c>
      <c r="C983" s="23" t="s">
        <v>3515</v>
      </c>
      <c r="D983" s="21" t="s">
        <v>3520</v>
      </c>
      <c r="E983" s="24">
        <v>45107</v>
      </c>
      <c r="F983" s="24">
        <v>45117</v>
      </c>
      <c r="G983" s="22" t="s">
        <v>16</v>
      </c>
      <c r="H983" s="25">
        <v>93787</v>
      </c>
      <c r="I983" s="25">
        <v>3622</v>
      </c>
      <c r="J983" s="26">
        <v>4176.49</v>
      </c>
      <c r="K983" s="25">
        <v>428</v>
      </c>
      <c r="L983" s="21" t="s">
        <v>17</v>
      </c>
      <c r="M983" s="22" t="s">
        <v>16</v>
      </c>
      <c r="N983" s="27">
        <f t="shared" si="120"/>
        <v>10</v>
      </c>
      <c r="O983" s="28">
        <f t="shared" si="121"/>
        <v>3.861942486698583E-2</v>
      </c>
      <c r="P983" s="28">
        <f t="shared" si="122"/>
        <v>0.11816675869685257</v>
      </c>
      <c r="Q983" s="26">
        <f t="shared" si="123"/>
        <v>1.1530894533406957</v>
      </c>
      <c r="R983" s="29">
        <f t="shared" si="124"/>
        <v>9.7581542056074753</v>
      </c>
      <c r="S983" s="30">
        <f t="shared" si="125"/>
        <v>6</v>
      </c>
      <c r="T983" s="30">
        <f t="shared" si="126"/>
        <v>2023</v>
      </c>
      <c r="U983" s="29" t="str">
        <f t="shared" si="127"/>
        <v>June</v>
      </c>
    </row>
    <row r="984" spans="1:21" ht="17.399999999999999" x14ac:dyDescent="0.3">
      <c r="A984" s="21" t="s">
        <v>1037</v>
      </c>
      <c r="B984" s="21" t="s">
        <v>1038</v>
      </c>
      <c r="C984" s="23" t="s">
        <v>3515</v>
      </c>
      <c r="D984" s="21" t="s">
        <v>3520</v>
      </c>
      <c r="E984" s="24">
        <v>45107</v>
      </c>
      <c r="F984" s="24">
        <v>45120</v>
      </c>
      <c r="G984" s="22" t="s">
        <v>14</v>
      </c>
      <c r="H984" s="25">
        <v>90084</v>
      </c>
      <c r="I984" s="25">
        <v>940</v>
      </c>
      <c r="J984" s="26">
        <v>821.8</v>
      </c>
      <c r="K984" s="25">
        <v>178</v>
      </c>
      <c r="L984" s="21" t="s">
        <v>17</v>
      </c>
      <c r="M984" s="22" t="s">
        <v>3537</v>
      </c>
      <c r="N984" s="27">
        <f t="shared" si="120"/>
        <v>13</v>
      </c>
      <c r="O984" s="28">
        <f t="shared" si="121"/>
        <v>1.0434705386084099E-2</v>
      </c>
      <c r="P984" s="28">
        <f t="shared" si="122"/>
        <v>0.18936170212765957</v>
      </c>
      <c r="Q984" s="26">
        <f t="shared" si="123"/>
        <v>0.87425531914893617</v>
      </c>
      <c r="R984" s="29">
        <f t="shared" si="124"/>
        <v>4.6168539325842692</v>
      </c>
      <c r="S984" s="30">
        <f t="shared" si="125"/>
        <v>6</v>
      </c>
      <c r="T984" s="30">
        <f t="shared" si="126"/>
        <v>2023</v>
      </c>
      <c r="U984" s="29" t="str">
        <f t="shared" si="127"/>
        <v>June</v>
      </c>
    </row>
    <row r="985" spans="1:21" ht="17.399999999999999" x14ac:dyDescent="0.3">
      <c r="A985" s="21" t="s">
        <v>1976</v>
      </c>
      <c r="B985" s="21" t="s">
        <v>1977</v>
      </c>
      <c r="C985" s="23" t="s">
        <v>3519</v>
      </c>
      <c r="D985" s="21" t="s">
        <v>3517</v>
      </c>
      <c r="E985" s="24">
        <v>45108</v>
      </c>
      <c r="F985" s="24">
        <v>45110</v>
      </c>
      <c r="G985" s="22" t="s">
        <v>11</v>
      </c>
      <c r="H985" s="25">
        <v>20096</v>
      </c>
      <c r="I985" s="25">
        <v>487</v>
      </c>
      <c r="J985" s="26">
        <v>783.84</v>
      </c>
      <c r="K985" s="25">
        <v>34</v>
      </c>
      <c r="L985" s="21" t="s">
        <v>17</v>
      </c>
      <c r="M985" s="22" t="s">
        <v>11</v>
      </c>
      <c r="N985" s="27">
        <f t="shared" si="120"/>
        <v>2</v>
      </c>
      <c r="O985" s="28">
        <f t="shared" si="121"/>
        <v>2.4233678343949044E-2</v>
      </c>
      <c r="P985" s="28">
        <f t="shared" si="122"/>
        <v>6.9815195071868577E-2</v>
      </c>
      <c r="Q985" s="26">
        <f t="shared" si="123"/>
        <v>1.6095277207392198</v>
      </c>
      <c r="R985" s="29">
        <f t="shared" si="124"/>
        <v>23.054117647058824</v>
      </c>
      <c r="S985" s="30">
        <f t="shared" si="125"/>
        <v>7</v>
      </c>
      <c r="T985" s="30">
        <f t="shared" si="126"/>
        <v>2023</v>
      </c>
      <c r="U985" s="29" t="str">
        <f t="shared" si="127"/>
        <v>July</v>
      </c>
    </row>
    <row r="986" spans="1:21" ht="17.399999999999999" x14ac:dyDescent="0.3">
      <c r="A986" s="21" t="s">
        <v>2881</v>
      </c>
      <c r="B986" s="21" t="s">
        <v>2882</v>
      </c>
      <c r="C986" s="23" t="s">
        <v>3518</v>
      </c>
      <c r="D986" s="21" t="s">
        <v>3520</v>
      </c>
      <c r="E986" s="24">
        <v>45108</v>
      </c>
      <c r="F986" s="24">
        <v>45134</v>
      </c>
      <c r="G986" s="22" t="s">
        <v>3535</v>
      </c>
      <c r="H986" s="25">
        <v>55842</v>
      </c>
      <c r="I986" s="25">
        <v>909</v>
      </c>
      <c r="J986" s="26">
        <v>491.13</v>
      </c>
      <c r="K986" s="25">
        <v>164</v>
      </c>
      <c r="L986" s="21" t="s">
        <v>17</v>
      </c>
      <c r="M986" s="22" t="s">
        <v>3535</v>
      </c>
      <c r="N986" s="27">
        <f t="shared" si="120"/>
        <v>26</v>
      </c>
      <c r="O986" s="28">
        <f t="shared" si="121"/>
        <v>1.6278070269689481E-2</v>
      </c>
      <c r="P986" s="28">
        <f t="shared" si="122"/>
        <v>0.18041804180418042</v>
      </c>
      <c r="Q986" s="26">
        <f t="shared" si="123"/>
        <v>0.54029702970297033</v>
      </c>
      <c r="R986" s="29">
        <f t="shared" si="124"/>
        <v>2.9946951219512195</v>
      </c>
      <c r="S986" s="30">
        <f t="shared" si="125"/>
        <v>7</v>
      </c>
      <c r="T986" s="30">
        <f t="shared" si="126"/>
        <v>2023</v>
      </c>
      <c r="U986" s="29" t="str">
        <f t="shared" si="127"/>
        <v>July</v>
      </c>
    </row>
    <row r="987" spans="1:21" ht="17.399999999999999" x14ac:dyDescent="0.3">
      <c r="A987" s="21" t="s">
        <v>3400</v>
      </c>
      <c r="B987" s="21" t="s">
        <v>3401</v>
      </c>
      <c r="C987" s="23" t="s">
        <v>3518</v>
      </c>
      <c r="D987" s="21" t="s">
        <v>3521</v>
      </c>
      <c r="E987" s="24">
        <v>45108</v>
      </c>
      <c r="F987" s="24">
        <v>45135</v>
      </c>
      <c r="G987" s="22" t="s">
        <v>16</v>
      </c>
      <c r="H987" s="25">
        <v>57985</v>
      </c>
      <c r="I987" s="25">
        <v>2633</v>
      </c>
      <c r="J987" s="26">
        <v>4631.92</v>
      </c>
      <c r="K987" s="25">
        <v>308</v>
      </c>
      <c r="L987" s="21" t="s">
        <v>17</v>
      </c>
      <c r="M987" s="22" t="s">
        <v>16</v>
      </c>
      <c r="N987" s="27">
        <f t="shared" si="120"/>
        <v>27</v>
      </c>
      <c r="O987" s="28">
        <f t="shared" si="121"/>
        <v>4.5408295248771234E-2</v>
      </c>
      <c r="P987" s="28">
        <f t="shared" si="122"/>
        <v>0.11697683251044436</v>
      </c>
      <c r="Q987" s="26">
        <f t="shared" si="123"/>
        <v>1.759179642992784</v>
      </c>
      <c r="R987" s="29">
        <f t="shared" si="124"/>
        <v>15.0387012987013</v>
      </c>
      <c r="S987" s="30">
        <f t="shared" si="125"/>
        <v>7</v>
      </c>
      <c r="T987" s="30">
        <f t="shared" si="126"/>
        <v>2023</v>
      </c>
      <c r="U987" s="29" t="str">
        <f t="shared" si="127"/>
        <v>July</v>
      </c>
    </row>
    <row r="988" spans="1:21" ht="17.399999999999999" x14ac:dyDescent="0.3">
      <c r="A988" s="21" t="s">
        <v>1220</v>
      </c>
      <c r="B988" s="21" t="s">
        <v>1221</v>
      </c>
      <c r="C988" s="23" t="s">
        <v>3516</v>
      </c>
      <c r="D988" s="21" t="s">
        <v>3517</v>
      </c>
      <c r="E988" s="24">
        <v>45108</v>
      </c>
      <c r="F988" s="24">
        <v>45129</v>
      </c>
      <c r="G988" s="22" t="s">
        <v>14</v>
      </c>
      <c r="H988" s="25">
        <v>92267</v>
      </c>
      <c r="I988" s="25">
        <v>1912</v>
      </c>
      <c r="J988" s="26">
        <v>1316.12</v>
      </c>
      <c r="K988" s="25">
        <v>263</v>
      </c>
      <c r="L988" s="21" t="s">
        <v>21</v>
      </c>
      <c r="M988" s="22" t="s">
        <v>3537</v>
      </c>
      <c r="N988" s="27">
        <f t="shared" si="120"/>
        <v>21</v>
      </c>
      <c r="O988" s="28">
        <f t="shared" si="121"/>
        <v>2.0722468488191877E-2</v>
      </c>
      <c r="P988" s="28">
        <f t="shared" si="122"/>
        <v>0.13755230125523013</v>
      </c>
      <c r="Q988" s="26">
        <f t="shared" si="123"/>
        <v>0.68834728033472803</v>
      </c>
      <c r="R988" s="29">
        <f t="shared" si="124"/>
        <v>5.0042585551330792</v>
      </c>
      <c r="S988" s="30">
        <f t="shared" si="125"/>
        <v>7</v>
      </c>
      <c r="T988" s="30">
        <f t="shared" si="126"/>
        <v>2023</v>
      </c>
      <c r="U988" s="29" t="str">
        <f t="shared" si="127"/>
        <v>July</v>
      </c>
    </row>
    <row r="989" spans="1:21" ht="17.399999999999999" x14ac:dyDescent="0.3">
      <c r="A989" s="21" t="s">
        <v>1537</v>
      </c>
      <c r="B989" s="21" t="s">
        <v>1538</v>
      </c>
      <c r="C989" s="23" t="s">
        <v>3516</v>
      </c>
      <c r="D989" s="21" t="s">
        <v>3517</v>
      </c>
      <c r="E989" s="24">
        <v>45108</v>
      </c>
      <c r="F989" s="24">
        <v>45126</v>
      </c>
      <c r="G989" s="22" t="s">
        <v>11</v>
      </c>
      <c r="H989" s="25">
        <v>26934</v>
      </c>
      <c r="I989" s="25">
        <v>970</v>
      </c>
      <c r="J989" s="26">
        <v>1654.96</v>
      </c>
      <c r="K989" s="25">
        <v>63</v>
      </c>
      <c r="L989" s="21" t="s">
        <v>17</v>
      </c>
      <c r="M989" s="22" t="s">
        <v>11</v>
      </c>
      <c r="N989" s="27">
        <f t="shared" si="120"/>
        <v>18</v>
      </c>
      <c r="O989" s="28">
        <f t="shared" si="121"/>
        <v>3.6013960050493801E-2</v>
      </c>
      <c r="P989" s="28">
        <f t="shared" si="122"/>
        <v>6.4948453608247428E-2</v>
      </c>
      <c r="Q989" s="26">
        <f t="shared" si="123"/>
        <v>1.7061443298969072</v>
      </c>
      <c r="R989" s="29">
        <f t="shared" si="124"/>
        <v>26.26920634920635</v>
      </c>
      <c r="S989" s="30">
        <f t="shared" si="125"/>
        <v>7</v>
      </c>
      <c r="T989" s="30">
        <f t="shared" si="126"/>
        <v>2023</v>
      </c>
      <c r="U989" s="29" t="str">
        <f t="shared" si="127"/>
        <v>July</v>
      </c>
    </row>
    <row r="990" spans="1:21" ht="17.399999999999999" x14ac:dyDescent="0.3">
      <c r="A990" s="21" t="s">
        <v>2809</v>
      </c>
      <c r="B990" s="22" t="s">
        <v>3798</v>
      </c>
      <c r="C990" s="23" t="s">
        <v>3515</v>
      </c>
      <c r="D990" s="22" t="s">
        <v>3545</v>
      </c>
      <c r="E990" s="24">
        <v>45108</v>
      </c>
      <c r="F990" s="24">
        <v>45129</v>
      </c>
      <c r="G990" s="22" t="s">
        <v>14</v>
      </c>
      <c r="H990" s="25">
        <v>84691</v>
      </c>
      <c r="I990" s="25">
        <v>1766</v>
      </c>
      <c r="J990" s="26">
        <v>2416.6799999999998</v>
      </c>
      <c r="K990" s="25">
        <v>313</v>
      </c>
      <c r="L990" s="21" t="s">
        <v>21</v>
      </c>
      <c r="M990" s="22" t="s">
        <v>3537</v>
      </c>
      <c r="N990" s="27">
        <f t="shared" si="120"/>
        <v>21</v>
      </c>
      <c r="O990" s="28">
        <f t="shared" si="121"/>
        <v>2.0852274739936946E-2</v>
      </c>
      <c r="P990" s="28">
        <f t="shared" si="122"/>
        <v>0.17723669309173273</v>
      </c>
      <c r="Q990" s="26">
        <f t="shared" si="123"/>
        <v>1.3684484711211777</v>
      </c>
      <c r="R990" s="29">
        <f t="shared" si="124"/>
        <v>7.7210223642172515</v>
      </c>
      <c r="S990" s="30">
        <f t="shared" si="125"/>
        <v>7</v>
      </c>
      <c r="T990" s="30">
        <f t="shared" si="126"/>
        <v>2023</v>
      </c>
      <c r="U990" s="29" t="str">
        <f t="shared" si="127"/>
        <v>July</v>
      </c>
    </row>
    <row r="991" spans="1:21" ht="17.399999999999999" x14ac:dyDescent="0.3">
      <c r="A991" s="21" t="s">
        <v>2817</v>
      </c>
      <c r="B991" s="21" t="s">
        <v>2818</v>
      </c>
      <c r="C991" s="23" t="s">
        <v>3519</v>
      </c>
      <c r="D991" s="21" t="s">
        <v>3521</v>
      </c>
      <c r="E991" s="24">
        <v>45109</v>
      </c>
      <c r="F991" s="24">
        <v>45133</v>
      </c>
      <c r="G991" s="22" t="s">
        <v>16</v>
      </c>
      <c r="H991" s="25">
        <v>4430</v>
      </c>
      <c r="I991" s="25">
        <v>83</v>
      </c>
      <c r="J991" s="26">
        <v>150.13999999999999</v>
      </c>
      <c r="K991" s="25">
        <v>7</v>
      </c>
      <c r="L991" s="21" t="s">
        <v>17</v>
      </c>
      <c r="M991" s="22" t="s">
        <v>16</v>
      </c>
      <c r="N991" s="27">
        <f t="shared" si="120"/>
        <v>24</v>
      </c>
      <c r="O991" s="28">
        <f t="shared" si="121"/>
        <v>1.8735891647855531E-2</v>
      </c>
      <c r="P991" s="28">
        <f t="shared" si="122"/>
        <v>8.4337349397590355E-2</v>
      </c>
      <c r="Q991" s="26">
        <f t="shared" si="123"/>
        <v>1.8089156626506022</v>
      </c>
      <c r="R991" s="29">
        <f t="shared" si="124"/>
        <v>21.448571428571427</v>
      </c>
      <c r="S991" s="30">
        <f t="shared" si="125"/>
        <v>7</v>
      </c>
      <c r="T991" s="30">
        <f t="shared" si="126"/>
        <v>2023</v>
      </c>
      <c r="U991" s="29" t="str">
        <f t="shared" si="127"/>
        <v>July</v>
      </c>
    </row>
    <row r="992" spans="1:21" ht="17.399999999999999" x14ac:dyDescent="0.3">
      <c r="A992" s="21" t="s">
        <v>2011</v>
      </c>
      <c r="B992" s="22" t="s">
        <v>3799</v>
      </c>
      <c r="C992" s="23" t="s">
        <v>3516</v>
      </c>
      <c r="D992" s="22" t="s">
        <v>3545</v>
      </c>
      <c r="E992" s="24">
        <v>45109</v>
      </c>
      <c r="F992" s="24">
        <v>45125</v>
      </c>
      <c r="G992" s="22" t="s">
        <v>14</v>
      </c>
      <c r="H992" s="25">
        <v>81910</v>
      </c>
      <c r="I992" s="25">
        <v>2330</v>
      </c>
      <c r="J992" s="26">
        <v>3852.38</v>
      </c>
      <c r="K992" s="25">
        <v>361</v>
      </c>
      <c r="L992" s="21" t="s">
        <v>17</v>
      </c>
      <c r="M992" s="22" t="s">
        <v>3537</v>
      </c>
      <c r="N992" s="27">
        <f t="shared" si="120"/>
        <v>16</v>
      </c>
      <c r="O992" s="28">
        <f t="shared" si="121"/>
        <v>2.8445855206934441E-2</v>
      </c>
      <c r="P992" s="28">
        <f t="shared" si="122"/>
        <v>0.15493562231759656</v>
      </c>
      <c r="Q992" s="26">
        <f t="shared" si="123"/>
        <v>1.6533819742489271</v>
      </c>
      <c r="R992" s="29">
        <f t="shared" si="124"/>
        <v>10.671412742382271</v>
      </c>
      <c r="S992" s="30">
        <f t="shared" si="125"/>
        <v>7</v>
      </c>
      <c r="T992" s="30">
        <f t="shared" si="126"/>
        <v>2023</v>
      </c>
      <c r="U992" s="29" t="str">
        <f t="shared" si="127"/>
        <v>July</v>
      </c>
    </row>
    <row r="993" spans="1:21" ht="17.399999999999999" x14ac:dyDescent="0.3">
      <c r="A993" s="21" t="s">
        <v>3015</v>
      </c>
      <c r="B993" s="21" t="s">
        <v>3016</v>
      </c>
      <c r="C993" s="23" t="s">
        <v>3516</v>
      </c>
      <c r="D993" s="21" t="s">
        <v>3520</v>
      </c>
      <c r="E993" s="24">
        <v>45109</v>
      </c>
      <c r="F993" s="24">
        <v>45115</v>
      </c>
      <c r="G993" s="22" t="s">
        <v>31</v>
      </c>
      <c r="H993" s="25">
        <v>20129</v>
      </c>
      <c r="I993" s="25">
        <v>284</v>
      </c>
      <c r="J993" s="26">
        <v>449.2</v>
      </c>
      <c r="K993" s="25">
        <v>39</v>
      </c>
      <c r="L993" s="21" t="s">
        <v>17</v>
      </c>
      <c r="M993" s="22" t="s">
        <v>31</v>
      </c>
      <c r="N993" s="27">
        <f t="shared" si="120"/>
        <v>6</v>
      </c>
      <c r="O993" s="28">
        <f t="shared" si="121"/>
        <v>1.4108996969546426E-2</v>
      </c>
      <c r="P993" s="28">
        <f t="shared" si="122"/>
        <v>0.13732394366197184</v>
      </c>
      <c r="Q993" s="26">
        <f t="shared" si="123"/>
        <v>1.5816901408450703</v>
      </c>
      <c r="R993" s="29">
        <f t="shared" si="124"/>
        <v>11.517948717948718</v>
      </c>
      <c r="S993" s="30">
        <f t="shared" si="125"/>
        <v>7</v>
      </c>
      <c r="T993" s="30">
        <f t="shared" si="126"/>
        <v>2023</v>
      </c>
      <c r="U993" s="29" t="str">
        <f t="shared" si="127"/>
        <v>July</v>
      </c>
    </row>
    <row r="994" spans="1:21" ht="17.399999999999999" x14ac:dyDescent="0.3">
      <c r="A994" s="21" t="s">
        <v>2335</v>
      </c>
      <c r="B994" s="22" t="s">
        <v>3800</v>
      </c>
      <c r="C994" s="23" t="s">
        <v>3519</v>
      </c>
      <c r="D994" s="22" t="s">
        <v>3545</v>
      </c>
      <c r="E994" s="24">
        <v>45110</v>
      </c>
      <c r="F994" s="24">
        <v>45128</v>
      </c>
      <c r="G994" s="22" t="s">
        <v>14</v>
      </c>
      <c r="H994" s="25">
        <v>32480</v>
      </c>
      <c r="I994" s="25">
        <v>943</v>
      </c>
      <c r="J994" s="26">
        <v>1374.45</v>
      </c>
      <c r="K994" s="25">
        <v>173</v>
      </c>
      <c r="L994" s="21" t="s">
        <v>21</v>
      </c>
      <c r="M994" s="22" t="s">
        <v>3537</v>
      </c>
      <c r="N994" s="27">
        <f t="shared" si="120"/>
        <v>18</v>
      </c>
      <c r="O994" s="28">
        <f t="shared" si="121"/>
        <v>2.9033251231527092E-2</v>
      </c>
      <c r="P994" s="28">
        <f t="shared" si="122"/>
        <v>0.18345705196182396</v>
      </c>
      <c r="Q994" s="26">
        <f t="shared" si="123"/>
        <v>1.4575291622481443</v>
      </c>
      <c r="R994" s="29">
        <f t="shared" si="124"/>
        <v>7.9447976878612723</v>
      </c>
      <c r="S994" s="30">
        <f t="shared" si="125"/>
        <v>7</v>
      </c>
      <c r="T994" s="30">
        <f t="shared" si="126"/>
        <v>2023</v>
      </c>
      <c r="U994" s="29" t="str">
        <f t="shared" si="127"/>
        <v>July</v>
      </c>
    </row>
    <row r="995" spans="1:21" ht="17.399999999999999" x14ac:dyDescent="0.3">
      <c r="A995" s="21" t="s">
        <v>2464</v>
      </c>
      <c r="B995" s="21" t="s">
        <v>2465</v>
      </c>
      <c r="C995" s="23" t="s">
        <v>3519</v>
      </c>
      <c r="D995" s="21" t="s">
        <v>3517</v>
      </c>
      <c r="E995" s="24">
        <v>45110</v>
      </c>
      <c r="F995" s="24">
        <v>45118</v>
      </c>
      <c r="G995" s="22" t="s">
        <v>14</v>
      </c>
      <c r="H995" s="25">
        <v>98425</v>
      </c>
      <c r="I995" s="25">
        <v>1799</v>
      </c>
      <c r="J995" s="26">
        <v>3225.81</v>
      </c>
      <c r="K995" s="25">
        <v>0</v>
      </c>
      <c r="L995" s="21" t="s">
        <v>17</v>
      </c>
      <c r="M995" s="22" t="s">
        <v>3537</v>
      </c>
      <c r="N995" s="27">
        <f t="shared" si="120"/>
        <v>8</v>
      </c>
      <c r="O995" s="28">
        <f t="shared" si="121"/>
        <v>1.8277876555753112E-2</v>
      </c>
      <c r="P995" s="28">
        <f t="shared" si="122"/>
        <v>0</v>
      </c>
      <c r="Q995" s="26">
        <f t="shared" si="123"/>
        <v>1.7931128404669261</v>
      </c>
      <c r="R995" s="29" t="str">
        <f t="shared" si="124"/>
        <v>0</v>
      </c>
      <c r="S995" s="30">
        <f t="shared" si="125"/>
        <v>7</v>
      </c>
      <c r="T995" s="30">
        <f t="shared" si="126"/>
        <v>2023</v>
      </c>
      <c r="U995" s="29" t="str">
        <f t="shared" si="127"/>
        <v>July</v>
      </c>
    </row>
    <row r="996" spans="1:21" ht="17.399999999999999" x14ac:dyDescent="0.3">
      <c r="A996" s="21" t="s">
        <v>621</v>
      </c>
      <c r="B996" s="21" t="s">
        <v>622</v>
      </c>
      <c r="C996" s="23" t="s">
        <v>3518</v>
      </c>
      <c r="D996" s="21" t="s">
        <v>3521</v>
      </c>
      <c r="E996" s="24">
        <v>45110</v>
      </c>
      <c r="F996" s="24">
        <v>45118</v>
      </c>
      <c r="G996" s="22" t="s">
        <v>31</v>
      </c>
      <c r="H996" s="25">
        <v>55045</v>
      </c>
      <c r="I996" s="25">
        <v>2035</v>
      </c>
      <c r="J996" s="26">
        <v>2043.16</v>
      </c>
      <c r="K996" s="25">
        <v>391</v>
      </c>
      <c r="L996" s="21" t="s">
        <v>17</v>
      </c>
      <c r="M996" s="22" t="s">
        <v>31</v>
      </c>
      <c r="N996" s="27">
        <f t="shared" si="120"/>
        <v>8</v>
      </c>
      <c r="O996" s="28">
        <f t="shared" si="121"/>
        <v>3.6969752021073665E-2</v>
      </c>
      <c r="P996" s="28">
        <f t="shared" si="122"/>
        <v>0.19213759213759213</v>
      </c>
      <c r="Q996" s="26">
        <f t="shared" si="123"/>
        <v>1.004009828009828</v>
      </c>
      <c r="R996" s="29">
        <f t="shared" si="124"/>
        <v>5.2254731457800512</v>
      </c>
      <c r="S996" s="30">
        <f t="shared" si="125"/>
        <v>7</v>
      </c>
      <c r="T996" s="30">
        <f t="shared" si="126"/>
        <v>2023</v>
      </c>
      <c r="U996" s="29" t="str">
        <f t="shared" si="127"/>
        <v>July</v>
      </c>
    </row>
    <row r="997" spans="1:21" ht="17.399999999999999" x14ac:dyDescent="0.3">
      <c r="A997" s="21" t="s">
        <v>1913</v>
      </c>
      <c r="B997" s="21" t="s">
        <v>1914</v>
      </c>
      <c r="C997" s="23" t="s">
        <v>3516</v>
      </c>
      <c r="D997" s="21" t="s">
        <v>3521</v>
      </c>
      <c r="E997" s="24">
        <v>45110</v>
      </c>
      <c r="F997" s="24">
        <v>45117</v>
      </c>
      <c r="G997" s="22" t="s">
        <v>16</v>
      </c>
      <c r="H997" s="25">
        <v>68444</v>
      </c>
      <c r="I997" s="25">
        <v>2138</v>
      </c>
      <c r="J997" s="26">
        <v>3406.22</v>
      </c>
      <c r="K997" s="25">
        <v>274</v>
      </c>
      <c r="L997" s="21" t="s">
        <v>21</v>
      </c>
      <c r="M997" s="22" t="s">
        <v>16</v>
      </c>
      <c r="N997" s="27">
        <f t="shared" si="120"/>
        <v>7</v>
      </c>
      <c r="O997" s="28">
        <f t="shared" si="121"/>
        <v>3.1237215826076793E-2</v>
      </c>
      <c r="P997" s="28">
        <f t="shared" si="122"/>
        <v>0.12815715622076707</v>
      </c>
      <c r="Q997" s="26">
        <f t="shared" si="123"/>
        <v>1.5931805425631431</v>
      </c>
      <c r="R997" s="29">
        <f t="shared" si="124"/>
        <v>12.431459854014598</v>
      </c>
      <c r="S997" s="30">
        <f t="shared" si="125"/>
        <v>7</v>
      </c>
      <c r="T997" s="30">
        <f t="shared" si="126"/>
        <v>2023</v>
      </c>
      <c r="U997" s="29" t="str">
        <f t="shared" si="127"/>
        <v>July</v>
      </c>
    </row>
    <row r="998" spans="1:21" ht="17.399999999999999" x14ac:dyDescent="0.3">
      <c r="A998" s="21" t="s">
        <v>1426</v>
      </c>
      <c r="B998" s="21" t="s">
        <v>1427</v>
      </c>
      <c r="C998" s="23" t="s">
        <v>3515</v>
      </c>
      <c r="D998" s="21" t="s">
        <v>3520</v>
      </c>
      <c r="E998" s="24">
        <v>45110</v>
      </c>
      <c r="F998" s="24">
        <v>45117</v>
      </c>
      <c r="G998" s="22" t="s">
        <v>24</v>
      </c>
      <c r="H998" s="25">
        <v>1404</v>
      </c>
      <c r="I998" s="25">
        <v>20</v>
      </c>
      <c r="J998" s="26">
        <v>19.239999999999998</v>
      </c>
      <c r="K998" s="25">
        <v>3</v>
      </c>
      <c r="L998" s="21" t="s">
        <v>21</v>
      </c>
      <c r="M998" s="22" t="s">
        <v>3536</v>
      </c>
      <c r="N998" s="27">
        <f t="shared" si="120"/>
        <v>7</v>
      </c>
      <c r="O998" s="28">
        <f t="shared" si="121"/>
        <v>1.4245014245014245E-2</v>
      </c>
      <c r="P998" s="28">
        <f t="shared" si="122"/>
        <v>0.15</v>
      </c>
      <c r="Q998" s="26">
        <f t="shared" si="123"/>
        <v>0.96199999999999997</v>
      </c>
      <c r="R998" s="29">
        <f t="shared" si="124"/>
        <v>6.4133333333333331</v>
      </c>
      <c r="S998" s="30">
        <f t="shared" si="125"/>
        <v>7</v>
      </c>
      <c r="T998" s="30">
        <f t="shared" si="126"/>
        <v>2023</v>
      </c>
      <c r="U998" s="29" t="str">
        <f t="shared" si="127"/>
        <v>July</v>
      </c>
    </row>
    <row r="999" spans="1:21" ht="17.399999999999999" x14ac:dyDescent="0.3">
      <c r="A999" s="21" t="s">
        <v>1664</v>
      </c>
      <c r="B999" s="21" t="s">
        <v>1665</v>
      </c>
      <c r="C999" s="23" t="s">
        <v>3515</v>
      </c>
      <c r="D999" s="21" t="s">
        <v>3521</v>
      </c>
      <c r="E999" s="24">
        <v>45110</v>
      </c>
      <c r="F999" s="24">
        <v>45115</v>
      </c>
      <c r="G999" s="22" t="s">
        <v>31</v>
      </c>
      <c r="H999" s="25">
        <v>60399</v>
      </c>
      <c r="I999" s="25">
        <v>1016</v>
      </c>
      <c r="J999" s="26">
        <v>1443.7</v>
      </c>
      <c r="K999" s="25">
        <v>121</v>
      </c>
      <c r="L999" s="21" t="s">
        <v>21</v>
      </c>
      <c r="M999" s="22" t="s">
        <v>31</v>
      </c>
      <c r="N999" s="27">
        <f t="shared" si="120"/>
        <v>5</v>
      </c>
      <c r="O999" s="28">
        <f t="shared" si="121"/>
        <v>1.6821470554148246E-2</v>
      </c>
      <c r="P999" s="28">
        <f t="shared" si="122"/>
        <v>0.11909448818897637</v>
      </c>
      <c r="Q999" s="26">
        <f t="shared" si="123"/>
        <v>1.420964566929134</v>
      </c>
      <c r="R999" s="29">
        <f t="shared" si="124"/>
        <v>11.931404958677687</v>
      </c>
      <c r="S999" s="30">
        <f t="shared" si="125"/>
        <v>7</v>
      </c>
      <c r="T999" s="30">
        <f t="shared" si="126"/>
        <v>2023</v>
      </c>
      <c r="U999" s="29" t="str">
        <f t="shared" si="127"/>
        <v>July</v>
      </c>
    </row>
    <row r="1000" spans="1:21" ht="17.399999999999999" x14ac:dyDescent="0.3">
      <c r="A1000" s="21" t="s">
        <v>1012</v>
      </c>
      <c r="B1000" s="21" t="s">
        <v>1013</v>
      </c>
      <c r="C1000" s="23" t="s">
        <v>3515</v>
      </c>
      <c r="D1000" s="21" t="s">
        <v>3517</v>
      </c>
      <c r="E1000" s="24">
        <v>45110</v>
      </c>
      <c r="F1000" s="24">
        <v>45205</v>
      </c>
      <c r="G1000" s="22" t="s">
        <v>3535</v>
      </c>
      <c r="H1000" s="25">
        <v>77797</v>
      </c>
      <c r="I1000" s="25">
        <v>1381</v>
      </c>
      <c r="J1000" s="26">
        <v>1342.66</v>
      </c>
      <c r="K1000" s="25">
        <v>192</v>
      </c>
      <c r="L1000" s="21" t="s">
        <v>21</v>
      </c>
      <c r="M1000" s="22" t="s">
        <v>3535</v>
      </c>
      <c r="N1000" s="27">
        <f t="shared" si="120"/>
        <v>95</v>
      </c>
      <c r="O1000" s="28">
        <f t="shared" si="121"/>
        <v>1.7751327171998919E-2</v>
      </c>
      <c r="P1000" s="28">
        <f t="shared" si="122"/>
        <v>0.13902968863142651</v>
      </c>
      <c r="Q1000" s="26">
        <f t="shared" si="123"/>
        <v>0.97223750905141204</v>
      </c>
      <c r="R1000" s="29">
        <f t="shared" si="124"/>
        <v>6.9930208333333335</v>
      </c>
      <c r="S1000" s="30">
        <f t="shared" si="125"/>
        <v>7</v>
      </c>
      <c r="T1000" s="30">
        <f t="shared" si="126"/>
        <v>2023</v>
      </c>
      <c r="U1000" s="29" t="str">
        <f t="shared" si="127"/>
        <v>July</v>
      </c>
    </row>
    <row r="1001" spans="1:21" ht="17.399999999999999" x14ac:dyDescent="0.3">
      <c r="A1001" s="21" t="s">
        <v>1084</v>
      </c>
      <c r="B1001" s="21" t="s">
        <v>1085</v>
      </c>
      <c r="C1001" s="23" t="s">
        <v>3519</v>
      </c>
      <c r="D1001" s="21" t="s">
        <v>3521</v>
      </c>
      <c r="E1001" s="24">
        <v>45111</v>
      </c>
      <c r="F1001" s="24">
        <v>45120</v>
      </c>
      <c r="G1001" s="22" t="s">
        <v>3535</v>
      </c>
      <c r="H1001" s="25">
        <v>56069</v>
      </c>
      <c r="I1001" s="25">
        <v>1066</v>
      </c>
      <c r="J1001" s="26">
        <v>849.75</v>
      </c>
      <c r="K1001" s="25">
        <v>134</v>
      </c>
      <c r="L1001" s="21" t="s">
        <v>21</v>
      </c>
      <c r="M1001" s="22" t="s">
        <v>3535</v>
      </c>
      <c r="N1001" s="27">
        <f t="shared" si="120"/>
        <v>9</v>
      </c>
      <c r="O1001" s="28">
        <f t="shared" si="121"/>
        <v>1.9012288430326919E-2</v>
      </c>
      <c r="P1001" s="28">
        <f t="shared" si="122"/>
        <v>0.12570356472795496</v>
      </c>
      <c r="Q1001" s="26">
        <f t="shared" si="123"/>
        <v>0.79713883677298314</v>
      </c>
      <c r="R1001" s="29">
        <f t="shared" si="124"/>
        <v>6.3414179104477615</v>
      </c>
      <c r="S1001" s="30">
        <f t="shared" si="125"/>
        <v>7</v>
      </c>
      <c r="T1001" s="30">
        <f t="shared" si="126"/>
        <v>2023</v>
      </c>
      <c r="U1001" s="29" t="str">
        <f t="shared" si="127"/>
        <v>July</v>
      </c>
    </row>
    <row r="1002" spans="1:21" ht="17.399999999999999" x14ac:dyDescent="0.3">
      <c r="A1002" s="21" t="s">
        <v>984</v>
      </c>
      <c r="B1002" s="22" t="s">
        <v>3801</v>
      </c>
      <c r="C1002" s="23" t="s">
        <v>3518</v>
      </c>
      <c r="D1002" s="22" t="s">
        <v>3545</v>
      </c>
      <c r="E1002" s="24">
        <v>45111</v>
      </c>
      <c r="F1002" s="24">
        <v>45137</v>
      </c>
      <c r="G1002" s="22" t="s">
        <v>14</v>
      </c>
      <c r="H1002" s="25">
        <v>83986</v>
      </c>
      <c r="I1002" s="25">
        <v>2228</v>
      </c>
      <c r="J1002" s="26">
        <v>1636.3</v>
      </c>
      <c r="K1002" s="25">
        <v>311</v>
      </c>
      <c r="L1002" s="21" t="s">
        <v>21</v>
      </c>
      <c r="M1002" s="22" t="s">
        <v>3537</v>
      </c>
      <c r="N1002" s="27">
        <f t="shared" si="120"/>
        <v>26</v>
      </c>
      <c r="O1002" s="28">
        <f t="shared" si="121"/>
        <v>2.6528230895625463E-2</v>
      </c>
      <c r="P1002" s="28">
        <f t="shared" si="122"/>
        <v>0.13958707360861761</v>
      </c>
      <c r="Q1002" s="26">
        <f t="shared" si="123"/>
        <v>0.73442549371633747</v>
      </c>
      <c r="R1002" s="29">
        <f t="shared" si="124"/>
        <v>5.2614147909967848</v>
      </c>
      <c r="S1002" s="30">
        <f t="shared" si="125"/>
        <v>7</v>
      </c>
      <c r="T1002" s="30">
        <f t="shared" si="126"/>
        <v>2023</v>
      </c>
      <c r="U1002" s="29" t="str">
        <f t="shared" si="127"/>
        <v>July</v>
      </c>
    </row>
    <row r="1003" spans="1:21" ht="17.399999999999999" x14ac:dyDescent="0.3">
      <c r="A1003" s="21" t="s">
        <v>2328</v>
      </c>
      <c r="B1003" s="22" t="s">
        <v>3802</v>
      </c>
      <c r="C1003" s="23" t="s">
        <v>3518</v>
      </c>
      <c r="D1003" s="22" t="s">
        <v>3545</v>
      </c>
      <c r="E1003" s="24">
        <v>45111</v>
      </c>
      <c r="F1003" s="24">
        <v>45141</v>
      </c>
      <c r="G1003" s="22" t="s">
        <v>3535</v>
      </c>
      <c r="H1003" s="25">
        <v>77218</v>
      </c>
      <c r="I1003" s="25">
        <v>1095</v>
      </c>
      <c r="J1003" s="26">
        <v>1529.45</v>
      </c>
      <c r="K1003" s="25">
        <v>136</v>
      </c>
      <c r="L1003" s="21" t="s">
        <v>17</v>
      </c>
      <c r="M1003" s="22" t="s">
        <v>3535</v>
      </c>
      <c r="N1003" s="27">
        <f t="shared" si="120"/>
        <v>30</v>
      </c>
      <c r="O1003" s="28">
        <f t="shared" si="121"/>
        <v>1.4180631458986247E-2</v>
      </c>
      <c r="P1003" s="28">
        <f t="shared" si="122"/>
        <v>0.12420091324200913</v>
      </c>
      <c r="Q1003" s="26">
        <f t="shared" si="123"/>
        <v>1.39675799086758</v>
      </c>
      <c r="R1003" s="29">
        <f t="shared" si="124"/>
        <v>11.245955882352941</v>
      </c>
      <c r="S1003" s="30">
        <f t="shared" si="125"/>
        <v>7</v>
      </c>
      <c r="T1003" s="30">
        <f t="shared" si="126"/>
        <v>2023</v>
      </c>
      <c r="U1003" s="29" t="str">
        <f t="shared" si="127"/>
        <v>July</v>
      </c>
    </row>
    <row r="1004" spans="1:21" ht="17.399999999999999" x14ac:dyDescent="0.3">
      <c r="A1004" s="21" t="s">
        <v>1592</v>
      </c>
      <c r="B1004" s="21" t="s">
        <v>1593</v>
      </c>
      <c r="C1004" s="23" t="s">
        <v>3516</v>
      </c>
      <c r="D1004" s="21" t="s">
        <v>3521</v>
      </c>
      <c r="E1004" s="24">
        <v>45111</v>
      </c>
      <c r="F1004" s="24">
        <v>45133</v>
      </c>
      <c r="G1004" s="22" t="s">
        <v>14</v>
      </c>
      <c r="H1004" s="25">
        <v>25214</v>
      </c>
      <c r="I1004" s="25">
        <v>373</v>
      </c>
      <c r="J1004" s="26">
        <v>551.83000000000004</v>
      </c>
      <c r="K1004" s="25">
        <v>38</v>
      </c>
      <c r="L1004" s="21" t="s">
        <v>17</v>
      </c>
      <c r="M1004" s="22" t="s">
        <v>3537</v>
      </c>
      <c r="N1004" s="27">
        <f t="shared" si="120"/>
        <v>22</v>
      </c>
      <c r="O1004" s="28">
        <f t="shared" si="121"/>
        <v>1.479336876338542E-2</v>
      </c>
      <c r="P1004" s="28">
        <f t="shared" si="122"/>
        <v>0.10187667560321716</v>
      </c>
      <c r="Q1004" s="26">
        <f t="shared" si="123"/>
        <v>1.4794369973190349</v>
      </c>
      <c r="R1004" s="29">
        <f t="shared" si="124"/>
        <v>14.521842105263159</v>
      </c>
      <c r="S1004" s="30">
        <f t="shared" si="125"/>
        <v>7</v>
      </c>
      <c r="T1004" s="30">
        <f t="shared" si="126"/>
        <v>2023</v>
      </c>
      <c r="U1004" s="29" t="str">
        <f t="shared" si="127"/>
        <v>July</v>
      </c>
    </row>
    <row r="1005" spans="1:21" ht="17.399999999999999" x14ac:dyDescent="0.3">
      <c r="A1005" s="21" t="s">
        <v>1748</v>
      </c>
      <c r="B1005" s="22" t="s">
        <v>3803</v>
      </c>
      <c r="C1005" s="23" t="s">
        <v>3516</v>
      </c>
      <c r="D1005" s="22" t="s">
        <v>3545</v>
      </c>
      <c r="E1005" s="24">
        <v>45111</v>
      </c>
      <c r="F1005" s="24">
        <v>45112</v>
      </c>
      <c r="G1005" s="22" t="s">
        <v>31</v>
      </c>
      <c r="H1005" s="25">
        <v>74479</v>
      </c>
      <c r="I1005" s="25">
        <v>833</v>
      </c>
      <c r="J1005" s="26">
        <v>1264.27</v>
      </c>
      <c r="K1005" s="25">
        <v>102</v>
      </c>
      <c r="L1005" s="21" t="s">
        <v>21</v>
      </c>
      <c r="M1005" s="22" t="s">
        <v>31</v>
      </c>
      <c r="N1005" s="27">
        <f t="shared" si="120"/>
        <v>1</v>
      </c>
      <c r="O1005" s="28">
        <f t="shared" si="121"/>
        <v>1.1184360692275675E-2</v>
      </c>
      <c r="P1005" s="28">
        <f t="shared" si="122"/>
        <v>0.12244897959183673</v>
      </c>
      <c r="Q1005" s="26">
        <f t="shared" si="123"/>
        <v>1.5177310924369747</v>
      </c>
      <c r="R1005" s="29">
        <f t="shared" si="124"/>
        <v>12.394803921568627</v>
      </c>
      <c r="S1005" s="30">
        <f t="shared" si="125"/>
        <v>7</v>
      </c>
      <c r="T1005" s="30">
        <f t="shared" si="126"/>
        <v>2023</v>
      </c>
      <c r="U1005" s="29" t="str">
        <f t="shared" si="127"/>
        <v>July</v>
      </c>
    </row>
    <row r="1006" spans="1:21" ht="17.399999999999999" x14ac:dyDescent="0.3">
      <c r="A1006" s="21" t="s">
        <v>3061</v>
      </c>
      <c r="B1006" s="21" t="s">
        <v>3062</v>
      </c>
      <c r="C1006" s="23" t="s">
        <v>3516</v>
      </c>
      <c r="D1006" s="21" t="s">
        <v>3517</v>
      </c>
      <c r="E1006" s="24">
        <v>45111</v>
      </c>
      <c r="F1006" s="24">
        <v>45125</v>
      </c>
      <c r="G1006" s="22" t="s">
        <v>3535</v>
      </c>
      <c r="H1006" s="25">
        <v>55302</v>
      </c>
      <c r="I1006" s="25">
        <v>1799</v>
      </c>
      <c r="J1006" s="26">
        <v>1009.96</v>
      </c>
      <c r="K1006" s="25">
        <v>339</v>
      </c>
      <c r="L1006" s="21" t="s">
        <v>21</v>
      </c>
      <c r="M1006" s="22" t="s">
        <v>3535</v>
      </c>
      <c r="N1006" s="27">
        <f t="shared" si="120"/>
        <v>14</v>
      </c>
      <c r="O1006" s="28">
        <f t="shared" si="121"/>
        <v>3.253046906079346E-2</v>
      </c>
      <c r="P1006" s="28">
        <f t="shared" si="122"/>
        <v>0.18843802112284602</v>
      </c>
      <c r="Q1006" s="26">
        <f t="shared" si="123"/>
        <v>0.5614007782101168</v>
      </c>
      <c r="R1006" s="29">
        <f t="shared" si="124"/>
        <v>2.9792330383480827</v>
      </c>
      <c r="S1006" s="30">
        <f t="shared" si="125"/>
        <v>7</v>
      </c>
      <c r="T1006" s="30">
        <f t="shared" si="126"/>
        <v>2023</v>
      </c>
      <c r="U1006" s="29" t="str">
        <f t="shared" si="127"/>
        <v>July</v>
      </c>
    </row>
    <row r="1007" spans="1:21" ht="17.399999999999999" x14ac:dyDescent="0.3">
      <c r="A1007" s="21" t="s">
        <v>2167</v>
      </c>
      <c r="B1007" s="21" t="s">
        <v>2168</v>
      </c>
      <c r="C1007" s="23" t="s">
        <v>3515</v>
      </c>
      <c r="D1007" s="21" t="s">
        <v>3517</v>
      </c>
      <c r="E1007" s="24">
        <v>45111</v>
      </c>
      <c r="F1007" s="24">
        <v>45131</v>
      </c>
      <c r="G1007" s="22" t="s">
        <v>24</v>
      </c>
      <c r="H1007" s="25">
        <v>69244</v>
      </c>
      <c r="I1007" s="25">
        <v>2213</v>
      </c>
      <c r="J1007" s="26">
        <v>1989.48</v>
      </c>
      <c r="K1007" s="25">
        <v>215</v>
      </c>
      <c r="L1007" s="21" t="s">
        <v>21</v>
      </c>
      <c r="M1007" s="22" t="s">
        <v>3536</v>
      </c>
      <c r="N1007" s="27">
        <f t="shared" si="120"/>
        <v>20</v>
      </c>
      <c r="O1007" s="28">
        <f t="shared" si="121"/>
        <v>3.1959447749985562E-2</v>
      </c>
      <c r="P1007" s="28">
        <f t="shared" si="122"/>
        <v>9.7153185720741081E-2</v>
      </c>
      <c r="Q1007" s="26">
        <f t="shared" si="123"/>
        <v>0.89899683687302301</v>
      </c>
      <c r="R1007" s="29">
        <f t="shared" si="124"/>
        <v>9.2533953488372092</v>
      </c>
      <c r="S1007" s="30">
        <f t="shared" si="125"/>
        <v>7</v>
      </c>
      <c r="T1007" s="30">
        <f t="shared" si="126"/>
        <v>2023</v>
      </c>
      <c r="U1007" s="29" t="str">
        <f t="shared" si="127"/>
        <v>July</v>
      </c>
    </row>
    <row r="1008" spans="1:21" ht="17.399999999999999" x14ac:dyDescent="0.3">
      <c r="A1008" s="21" t="s">
        <v>2873</v>
      </c>
      <c r="B1008" s="21" t="s">
        <v>2874</v>
      </c>
      <c r="C1008" s="23" t="s">
        <v>3515</v>
      </c>
      <c r="D1008" s="21" t="s">
        <v>3517</v>
      </c>
      <c r="E1008" s="24">
        <v>45111</v>
      </c>
      <c r="F1008" s="24">
        <v>45116</v>
      </c>
      <c r="G1008" s="22" t="s">
        <v>3535</v>
      </c>
      <c r="H1008" s="25">
        <v>81097</v>
      </c>
      <c r="I1008" s="25">
        <v>911</v>
      </c>
      <c r="J1008" s="26">
        <v>1359.72</v>
      </c>
      <c r="K1008" s="25">
        <v>96</v>
      </c>
      <c r="L1008" s="21" t="s">
        <v>17</v>
      </c>
      <c r="M1008" s="22" t="s">
        <v>3535</v>
      </c>
      <c r="N1008" s="27">
        <f t="shared" si="120"/>
        <v>5</v>
      </c>
      <c r="O1008" s="28">
        <f t="shared" si="121"/>
        <v>1.1233461163791508E-2</v>
      </c>
      <c r="P1008" s="28">
        <f t="shared" si="122"/>
        <v>0.10537870472008781</v>
      </c>
      <c r="Q1008" s="26">
        <f t="shared" si="123"/>
        <v>1.4925576289791438</v>
      </c>
      <c r="R1008" s="29">
        <f t="shared" si="124"/>
        <v>14.16375</v>
      </c>
      <c r="S1008" s="30">
        <f t="shared" si="125"/>
        <v>7</v>
      </c>
      <c r="T1008" s="30">
        <f t="shared" si="126"/>
        <v>2023</v>
      </c>
      <c r="U1008" s="29" t="str">
        <f t="shared" si="127"/>
        <v>July</v>
      </c>
    </row>
    <row r="1009" spans="1:21" ht="17.399999999999999" x14ac:dyDescent="0.3">
      <c r="A1009" s="21" t="s">
        <v>908</v>
      </c>
      <c r="B1009" s="21" t="s">
        <v>909</v>
      </c>
      <c r="C1009" s="23" t="s">
        <v>3519</v>
      </c>
      <c r="D1009" s="21" t="s">
        <v>3521</v>
      </c>
      <c r="E1009" s="24">
        <v>45112</v>
      </c>
      <c r="F1009" s="24">
        <v>45142</v>
      </c>
      <c r="G1009" s="22" t="s">
        <v>11</v>
      </c>
      <c r="H1009" s="25">
        <v>36247</v>
      </c>
      <c r="I1009" s="25">
        <v>1067</v>
      </c>
      <c r="J1009" s="26">
        <v>1456.14</v>
      </c>
      <c r="K1009" s="25">
        <v>154</v>
      </c>
      <c r="L1009" s="21" t="s">
        <v>21</v>
      </c>
      <c r="M1009" s="22" t="s">
        <v>11</v>
      </c>
      <c r="N1009" s="27">
        <f t="shared" si="120"/>
        <v>30</v>
      </c>
      <c r="O1009" s="28">
        <f t="shared" si="121"/>
        <v>2.9436918917427651E-2</v>
      </c>
      <c r="P1009" s="28">
        <f t="shared" si="122"/>
        <v>0.14432989690721648</v>
      </c>
      <c r="Q1009" s="26">
        <f t="shared" si="123"/>
        <v>1.3647047797563263</v>
      </c>
      <c r="R1009" s="29">
        <f t="shared" si="124"/>
        <v>9.4554545454545469</v>
      </c>
      <c r="S1009" s="30">
        <f t="shared" si="125"/>
        <v>7</v>
      </c>
      <c r="T1009" s="30">
        <f t="shared" si="126"/>
        <v>2023</v>
      </c>
      <c r="U1009" s="29" t="str">
        <f t="shared" si="127"/>
        <v>July</v>
      </c>
    </row>
    <row r="1010" spans="1:21" ht="17.399999999999999" x14ac:dyDescent="0.3">
      <c r="A1010" s="21" t="s">
        <v>72</v>
      </c>
      <c r="B1010" s="21" t="s">
        <v>73</v>
      </c>
      <c r="C1010" s="23" t="s">
        <v>3518</v>
      </c>
      <c r="D1010" s="21" t="s">
        <v>3521</v>
      </c>
      <c r="E1010" s="24">
        <v>45112</v>
      </c>
      <c r="F1010" s="24">
        <v>45124</v>
      </c>
      <c r="G1010" s="22" t="s">
        <v>14</v>
      </c>
      <c r="H1010" s="25">
        <v>36773</v>
      </c>
      <c r="I1010" s="25">
        <v>932</v>
      </c>
      <c r="J1010" s="26">
        <v>1233.98</v>
      </c>
      <c r="K1010" s="25">
        <v>84</v>
      </c>
      <c r="L1010" s="21" t="s">
        <v>17</v>
      </c>
      <c r="M1010" s="22" t="s">
        <v>3537</v>
      </c>
      <c r="N1010" s="27">
        <f t="shared" si="120"/>
        <v>12</v>
      </c>
      <c r="O1010" s="28">
        <f t="shared" si="121"/>
        <v>2.5344682239686726E-2</v>
      </c>
      <c r="P1010" s="28">
        <f t="shared" si="122"/>
        <v>9.012875536480687E-2</v>
      </c>
      <c r="Q1010" s="26">
        <f t="shared" si="123"/>
        <v>1.3240128755364806</v>
      </c>
      <c r="R1010" s="29">
        <f t="shared" si="124"/>
        <v>14.690238095238096</v>
      </c>
      <c r="S1010" s="30">
        <f t="shared" si="125"/>
        <v>7</v>
      </c>
      <c r="T1010" s="30">
        <f t="shared" si="126"/>
        <v>2023</v>
      </c>
      <c r="U1010" s="29" t="str">
        <f t="shared" si="127"/>
        <v>July</v>
      </c>
    </row>
    <row r="1011" spans="1:21" ht="17.399999999999999" x14ac:dyDescent="0.3">
      <c r="A1011" s="21" t="s">
        <v>2898</v>
      </c>
      <c r="B1011" s="21" t="s">
        <v>2899</v>
      </c>
      <c r="C1011" s="23" t="s">
        <v>3518</v>
      </c>
      <c r="D1011" s="21" t="s">
        <v>3520</v>
      </c>
      <c r="E1011" s="24">
        <v>45112</v>
      </c>
      <c r="F1011" s="24">
        <v>45113</v>
      </c>
      <c r="G1011" s="22" t="s">
        <v>11</v>
      </c>
      <c r="H1011" s="25">
        <v>62665</v>
      </c>
      <c r="I1011" s="25">
        <v>1597</v>
      </c>
      <c r="J1011" s="26">
        <v>2081.61</v>
      </c>
      <c r="K1011" s="25">
        <v>233</v>
      </c>
      <c r="L1011" s="21" t="s">
        <v>21</v>
      </c>
      <c r="M1011" s="22" t="s">
        <v>11</v>
      </c>
      <c r="N1011" s="27">
        <f t="shared" si="120"/>
        <v>1</v>
      </c>
      <c r="O1011" s="28">
        <f t="shared" si="121"/>
        <v>2.5484720338306871E-2</v>
      </c>
      <c r="P1011" s="28">
        <f t="shared" si="122"/>
        <v>0.14589855979962429</v>
      </c>
      <c r="Q1011" s="26">
        <f t="shared" si="123"/>
        <v>1.3034502191609267</v>
      </c>
      <c r="R1011" s="29">
        <f t="shared" si="124"/>
        <v>8.9339484978540771</v>
      </c>
      <c r="S1011" s="30">
        <f t="shared" si="125"/>
        <v>7</v>
      </c>
      <c r="T1011" s="30">
        <f t="shared" si="126"/>
        <v>2023</v>
      </c>
      <c r="U1011" s="29" t="str">
        <f t="shared" si="127"/>
        <v>July</v>
      </c>
    </row>
    <row r="1012" spans="1:21" ht="17.399999999999999" x14ac:dyDescent="0.3">
      <c r="A1012" s="21" t="s">
        <v>1049</v>
      </c>
      <c r="B1012" s="21" t="s">
        <v>1050</v>
      </c>
      <c r="C1012" s="23" t="s">
        <v>3516</v>
      </c>
      <c r="D1012" s="21" t="s">
        <v>3517</v>
      </c>
      <c r="E1012" s="24">
        <v>45112</v>
      </c>
      <c r="F1012" s="24">
        <v>45139</v>
      </c>
      <c r="G1012" s="22" t="s">
        <v>14</v>
      </c>
      <c r="H1012" s="25">
        <v>84042</v>
      </c>
      <c r="I1012" s="25">
        <v>2528</v>
      </c>
      <c r="J1012" s="26">
        <v>4405.63</v>
      </c>
      <c r="K1012" s="25">
        <v>0</v>
      </c>
      <c r="L1012" s="21" t="s">
        <v>21</v>
      </c>
      <c r="M1012" s="22" t="s">
        <v>3537</v>
      </c>
      <c r="N1012" s="27">
        <f t="shared" si="120"/>
        <v>27</v>
      </c>
      <c r="O1012" s="28">
        <f t="shared" si="121"/>
        <v>3.0080197996239975E-2</v>
      </c>
      <c r="P1012" s="28">
        <f t="shared" si="122"/>
        <v>0</v>
      </c>
      <c r="Q1012" s="26">
        <f t="shared" si="123"/>
        <v>1.7427333860759495</v>
      </c>
      <c r="R1012" s="29" t="str">
        <f t="shared" si="124"/>
        <v>0</v>
      </c>
      <c r="S1012" s="30">
        <f t="shared" si="125"/>
        <v>7</v>
      </c>
      <c r="T1012" s="30">
        <f t="shared" si="126"/>
        <v>2023</v>
      </c>
      <c r="U1012" s="29" t="str">
        <f t="shared" si="127"/>
        <v>July</v>
      </c>
    </row>
    <row r="1013" spans="1:21" ht="17.399999999999999" x14ac:dyDescent="0.3">
      <c r="A1013" s="21" t="s">
        <v>926</v>
      </c>
      <c r="B1013" s="21" t="s">
        <v>927</v>
      </c>
      <c r="C1013" s="23" t="s">
        <v>3518</v>
      </c>
      <c r="D1013" s="21" t="s">
        <v>3521</v>
      </c>
      <c r="E1013" s="24">
        <v>45113</v>
      </c>
      <c r="F1013" s="24">
        <v>45125</v>
      </c>
      <c r="G1013" s="22" t="s">
        <v>11</v>
      </c>
      <c r="H1013" s="25">
        <v>98379</v>
      </c>
      <c r="I1013" s="25">
        <v>3148</v>
      </c>
      <c r="J1013" s="26">
        <v>5999.03</v>
      </c>
      <c r="K1013" s="25">
        <v>0</v>
      </c>
      <c r="L1013" s="21" t="s">
        <v>21</v>
      </c>
      <c r="M1013" s="22" t="s">
        <v>11</v>
      </c>
      <c r="N1013" s="27">
        <f t="shared" si="120"/>
        <v>12</v>
      </c>
      <c r="O1013" s="28">
        <f t="shared" si="121"/>
        <v>3.1998698909320077E-2</v>
      </c>
      <c r="P1013" s="28">
        <f t="shared" si="122"/>
        <v>0</v>
      </c>
      <c r="Q1013" s="26">
        <f t="shared" si="123"/>
        <v>1.9056639135959339</v>
      </c>
      <c r="R1013" s="29" t="str">
        <f t="shared" si="124"/>
        <v>0</v>
      </c>
      <c r="S1013" s="30">
        <f t="shared" si="125"/>
        <v>7</v>
      </c>
      <c r="T1013" s="30">
        <f t="shared" si="126"/>
        <v>2023</v>
      </c>
      <c r="U1013" s="29" t="str">
        <f t="shared" si="127"/>
        <v>July</v>
      </c>
    </row>
    <row r="1014" spans="1:21" ht="17.399999999999999" x14ac:dyDescent="0.3">
      <c r="A1014" s="21" t="s">
        <v>219</v>
      </c>
      <c r="B1014" s="21" t="s">
        <v>220</v>
      </c>
      <c r="C1014" s="23" t="s">
        <v>3516</v>
      </c>
      <c r="D1014" s="21" t="s">
        <v>3520</v>
      </c>
      <c r="E1014" s="24">
        <v>45113</v>
      </c>
      <c r="F1014" s="24">
        <v>45132</v>
      </c>
      <c r="G1014" s="22" t="s">
        <v>14</v>
      </c>
      <c r="H1014" s="25">
        <v>31535</v>
      </c>
      <c r="I1014" s="25">
        <v>1149</v>
      </c>
      <c r="J1014" s="26">
        <v>1369.32</v>
      </c>
      <c r="K1014" s="25">
        <v>95</v>
      </c>
      <c r="L1014" s="21" t="s">
        <v>21</v>
      </c>
      <c r="M1014" s="22" t="s">
        <v>3537</v>
      </c>
      <c r="N1014" s="27">
        <f t="shared" si="120"/>
        <v>19</v>
      </c>
      <c r="O1014" s="28">
        <f t="shared" si="121"/>
        <v>3.6435706358014901E-2</v>
      </c>
      <c r="P1014" s="28">
        <f t="shared" si="122"/>
        <v>8.2680591818973026E-2</v>
      </c>
      <c r="Q1014" s="26">
        <f t="shared" si="123"/>
        <v>1.1917493472584857</v>
      </c>
      <c r="R1014" s="29">
        <f t="shared" si="124"/>
        <v>14.413894736842105</v>
      </c>
      <c r="S1014" s="30">
        <f t="shared" si="125"/>
        <v>7</v>
      </c>
      <c r="T1014" s="30">
        <f t="shared" si="126"/>
        <v>2023</v>
      </c>
      <c r="U1014" s="29" t="str">
        <f t="shared" si="127"/>
        <v>July</v>
      </c>
    </row>
    <row r="1015" spans="1:21" ht="17.399999999999999" x14ac:dyDescent="0.3">
      <c r="A1015" s="21" t="s">
        <v>2396</v>
      </c>
      <c r="B1015" s="21" t="s">
        <v>2397</v>
      </c>
      <c r="C1015" s="23" t="s">
        <v>3516</v>
      </c>
      <c r="D1015" s="21" t="s">
        <v>3520</v>
      </c>
      <c r="E1015" s="24">
        <v>45113</v>
      </c>
      <c r="F1015" s="24">
        <v>45117</v>
      </c>
      <c r="G1015" s="22" t="s">
        <v>31</v>
      </c>
      <c r="H1015" s="25">
        <v>88955</v>
      </c>
      <c r="I1015" s="25">
        <v>3413</v>
      </c>
      <c r="J1015" s="26">
        <v>4689.2700000000004</v>
      </c>
      <c r="K1015" s="25">
        <v>375</v>
      </c>
      <c r="L1015" s="21" t="s">
        <v>21</v>
      </c>
      <c r="M1015" s="22" t="s">
        <v>31</v>
      </c>
      <c r="N1015" s="27">
        <f t="shared" si="120"/>
        <v>4</v>
      </c>
      <c r="O1015" s="28">
        <f t="shared" si="121"/>
        <v>3.8367714012703051E-2</v>
      </c>
      <c r="P1015" s="28">
        <f t="shared" si="122"/>
        <v>0.1098740111338998</v>
      </c>
      <c r="Q1015" s="26">
        <f t="shared" si="123"/>
        <v>1.3739437445062996</v>
      </c>
      <c r="R1015" s="29">
        <f t="shared" si="124"/>
        <v>12.504720000000001</v>
      </c>
      <c r="S1015" s="30">
        <f t="shared" si="125"/>
        <v>7</v>
      </c>
      <c r="T1015" s="30">
        <f t="shared" si="126"/>
        <v>2023</v>
      </c>
      <c r="U1015" s="29" t="str">
        <f t="shared" si="127"/>
        <v>July</v>
      </c>
    </row>
    <row r="1016" spans="1:21" ht="17.399999999999999" x14ac:dyDescent="0.3">
      <c r="A1016" s="21" t="s">
        <v>3032</v>
      </c>
      <c r="B1016" s="21" t="s">
        <v>3033</v>
      </c>
      <c r="C1016" s="23" t="s">
        <v>3519</v>
      </c>
      <c r="D1016" s="21" t="s">
        <v>3517</v>
      </c>
      <c r="E1016" s="24">
        <v>45114</v>
      </c>
      <c r="F1016" s="24">
        <v>45141</v>
      </c>
      <c r="G1016" s="22" t="s">
        <v>24</v>
      </c>
      <c r="H1016" s="25">
        <v>66082</v>
      </c>
      <c r="I1016" s="25">
        <v>2617</v>
      </c>
      <c r="J1016" s="26">
        <v>2319.23</v>
      </c>
      <c r="K1016" s="25">
        <v>249</v>
      </c>
      <c r="L1016" s="21" t="s">
        <v>21</v>
      </c>
      <c r="M1016" s="22" t="s">
        <v>3536</v>
      </c>
      <c r="N1016" s="27">
        <f t="shared" si="120"/>
        <v>27</v>
      </c>
      <c r="O1016" s="28">
        <f t="shared" si="121"/>
        <v>3.9602312278684063E-2</v>
      </c>
      <c r="P1016" s="28">
        <f t="shared" si="122"/>
        <v>9.5147115017195263E-2</v>
      </c>
      <c r="Q1016" s="26">
        <f t="shared" si="123"/>
        <v>0.88621704241497901</v>
      </c>
      <c r="R1016" s="29">
        <f t="shared" si="124"/>
        <v>9.3141767068273094</v>
      </c>
      <c r="S1016" s="30">
        <f t="shared" si="125"/>
        <v>7</v>
      </c>
      <c r="T1016" s="30">
        <f t="shared" si="126"/>
        <v>2023</v>
      </c>
      <c r="U1016" s="29" t="str">
        <f t="shared" si="127"/>
        <v>July</v>
      </c>
    </row>
    <row r="1017" spans="1:21" ht="17.399999999999999" x14ac:dyDescent="0.3">
      <c r="A1017" s="21" t="s">
        <v>3158</v>
      </c>
      <c r="B1017" s="21" t="s">
        <v>3159</v>
      </c>
      <c r="C1017" s="23" t="s">
        <v>3519</v>
      </c>
      <c r="D1017" s="21" t="s">
        <v>3521</v>
      </c>
      <c r="E1017" s="24">
        <v>45114</v>
      </c>
      <c r="F1017" s="24">
        <v>45141</v>
      </c>
      <c r="G1017" s="22" t="s">
        <v>14</v>
      </c>
      <c r="H1017" s="25">
        <v>38567</v>
      </c>
      <c r="I1017" s="25">
        <v>1306</v>
      </c>
      <c r="J1017" s="26">
        <v>975.45</v>
      </c>
      <c r="K1017" s="25">
        <v>215</v>
      </c>
      <c r="L1017" s="21" t="s">
        <v>21</v>
      </c>
      <c r="M1017" s="22" t="s">
        <v>3537</v>
      </c>
      <c r="N1017" s="27">
        <f t="shared" si="120"/>
        <v>27</v>
      </c>
      <c r="O1017" s="28">
        <f t="shared" si="121"/>
        <v>3.3863147250239839E-2</v>
      </c>
      <c r="P1017" s="28">
        <f t="shared" si="122"/>
        <v>0.16462480857580397</v>
      </c>
      <c r="Q1017" s="26">
        <f t="shared" si="123"/>
        <v>0.74689892802450231</v>
      </c>
      <c r="R1017" s="29">
        <f t="shared" si="124"/>
        <v>4.5369767441860471</v>
      </c>
      <c r="S1017" s="30">
        <f t="shared" si="125"/>
        <v>7</v>
      </c>
      <c r="T1017" s="30">
        <f t="shared" si="126"/>
        <v>2023</v>
      </c>
      <c r="U1017" s="29" t="str">
        <f t="shared" si="127"/>
        <v>July</v>
      </c>
    </row>
    <row r="1018" spans="1:21" ht="17.399999999999999" x14ac:dyDescent="0.3">
      <c r="A1018" s="21" t="s">
        <v>644</v>
      </c>
      <c r="B1018" s="21" t="s">
        <v>645</v>
      </c>
      <c r="C1018" s="23" t="s">
        <v>3518</v>
      </c>
      <c r="D1018" s="21" t="s">
        <v>3517</v>
      </c>
      <c r="E1018" s="24">
        <v>45114</v>
      </c>
      <c r="F1018" s="24">
        <v>45139</v>
      </c>
      <c r="G1018" s="22" t="s">
        <v>14</v>
      </c>
      <c r="H1018" s="25">
        <v>83989</v>
      </c>
      <c r="I1018" s="25">
        <v>2450</v>
      </c>
      <c r="J1018" s="26">
        <v>4372.6099999999997</v>
      </c>
      <c r="K1018" s="25">
        <v>461</v>
      </c>
      <c r="L1018" s="21" t="s">
        <v>17</v>
      </c>
      <c r="M1018" s="22" t="s">
        <v>3537</v>
      </c>
      <c r="N1018" s="27">
        <f t="shared" si="120"/>
        <v>25</v>
      </c>
      <c r="O1018" s="28">
        <f t="shared" si="121"/>
        <v>2.9170486611341962E-2</v>
      </c>
      <c r="P1018" s="28">
        <f t="shared" si="122"/>
        <v>0.18816326530612246</v>
      </c>
      <c r="Q1018" s="26">
        <f t="shared" si="123"/>
        <v>1.784738775510204</v>
      </c>
      <c r="R1018" s="29">
        <f t="shared" si="124"/>
        <v>9.4850542299349225</v>
      </c>
      <c r="S1018" s="30">
        <f t="shared" si="125"/>
        <v>7</v>
      </c>
      <c r="T1018" s="30">
        <f t="shared" si="126"/>
        <v>2023</v>
      </c>
      <c r="U1018" s="29" t="str">
        <f t="shared" si="127"/>
        <v>July</v>
      </c>
    </row>
    <row r="1019" spans="1:21" ht="17.399999999999999" x14ac:dyDescent="0.3">
      <c r="A1019" s="21" t="s">
        <v>1682</v>
      </c>
      <c r="B1019" s="22" t="s">
        <v>3804</v>
      </c>
      <c r="C1019" s="23" t="s">
        <v>3516</v>
      </c>
      <c r="D1019" s="22" t="s">
        <v>3545</v>
      </c>
      <c r="E1019" s="24">
        <v>45114</v>
      </c>
      <c r="F1019" s="24">
        <v>45138</v>
      </c>
      <c r="G1019" s="22" t="s">
        <v>16</v>
      </c>
      <c r="H1019" s="25">
        <v>68661</v>
      </c>
      <c r="I1019" s="25">
        <v>1408</v>
      </c>
      <c r="J1019" s="26">
        <v>1258.3399999999999</v>
      </c>
      <c r="K1019" s="25">
        <v>246</v>
      </c>
      <c r="L1019" s="21" t="s">
        <v>17</v>
      </c>
      <c r="M1019" s="22" t="s">
        <v>16</v>
      </c>
      <c r="N1019" s="27">
        <f t="shared" si="120"/>
        <v>24</v>
      </c>
      <c r="O1019" s="28">
        <f t="shared" si="121"/>
        <v>2.0506546656762936E-2</v>
      </c>
      <c r="P1019" s="28">
        <f t="shared" si="122"/>
        <v>0.17471590909090909</v>
      </c>
      <c r="Q1019" s="26">
        <f t="shared" si="123"/>
        <v>0.89370738636363634</v>
      </c>
      <c r="R1019" s="29">
        <f t="shared" si="124"/>
        <v>5.1152032520325204</v>
      </c>
      <c r="S1019" s="30">
        <f t="shared" si="125"/>
        <v>7</v>
      </c>
      <c r="T1019" s="30">
        <f t="shared" si="126"/>
        <v>2023</v>
      </c>
      <c r="U1019" s="29" t="str">
        <f t="shared" si="127"/>
        <v>July</v>
      </c>
    </row>
    <row r="1020" spans="1:21" ht="17.399999999999999" x14ac:dyDescent="0.3">
      <c r="A1020" s="21" t="s">
        <v>3111</v>
      </c>
      <c r="B1020" s="22" t="s">
        <v>3805</v>
      </c>
      <c r="C1020" s="23" t="s">
        <v>3516</v>
      </c>
      <c r="D1020" s="22" t="s">
        <v>3545</v>
      </c>
      <c r="E1020" s="24">
        <v>45114</v>
      </c>
      <c r="F1020" s="24">
        <v>45126</v>
      </c>
      <c r="G1020" s="22" t="s">
        <v>3535</v>
      </c>
      <c r="H1020" s="25">
        <v>71981</v>
      </c>
      <c r="I1020" s="25">
        <v>2153</v>
      </c>
      <c r="J1020" s="26">
        <v>1401.27</v>
      </c>
      <c r="K1020" s="25">
        <v>318</v>
      </c>
      <c r="L1020" s="21" t="s">
        <v>21</v>
      </c>
      <c r="M1020" s="22" t="s">
        <v>3535</v>
      </c>
      <c r="N1020" s="27">
        <f t="shared" si="120"/>
        <v>12</v>
      </c>
      <c r="O1020" s="28">
        <f t="shared" si="121"/>
        <v>2.9910670871479975E-2</v>
      </c>
      <c r="P1020" s="28">
        <f t="shared" si="122"/>
        <v>0.14770088248954946</v>
      </c>
      <c r="Q1020" s="26">
        <f t="shared" si="123"/>
        <v>0.65084533209475148</v>
      </c>
      <c r="R1020" s="29">
        <f t="shared" si="124"/>
        <v>4.4065094339622641</v>
      </c>
      <c r="S1020" s="30">
        <f t="shared" si="125"/>
        <v>7</v>
      </c>
      <c r="T1020" s="30">
        <f t="shared" si="126"/>
        <v>2023</v>
      </c>
      <c r="U1020" s="29" t="str">
        <f t="shared" si="127"/>
        <v>July</v>
      </c>
    </row>
    <row r="1021" spans="1:21" ht="17.399999999999999" x14ac:dyDescent="0.3">
      <c r="A1021" s="21" t="s">
        <v>1160</v>
      </c>
      <c r="B1021" s="21" t="s">
        <v>1161</v>
      </c>
      <c r="C1021" s="23" t="s">
        <v>3515</v>
      </c>
      <c r="D1021" s="21" t="s">
        <v>3521</v>
      </c>
      <c r="E1021" s="24">
        <v>45114</v>
      </c>
      <c r="F1021" s="24">
        <v>45125</v>
      </c>
      <c r="G1021" s="22" t="s">
        <v>16</v>
      </c>
      <c r="H1021" s="25">
        <v>90930</v>
      </c>
      <c r="I1021" s="25">
        <v>1113</v>
      </c>
      <c r="J1021" s="26">
        <v>776.82</v>
      </c>
      <c r="K1021" s="25">
        <v>86</v>
      </c>
      <c r="L1021" s="21" t="s">
        <v>17</v>
      </c>
      <c r="M1021" s="22" t="s">
        <v>16</v>
      </c>
      <c r="N1021" s="27">
        <f t="shared" si="120"/>
        <v>11</v>
      </c>
      <c r="O1021" s="28">
        <f t="shared" si="121"/>
        <v>1.2240184757505773E-2</v>
      </c>
      <c r="P1021" s="28">
        <f t="shared" si="122"/>
        <v>7.7268643306379156E-2</v>
      </c>
      <c r="Q1021" s="26">
        <f t="shared" si="123"/>
        <v>0.69795148247978445</v>
      </c>
      <c r="R1021" s="29">
        <f t="shared" si="124"/>
        <v>9.0327906976744199</v>
      </c>
      <c r="S1021" s="30">
        <f t="shared" si="125"/>
        <v>7</v>
      </c>
      <c r="T1021" s="30">
        <f t="shared" si="126"/>
        <v>2023</v>
      </c>
      <c r="U1021" s="29" t="str">
        <f t="shared" si="127"/>
        <v>July</v>
      </c>
    </row>
    <row r="1022" spans="1:21" ht="17.399999999999999" x14ac:dyDescent="0.3">
      <c r="A1022" s="21" t="s">
        <v>2288</v>
      </c>
      <c r="B1022" s="22" t="s">
        <v>3806</v>
      </c>
      <c r="C1022" s="23" t="s">
        <v>3515</v>
      </c>
      <c r="D1022" s="22" t="s">
        <v>3545</v>
      </c>
      <c r="E1022" s="24">
        <v>45114</v>
      </c>
      <c r="F1022" s="24">
        <v>45127</v>
      </c>
      <c r="G1022" s="22" t="s">
        <v>31</v>
      </c>
      <c r="H1022" s="25">
        <v>39258</v>
      </c>
      <c r="I1022" s="25">
        <v>1290</v>
      </c>
      <c r="J1022" s="26">
        <v>2331</v>
      </c>
      <c r="K1022" s="25">
        <v>123</v>
      </c>
      <c r="L1022" s="21" t="s">
        <v>17</v>
      </c>
      <c r="M1022" s="22" t="s">
        <v>31</v>
      </c>
      <c r="N1022" s="27">
        <f t="shared" si="120"/>
        <v>13</v>
      </c>
      <c r="O1022" s="28">
        <f t="shared" si="121"/>
        <v>3.2859544551429011E-2</v>
      </c>
      <c r="P1022" s="28">
        <f t="shared" si="122"/>
        <v>9.5348837209302331E-2</v>
      </c>
      <c r="Q1022" s="26">
        <f t="shared" si="123"/>
        <v>1.8069767441860465</v>
      </c>
      <c r="R1022" s="29">
        <f t="shared" si="124"/>
        <v>18.951219512195124</v>
      </c>
      <c r="S1022" s="30">
        <f t="shared" si="125"/>
        <v>7</v>
      </c>
      <c r="T1022" s="30">
        <f t="shared" si="126"/>
        <v>2023</v>
      </c>
      <c r="U1022" s="29" t="str">
        <f t="shared" si="127"/>
        <v>July</v>
      </c>
    </row>
    <row r="1023" spans="1:21" ht="17.399999999999999" x14ac:dyDescent="0.3">
      <c r="A1023" s="21" t="s">
        <v>2847</v>
      </c>
      <c r="B1023" s="21" t="s">
        <v>2848</v>
      </c>
      <c r="C1023" s="23" t="s">
        <v>3515</v>
      </c>
      <c r="D1023" s="21" t="s">
        <v>3521</v>
      </c>
      <c r="E1023" s="24">
        <v>45114</v>
      </c>
      <c r="F1023" s="24">
        <v>45139</v>
      </c>
      <c r="G1023" s="22" t="s">
        <v>3535</v>
      </c>
      <c r="H1023" s="25">
        <v>36400</v>
      </c>
      <c r="I1023" s="25">
        <v>553</v>
      </c>
      <c r="J1023" s="26">
        <v>1094.19</v>
      </c>
      <c r="K1023" s="25">
        <v>33</v>
      </c>
      <c r="L1023" s="21" t="s">
        <v>17</v>
      </c>
      <c r="M1023" s="22" t="s">
        <v>3535</v>
      </c>
      <c r="N1023" s="27">
        <f t="shared" si="120"/>
        <v>25</v>
      </c>
      <c r="O1023" s="28">
        <f t="shared" si="121"/>
        <v>1.5192307692307692E-2</v>
      </c>
      <c r="P1023" s="28">
        <f t="shared" si="122"/>
        <v>5.9674502712477394E-2</v>
      </c>
      <c r="Q1023" s="26">
        <f t="shared" si="123"/>
        <v>1.9786437613019892</v>
      </c>
      <c r="R1023" s="29">
        <f t="shared" si="124"/>
        <v>33.157272727272726</v>
      </c>
      <c r="S1023" s="30">
        <f t="shared" si="125"/>
        <v>7</v>
      </c>
      <c r="T1023" s="30">
        <f t="shared" si="126"/>
        <v>2023</v>
      </c>
      <c r="U1023" s="29" t="str">
        <f t="shared" si="127"/>
        <v>July</v>
      </c>
    </row>
    <row r="1024" spans="1:21" ht="17.399999999999999" x14ac:dyDescent="0.3">
      <c r="A1024" s="21" t="s">
        <v>3404</v>
      </c>
      <c r="B1024" s="22" t="s">
        <v>3807</v>
      </c>
      <c r="C1024" s="23" t="s">
        <v>3519</v>
      </c>
      <c r="D1024" s="22" t="s">
        <v>3545</v>
      </c>
      <c r="E1024" s="24">
        <v>45114</v>
      </c>
      <c r="F1024" s="24">
        <v>45119</v>
      </c>
      <c r="G1024" s="22" t="s">
        <v>31</v>
      </c>
      <c r="H1024" s="25">
        <v>53326</v>
      </c>
      <c r="I1024" s="25">
        <v>2057</v>
      </c>
      <c r="J1024" s="26">
        <v>2926.28</v>
      </c>
      <c r="K1024" s="25">
        <v>379</v>
      </c>
      <c r="L1024" s="21" t="s">
        <v>21</v>
      </c>
      <c r="M1024" s="22" t="s">
        <v>31</v>
      </c>
      <c r="N1024" s="27">
        <f t="shared" si="120"/>
        <v>5</v>
      </c>
      <c r="O1024" s="28">
        <f t="shared" si="121"/>
        <v>3.8574053932415704E-2</v>
      </c>
      <c r="P1024" s="28">
        <f t="shared" si="122"/>
        <v>0.18424890617403986</v>
      </c>
      <c r="Q1024" s="26">
        <f t="shared" si="123"/>
        <v>1.4225960136120566</v>
      </c>
      <c r="R1024" s="29">
        <f t="shared" si="124"/>
        <v>7.7210554089709769</v>
      </c>
      <c r="S1024" s="30">
        <f t="shared" si="125"/>
        <v>7</v>
      </c>
      <c r="T1024" s="30">
        <f t="shared" si="126"/>
        <v>2023</v>
      </c>
      <c r="U1024" s="29" t="str">
        <f t="shared" si="127"/>
        <v>July</v>
      </c>
    </row>
    <row r="1025" spans="1:21" ht="17.399999999999999" x14ac:dyDescent="0.3">
      <c r="A1025" s="21" t="s">
        <v>659</v>
      </c>
      <c r="B1025" s="22" t="s">
        <v>3808</v>
      </c>
      <c r="C1025" s="23" t="s">
        <v>3519</v>
      </c>
      <c r="D1025" s="22" t="s">
        <v>3545</v>
      </c>
      <c r="E1025" s="24">
        <v>45115</v>
      </c>
      <c r="F1025" s="24">
        <v>45133</v>
      </c>
      <c r="G1025" s="22" t="s">
        <v>14</v>
      </c>
      <c r="H1025" s="25">
        <v>4420</v>
      </c>
      <c r="I1025" s="25">
        <v>190</v>
      </c>
      <c r="J1025" s="26">
        <v>175.6</v>
      </c>
      <c r="K1025" s="25">
        <v>19</v>
      </c>
      <c r="L1025" s="21" t="s">
        <v>21</v>
      </c>
      <c r="M1025" s="22" t="s">
        <v>3537</v>
      </c>
      <c r="N1025" s="27">
        <f t="shared" si="120"/>
        <v>18</v>
      </c>
      <c r="O1025" s="28">
        <f t="shared" si="121"/>
        <v>4.2986425339366516E-2</v>
      </c>
      <c r="P1025" s="28">
        <f t="shared" si="122"/>
        <v>0.1</v>
      </c>
      <c r="Q1025" s="26">
        <f t="shared" si="123"/>
        <v>0.92421052631578948</v>
      </c>
      <c r="R1025" s="29">
        <f t="shared" si="124"/>
        <v>9.2421052631578942</v>
      </c>
      <c r="S1025" s="30">
        <f t="shared" si="125"/>
        <v>7</v>
      </c>
      <c r="T1025" s="30">
        <f t="shared" si="126"/>
        <v>2023</v>
      </c>
      <c r="U1025" s="29" t="str">
        <f t="shared" si="127"/>
        <v>July</v>
      </c>
    </row>
    <row r="1026" spans="1:21" ht="17.399999999999999" x14ac:dyDescent="0.3">
      <c r="A1026" s="21" t="s">
        <v>1723</v>
      </c>
      <c r="B1026" s="22" t="s">
        <v>3809</v>
      </c>
      <c r="C1026" s="23" t="s">
        <v>3519</v>
      </c>
      <c r="D1026" s="22" t="s">
        <v>3545</v>
      </c>
      <c r="E1026" s="24">
        <v>45115</v>
      </c>
      <c r="F1026" s="24">
        <v>45119</v>
      </c>
      <c r="G1026" s="22" t="s">
        <v>14</v>
      </c>
      <c r="H1026" s="25">
        <v>96462</v>
      </c>
      <c r="I1026" s="25">
        <v>4179</v>
      </c>
      <c r="J1026" s="26">
        <v>5589.53</v>
      </c>
      <c r="K1026" s="25">
        <v>630</v>
      </c>
      <c r="L1026" s="21" t="s">
        <v>21</v>
      </c>
      <c r="M1026" s="22" t="s">
        <v>3537</v>
      </c>
      <c r="N1026" s="27">
        <f t="shared" ref="N1026:N1089" si="128">F1026-E1026</f>
        <v>4</v>
      </c>
      <c r="O1026" s="28">
        <f t="shared" ref="O1026:O1089" si="129">I1026/H1026</f>
        <v>4.3322759221247745E-2</v>
      </c>
      <c r="P1026" s="28">
        <f t="shared" ref="P1026:P1089" si="130">K1026/I1026</f>
        <v>0.15075376884422109</v>
      </c>
      <c r="Q1026" s="26">
        <f t="shared" ref="Q1026:Q1089" si="131">J1026/I1026</f>
        <v>1.3375281167743478</v>
      </c>
      <c r="R1026" s="29">
        <f t="shared" ref="R1026:R1089" si="132">IFERROR(J1026/K1026,"0")</f>
        <v>8.8722698412698406</v>
      </c>
      <c r="S1026" s="30">
        <f t="shared" ref="S1026:S1089" si="133">MONTH(E1026)</f>
        <v>7</v>
      </c>
      <c r="T1026" s="30">
        <f t="shared" ref="T1026:T1089" si="134">YEAR(E1026)</f>
        <v>2023</v>
      </c>
      <c r="U1026" s="29" t="str">
        <f t="shared" ref="U1026:U1089" si="135">TEXT(E1026,"mmmm")</f>
        <v>July</v>
      </c>
    </row>
    <row r="1027" spans="1:21" ht="17.399999999999999" x14ac:dyDescent="0.3">
      <c r="A1027" s="21" t="s">
        <v>1878</v>
      </c>
      <c r="B1027" s="21" t="s">
        <v>1879</v>
      </c>
      <c r="C1027" s="23" t="s">
        <v>3519</v>
      </c>
      <c r="D1027" s="21" t="s">
        <v>3517</v>
      </c>
      <c r="E1027" s="24">
        <v>45115</v>
      </c>
      <c r="F1027" s="24">
        <v>45137</v>
      </c>
      <c r="G1027" s="22" t="s">
        <v>11</v>
      </c>
      <c r="H1027" s="25">
        <v>10865</v>
      </c>
      <c r="I1027" s="25">
        <v>495</v>
      </c>
      <c r="J1027" s="26">
        <v>397.37</v>
      </c>
      <c r="K1027" s="25">
        <v>79</v>
      </c>
      <c r="L1027" s="21" t="s">
        <v>17</v>
      </c>
      <c r="M1027" s="22" t="s">
        <v>11</v>
      </c>
      <c r="N1027" s="27">
        <f t="shared" si="128"/>
        <v>22</v>
      </c>
      <c r="O1027" s="28">
        <f t="shared" si="129"/>
        <v>4.5559134836631383E-2</v>
      </c>
      <c r="P1027" s="28">
        <f t="shared" si="130"/>
        <v>0.1595959595959596</v>
      </c>
      <c r="Q1027" s="26">
        <f t="shared" si="131"/>
        <v>0.8027676767676768</v>
      </c>
      <c r="R1027" s="29">
        <f t="shared" si="132"/>
        <v>5.03</v>
      </c>
      <c r="S1027" s="30">
        <f t="shared" si="133"/>
        <v>7</v>
      </c>
      <c r="T1027" s="30">
        <f t="shared" si="134"/>
        <v>2023</v>
      </c>
      <c r="U1027" s="29" t="str">
        <f t="shared" si="135"/>
        <v>July</v>
      </c>
    </row>
    <row r="1028" spans="1:21" ht="17.399999999999999" x14ac:dyDescent="0.3">
      <c r="A1028" s="21" t="s">
        <v>372</v>
      </c>
      <c r="B1028" s="21" t="s">
        <v>373</v>
      </c>
      <c r="C1028" s="23" t="s">
        <v>3515</v>
      </c>
      <c r="D1028" s="21" t="s">
        <v>3521</v>
      </c>
      <c r="E1028" s="24">
        <v>45115</v>
      </c>
      <c r="F1028" s="24">
        <v>45122</v>
      </c>
      <c r="G1028" s="22" t="s">
        <v>24</v>
      </c>
      <c r="H1028" s="25">
        <v>47576</v>
      </c>
      <c r="I1028" s="25">
        <v>1841</v>
      </c>
      <c r="J1028" s="26">
        <v>1492.88</v>
      </c>
      <c r="K1028" s="25">
        <v>211</v>
      </c>
      <c r="L1028" s="21" t="s">
        <v>17</v>
      </c>
      <c r="M1028" s="22" t="s">
        <v>3536</v>
      </c>
      <c r="N1028" s="27">
        <f t="shared" si="128"/>
        <v>7</v>
      </c>
      <c r="O1028" s="28">
        <f t="shared" si="129"/>
        <v>3.8695981166974945E-2</v>
      </c>
      <c r="P1028" s="28">
        <f t="shared" si="130"/>
        <v>0.11461162411732755</v>
      </c>
      <c r="Q1028" s="26">
        <f t="shared" si="131"/>
        <v>0.81090711569799023</v>
      </c>
      <c r="R1028" s="29">
        <f t="shared" si="132"/>
        <v>7.0752606635071098</v>
      </c>
      <c r="S1028" s="30">
        <f t="shared" si="133"/>
        <v>7</v>
      </c>
      <c r="T1028" s="30">
        <f t="shared" si="134"/>
        <v>2023</v>
      </c>
      <c r="U1028" s="29" t="str">
        <f t="shared" si="135"/>
        <v>July</v>
      </c>
    </row>
    <row r="1029" spans="1:21" ht="17.399999999999999" x14ac:dyDescent="0.3">
      <c r="A1029" s="21" t="s">
        <v>1496</v>
      </c>
      <c r="B1029" s="22" t="s">
        <v>3810</v>
      </c>
      <c r="C1029" s="23" t="s">
        <v>3515</v>
      </c>
      <c r="D1029" s="22" t="s">
        <v>3545</v>
      </c>
      <c r="E1029" s="24">
        <v>45115</v>
      </c>
      <c r="F1029" s="24">
        <v>45205</v>
      </c>
      <c r="G1029" s="22" t="s">
        <v>14</v>
      </c>
      <c r="H1029" s="25">
        <v>74963</v>
      </c>
      <c r="I1029" s="25">
        <v>842</v>
      </c>
      <c r="J1029" s="26">
        <v>913.44</v>
      </c>
      <c r="K1029" s="25">
        <v>67</v>
      </c>
      <c r="L1029" s="21" t="s">
        <v>17</v>
      </c>
      <c r="M1029" s="22" t="s">
        <v>3537</v>
      </c>
      <c r="N1029" s="27">
        <f t="shared" si="128"/>
        <v>90</v>
      </c>
      <c r="O1029" s="28">
        <f t="shared" si="129"/>
        <v>1.1232207889225351E-2</v>
      </c>
      <c r="P1029" s="28">
        <f t="shared" si="130"/>
        <v>7.9572446555819479E-2</v>
      </c>
      <c r="Q1029" s="26">
        <f t="shared" si="131"/>
        <v>1.0848456057007128</v>
      </c>
      <c r="R1029" s="29">
        <f t="shared" si="132"/>
        <v>13.633432835820896</v>
      </c>
      <c r="S1029" s="30">
        <f t="shared" si="133"/>
        <v>7</v>
      </c>
      <c r="T1029" s="30">
        <f t="shared" si="134"/>
        <v>2023</v>
      </c>
      <c r="U1029" s="29" t="str">
        <f t="shared" si="135"/>
        <v>July</v>
      </c>
    </row>
    <row r="1030" spans="1:21" ht="17.399999999999999" x14ac:dyDescent="0.3">
      <c r="A1030" s="21" t="s">
        <v>1053</v>
      </c>
      <c r="B1030" s="22" t="s">
        <v>3811</v>
      </c>
      <c r="C1030" s="23" t="s">
        <v>3519</v>
      </c>
      <c r="D1030" s="22" t="s">
        <v>3545</v>
      </c>
      <c r="E1030" s="24">
        <v>45116</v>
      </c>
      <c r="F1030" s="24">
        <v>45130</v>
      </c>
      <c r="G1030" s="22" t="s">
        <v>16</v>
      </c>
      <c r="H1030" s="25">
        <v>18955</v>
      </c>
      <c r="I1030" s="25">
        <v>481</v>
      </c>
      <c r="J1030" s="26">
        <v>743.17</v>
      </c>
      <c r="K1030" s="25">
        <v>33</v>
      </c>
      <c r="L1030" s="21" t="s">
        <v>21</v>
      </c>
      <c r="M1030" s="22" t="s">
        <v>16</v>
      </c>
      <c r="N1030" s="27">
        <f t="shared" si="128"/>
        <v>14</v>
      </c>
      <c r="O1030" s="28">
        <f t="shared" si="129"/>
        <v>2.5375890266420471E-2</v>
      </c>
      <c r="P1030" s="28">
        <f t="shared" si="130"/>
        <v>6.8607068607068611E-2</v>
      </c>
      <c r="Q1030" s="26">
        <f t="shared" si="131"/>
        <v>1.5450519750519749</v>
      </c>
      <c r="R1030" s="29">
        <f t="shared" si="132"/>
        <v>22.52030303030303</v>
      </c>
      <c r="S1030" s="30">
        <f t="shared" si="133"/>
        <v>7</v>
      </c>
      <c r="T1030" s="30">
        <f t="shared" si="134"/>
        <v>2023</v>
      </c>
      <c r="U1030" s="29" t="str">
        <f t="shared" si="135"/>
        <v>July</v>
      </c>
    </row>
    <row r="1031" spans="1:21" ht="17.399999999999999" x14ac:dyDescent="0.3">
      <c r="A1031" s="21" t="s">
        <v>215</v>
      </c>
      <c r="B1031" s="21" t="s">
        <v>216</v>
      </c>
      <c r="C1031" s="23" t="s">
        <v>3518</v>
      </c>
      <c r="D1031" s="21" t="s">
        <v>3521</v>
      </c>
      <c r="E1031" s="24">
        <v>45116</v>
      </c>
      <c r="F1031" s="24">
        <v>45124</v>
      </c>
      <c r="G1031" s="22" t="s">
        <v>11</v>
      </c>
      <c r="H1031" s="25">
        <v>23662</v>
      </c>
      <c r="I1031" s="25">
        <v>1148</v>
      </c>
      <c r="J1031" s="26">
        <v>1424.92</v>
      </c>
      <c r="K1031" s="25">
        <v>0</v>
      </c>
      <c r="L1031" s="21" t="s">
        <v>21</v>
      </c>
      <c r="M1031" s="22" t="s">
        <v>11</v>
      </c>
      <c r="N1031" s="27">
        <f t="shared" si="128"/>
        <v>8</v>
      </c>
      <c r="O1031" s="28">
        <f t="shared" si="129"/>
        <v>4.8516608908798921E-2</v>
      </c>
      <c r="P1031" s="28">
        <f t="shared" si="130"/>
        <v>0</v>
      </c>
      <c r="Q1031" s="26">
        <f t="shared" si="131"/>
        <v>1.2412195121951219</v>
      </c>
      <c r="R1031" s="29" t="str">
        <f t="shared" si="132"/>
        <v>0</v>
      </c>
      <c r="S1031" s="30">
        <f t="shared" si="133"/>
        <v>7</v>
      </c>
      <c r="T1031" s="30">
        <f t="shared" si="134"/>
        <v>2023</v>
      </c>
      <c r="U1031" s="29" t="str">
        <f t="shared" si="135"/>
        <v>July</v>
      </c>
    </row>
    <row r="1032" spans="1:21" ht="17.399999999999999" x14ac:dyDescent="0.3">
      <c r="A1032" s="21" t="s">
        <v>687</v>
      </c>
      <c r="B1032" s="21" t="s">
        <v>688</v>
      </c>
      <c r="C1032" s="23" t="s">
        <v>3518</v>
      </c>
      <c r="D1032" s="21" t="s">
        <v>3520</v>
      </c>
      <c r="E1032" s="24">
        <v>45116</v>
      </c>
      <c r="F1032" s="24">
        <v>45145</v>
      </c>
      <c r="G1032" s="22" t="s">
        <v>3535</v>
      </c>
      <c r="H1032" s="25">
        <v>67105</v>
      </c>
      <c r="I1032" s="25">
        <v>718</v>
      </c>
      <c r="J1032" s="26">
        <v>1342.23</v>
      </c>
      <c r="K1032" s="25">
        <v>137</v>
      </c>
      <c r="L1032" s="21" t="s">
        <v>21</v>
      </c>
      <c r="M1032" s="22" t="s">
        <v>3535</v>
      </c>
      <c r="N1032" s="27">
        <f t="shared" si="128"/>
        <v>29</v>
      </c>
      <c r="O1032" s="28">
        <f t="shared" si="129"/>
        <v>1.0699649802548245E-2</v>
      </c>
      <c r="P1032" s="28">
        <f t="shared" si="130"/>
        <v>0.19080779944289694</v>
      </c>
      <c r="Q1032" s="26">
        <f t="shared" si="131"/>
        <v>1.8694011142061282</v>
      </c>
      <c r="R1032" s="29">
        <f t="shared" si="132"/>
        <v>9.7972992700729922</v>
      </c>
      <c r="S1032" s="30">
        <f t="shared" si="133"/>
        <v>7</v>
      </c>
      <c r="T1032" s="30">
        <f t="shared" si="134"/>
        <v>2023</v>
      </c>
      <c r="U1032" s="29" t="str">
        <f t="shared" si="135"/>
        <v>July</v>
      </c>
    </row>
    <row r="1033" spans="1:21" ht="17.399999999999999" x14ac:dyDescent="0.3">
      <c r="A1033" s="21" t="s">
        <v>51</v>
      </c>
      <c r="B1033" s="21" t="s">
        <v>52</v>
      </c>
      <c r="C1033" s="23" t="s">
        <v>3516</v>
      </c>
      <c r="D1033" s="21" t="s">
        <v>3517</v>
      </c>
      <c r="E1033" s="24">
        <v>45116</v>
      </c>
      <c r="F1033" s="24">
        <v>45124</v>
      </c>
      <c r="G1033" s="22" t="s">
        <v>14</v>
      </c>
      <c r="H1033" s="25">
        <v>84104</v>
      </c>
      <c r="I1033" s="25">
        <v>2539</v>
      </c>
      <c r="J1033" s="26">
        <v>1975.49</v>
      </c>
      <c r="K1033" s="25">
        <v>0</v>
      </c>
      <c r="L1033" s="21" t="s">
        <v>21</v>
      </c>
      <c r="M1033" s="22" t="s">
        <v>3537</v>
      </c>
      <c r="N1033" s="27">
        <f t="shared" si="128"/>
        <v>8</v>
      </c>
      <c r="O1033" s="28">
        <f t="shared" si="129"/>
        <v>3.0188813849519644E-2</v>
      </c>
      <c r="P1033" s="28">
        <f t="shared" si="130"/>
        <v>0</v>
      </c>
      <c r="Q1033" s="26">
        <f t="shared" si="131"/>
        <v>0.77805829066561638</v>
      </c>
      <c r="R1033" s="29" t="str">
        <f t="shared" si="132"/>
        <v>0</v>
      </c>
      <c r="S1033" s="30">
        <f t="shared" si="133"/>
        <v>7</v>
      </c>
      <c r="T1033" s="30">
        <f t="shared" si="134"/>
        <v>2023</v>
      </c>
      <c r="U1033" s="29" t="str">
        <f t="shared" si="135"/>
        <v>July</v>
      </c>
    </row>
    <row r="1034" spans="1:21" ht="17.399999999999999" x14ac:dyDescent="0.3">
      <c r="A1034" s="21" t="s">
        <v>2715</v>
      </c>
      <c r="B1034" s="22" t="s">
        <v>3812</v>
      </c>
      <c r="C1034" s="23" t="s">
        <v>3516</v>
      </c>
      <c r="D1034" s="22" t="s">
        <v>3545</v>
      </c>
      <c r="E1034" s="24">
        <v>45116</v>
      </c>
      <c r="F1034" s="24">
        <v>45146</v>
      </c>
      <c r="G1034" s="22" t="s">
        <v>16</v>
      </c>
      <c r="H1034" s="25">
        <v>55237</v>
      </c>
      <c r="I1034" s="25">
        <v>1496</v>
      </c>
      <c r="J1034" s="26">
        <v>2826.64</v>
      </c>
      <c r="K1034" s="25">
        <v>235</v>
      </c>
      <c r="L1034" s="21" t="s">
        <v>17</v>
      </c>
      <c r="M1034" s="22" t="s">
        <v>16</v>
      </c>
      <c r="N1034" s="27">
        <f t="shared" si="128"/>
        <v>30</v>
      </c>
      <c r="O1034" s="28">
        <f t="shared" si="129"/>
        <v>2.7083295617068268E-2</v>
      </c>
      <c r="P1034" s="28">
        <f t="shared" si="130"/>
        <v>0.15708556149732619</v>
      </c>
      <c r="Q1034" s="26">
        <f t="shared" si="131"/>
        <v>1.8894652406417112</v>
      </c>
      <c r="R1034" s="29">
        <f t="shared" si="132"/>
        <v>12.028255319148936</v>
      </c>
      <c r="S1034" s="30">
        <f t="shared" si="133"/>
        <v>7</v>
      </c>
      <c r="T1034" s="30">
        <f t="shared" si="134"/>
        <v>2023</v>
      </c>
      <c r="U1034" s="29" t="str">
        <f t="shared" si="135"/>
        <v>July</v>
      </c>
    </row>
    <row r="1035" spans="1:21" ht="17.399999999999999" x14ac:dyDescent="0.3">
      <c r="A1035" s="21" t="s">
        <v>662</v>
      </c>
      <c r="B1035" s="21" t="s">
        <v>663</v>
      </c>
      <c r="C1035" s="23" t="s">
        <v>3518</v>
      </c>
      <c r="D1035" s="21" t="s">
        <v>3517</v>
      </c>
      <c r="E1035" s="24">
        <v>45117</v>
      </c>
      <c r="F1035" s="24">
        <v>45119</v>
      </c>
      <c r="G1035" s="22" t="s">
        <v>24</v>
      </c>
      <c r="H1035" s="25">
        <v>1301</v>
      </c>
      <c r="I1035" s="25">
        <v>19</v>
      </c>
      <c r="J1035" s="26">
        <v>17.84</v>
      </c>
      <c r="K1035" s="25">
        <v>2</v>
      </c>
      <c r="L1035" s="21" t="s">
        <v>17</v>
      </c>
      <c r="M1035" s="22" t="s">
        <v>3536</v>
      </c>
      <c r="N1035" s="27">
        <f t="shared" si="128"/>
        <v>2</v>
      </c>
      <c r="O1035" s="28">
        <f t="shared" si="129"/>
        <v>1.4604150653343582E-2</v>
      </c>
      <c r="P1035" s="28">
        <f t="shared" si="130"/>
        <v>0.10526315789473684</v>
      </c>
      <c r="Q1035" s="26">
        <f t="shared" si="131"/>
        <v>0.93894736842105264</v>
      </c>
      <c r="R1035" s="29">
        <f t="shared" si="132"/>
        <v>8.92</v>
      </c>
      <c r="S1035" s="30">
        <f t="shared" si="133"/>
        <v>7</v>
      </c>
      <c r="T1035" s="30">
        <f t="shared" si="134"/>
        <v>2023</v>
      </c>
      <c r="U1035" s="29" t="str">
        <f t="shared" si="135"/>
        <v>July</v>
      </c>
    </row>
    <row r="1036" spans="1:21" ht="17.399999999999999" x14ac:dyDescent="0.3">
      <c r="A1036" s="21" t="s">
        <v>1932</v>
      </c>
      <c r="B1036" s="21" t="s">
        <v>1933</v>
      </c>
      <c r="C1036" s="23" t="s">
        <v>3516</v>
      </c>
      <c r="D1036" s="21" t="s">
        <v>3521</v>
      </c>
      <c r="E1036" s="24">
        <v>45117</v>
      </c>
      <c r="F1036" s="24">
        <v>45139</v>
      </c>
      <c r="G1036" s="22" t="s">
        <v>16</v>
      </c>
      <c r="H1036" s="25">
        <v>42832</v>
      </c>
      <c r="I1036" s="25">
        <v>786</v>
      </c>
      <c r="J1036" s="26">
        <v>1076.3699999999999</v>
      </c>
      <c r="K1036" s="25">
        <v>125</v>
      </c>
      <c r="L1036" s="21" t="s">
        <v>17</v>
      </c>
      <c r="M1036" s="22" t="s">
        <v>16</v>
      </c>
      <c r="N1036" s="27">
        <f t="shared" si="128"/>
        <v>22</v>
      </c>
      <c r="O1036" s="28">
        <f t="shared" si="129"/>
        <v>1.8350765782592454E-2</v>
      </c>
      <c r="P1036" s="28">
        <f t="shared" si="130"/>
        <v>0.15903307888040713</v>
      </c>
      <c r="Q1036" s="26">
        <f t="shared" si="131"/>
        <v>1.3694274809160305</v>
      </c>
      <c r="R1036" s="29">
        <f t="shared" si="132"/>
        <v>8.6109599999999986</v>
      </c>
      <c r="S1036" s="30">
        <f t="shared" si="133"/>
        <v>7</v>
      </c>
      <c r="T1036" s="30">
        <f t="shared" si="134"/>
        <v>2023</v>
      </c>
      <c r="U1036" s="29" t="str">
        <f t="shared" si="135"/>
        <v>July</v>
      </c>
    </row>
    <row r="1037" spans="1:21" ht="17.399999999999999" x14ac:dyDescent="0.3">
      <c r="A1037" s="21" t="s">
        <v>2235</v>
      </c>
      <c r="B1037" s="21" t="s">
        <v>2236</v>
      </c>
      <c r="C1037" s="23" t="s">
        <v>3515</v>
      </c>
      <c r="D1037" s="21" t="s">
        <v>3517</v>
      </c>
      <c r="E1037" s="24">
        <v>45117</v>
      </c>
      <c r="F1037" s="24">
        <v>45135</v>
      </c>
      <c r="G1037" s="22" t="s">
        <v>31</v>
      </c>
      <c r="H1037" s="25">
        <v>53853</v>
      </c>
      <c r="I1037" s="25">
        <v>1191</v>
      </c>
      <c r="J1037" s="26">
        <v>1724.6</v>
      </c>
      <c r="K1037" s="25">
        <v>91</v>
      </c>
      <c r="L1037" s="21" t="s">
        <v>17</v>
      </c>
      <c r="M1037" s="22" t="s">
        <v>31</v>
      </c>
      <c r="N1037" s="27">
        <f t="shared" si="128"/>
        <v>18</v>
      </c>
      <c r="O1037" s="28">
        <f t="shared" si="129"/>
        <v>2.2115759567712105E-2</v>
      </c>
      <c r="P1037" s="28">
        <f t="shared" si="130"/>
        <v>7.6406381192275399E-2</v>
      </c>
      <c r="Q1037" s="26">
        <f t="shared" si="131"/>
        <v>1.4480268681780015</v>
      </c>
      <c r="R1037" s="29">
        <f t="shared" si="132"/>
        <v>18.951648351648352</v>
      </c>
      <c r="S1037" s="30">
        <f t="shared" si="133"/>
        <v>7</v>
      </c>
      <c r="T1037" s="30">
        <f t="shared" si="134"/>
        <v>2023</v>
      </c>
      <c r="U1037" s="29" t="str">
        <f t="shared" si="135"/>
        <v>July</v>
      </c>
    </row>
    <row r="1038" spans="1:21" ht="17.399999999999999" x14ac:dyDescent="0.3">
      <c r="A1038" s="21" t="s">
        <v>2824</v>
      </c>
      <c r="B1038" s="21" t="s">
        <v>2825</v>
      </c>
      <c r="C1038" s="23" t="s">
        <v>3515</v>
      </c>
      <c r="D1038" s="21" t="s">
        <v>3521</v>
      </c>
      <c r="E1038" s="24">
        <v>45117</v>
      </c>
      <c r="F1038" s="24">
        <v>45133</v>
      </c>
      <c r="G1038" s="22" t="s">
        <v>16</v>
      </c>
      <c r="H1038" s="25">
        <v>86680</v>
      </c>
      <c r="I1038" s="25">
        <v>2186</v>
      </c>
      <c r="J1038" s="26">
        <v>1951.28</v>
      </c>
      <c r="K1038" s="25">
        <v>277</v>
      </c>
      <c r="L1038" s="21" t="s">
        <v>17</v>
      </c>
      <c r="M1038" s="22" t="s">
        <v>16</v>
      </c>
      <c r="N1038" s="27">
        <f t="shared" si="128"/>
        <v>16</v>
      </c>
      <c r="O1038" s="28">
        <f t="shared" si="129"/>
        <v>2.5219197046608213E-2</v>
      </c>
      <c r="P1038" s="28">
        <f t="shared" si="130"/>
        <v>0.12671546203110703</v>
      </c>
      <c r="Q1038" s="26">
        <f t="shared" si="131"/>
        <v>0.8926258005489478</v>
      </c>
      <c r="R1038" s="29">
        <f t="shared" si="132"/>
        <v>7.044332129963899</v>
      </c>
      <c r="S1038" s="30">
        <f t="shared" si="133"/>
        <v>7</v>
      </c>
      <c r="T1038" s="30">
        <f t="shared" si="134"/>
        <v>2023</v>
      </c>
      <c r="U1038" s="29" t="str">
        <f t="shared" si="135"/>
        <v>July</v>
      </c>
    </row>
    <row r="1039" spans="1:21" ht="17.399999999999999" x14ac:dyDescent="0.3">
      <c r="A1039" s="21" t="s">
        <v>598</v>
      </c>
      <c r="B1039" s="21" t="s">
        <v>599</v>
      </c>
      <c r="C1039" s="23" t="s">
        <v>3519</v>
      </c>
      <c r="D1039" s="21" t="s">
        <v>3521</v>
      </c>
      <c r="E1039" s="24">
        <v>45118</v>
      </c>
      <c r="F1039" s="24">
        <v>45136</v>
      </c>
      <c r="G1039" s="22" t="s">
        <v>31</v>
      </c>
      <c r="H1039" s="25">
        <v>18429</v>
      </c>
      <c r="I1039" s="25">
        <v>390</v>
      </c>
      <c r="J1039" s="26">
        <v>586.97</v>
      </c>
      <c r="K1039" s="25">
        <v>24</v>
      </c>
      <c r="L1039" s="21" t="s">
        <v>17</v>
      </c>
      <c r="M1039" s="22" t="s">
        <v>31</v>
      </c>
      <c r="N1039" s="27">
        <f t="shared" si="128"/>
        <v>18</v>
      </c>
      <c r="O1039" s="28">
        <f t="shared" si="129"/>
        <v>2.1162298551196484E-2</v>
      </c>
      <c r="P1039" s="28">
        <f t="shared" si="130"/>
        <v>6.1538461538461542E-2</v>
      </c>
      <c r="Q1039" s="26">
        <f t="shared" si="131"/>
        <v>1.505051282051282</v>
      </c>
      <c r="R1039" s="29">
        <f t="shared" si="132"/>
        <v>24.457083333333333</v>
      </c>
      <c r="S1039" s="30">
        <f t="shared" si="133"/>
        <v>7</v>
      </c>
      <c r="T1039" s="30">
        <f t="shared" si="134"/>
        <v>2023</v>
      </c>
      <c r="U1039" s="29" t="str">
        <f t="shared" si="135"/>
        <v>July</v>
      </c>
    </row>
    <row r="1040" spans="1:21" ht="17.399999999999999" x14ac:dyDescent="0.3">
      <c r="A1040" s="21" t="s">
        <v>955</v>
      </c>
      <c r="B1040" s="22" t="s">
        <v>3813</v>
      </c>
      <c r="C1040" s="23" t="s">
        <v>3516</v>
      </c>
      <c r="D1040" s="22" t="s">
        <v>3545</v>
      </c>
      <c r="E1040" s="24">
        <v>45118</v>
      </c>
      <c r="F1040" s="24">
        <v>45147</v>
      </c>
      <c r="G1040" s="22" t="s">
        <v>11</v>
      </c>
      <c r="H1040" s="25">
        <v>50115</v>
      </c>
      <c r="I1040" s="25">
        <v>2462</v>
      </c>
      <c r="J1040" s="26">
        <v>3747.24</v>
      </c>
      <c r="K1040" s="25">
        <v>472</v>
      </c>
      <c r="L1040" s="21" t="s">
        <v>21</v>
      </c>
      <c r="M1040" s="22" t="s">
        <v>11</v>
      </c>
      <c r="N1040" s="27">
        <f t="shared" si="128"/>
        <v>29</v>
      </c>
      <c r="O1040" s="28">
        <f t="shared" si="129"/>
        <v>4.9127007881871694E-2</v>
      </c>
      <c r="P1040" s="28">
        <f t="shared" si="130"/>
        <v>0.1917140536149472</v>
      </c>
      <c r="Q1040" s="26">
        <f t="shared" si="131"/>
        <v>1.5220308692120226</v>
      </c>
      <c r="R1040" s="29">
        <f t="shared" si="132"/>
        <v>7.9390677966101686</v>
      </c>
      <c r="S1040" s="30">
        <f t="shared" si="133"/>
        <v>7</v>
      </c>
      <c r="T1040" s="30">
        <f t="shared" si="134"/>
        <v>2023</v>
      </c>
      <c r="U1040" s="29" t="str">
        <f t="shared" si="135"/>
        <v>July</v>
      </c>
    </row>
    <row r="1041" spans="1:21" ht="17.399999999999999" x14ac:dyDescent="0.3">
      <c r="A1041" s="21" t="s">
        <v>750</v>
      </c>
      <c r="B1041" s="21" t="s">
        <v>751</v>
      </c>
      <c r="C1041" s="23" t="s">
        <v>3515</v>
      </c>
      <c r="D1041" s="21" t="s">
        <v>3520</v>
      </c>
      <c r="E1041" s="24">
        <v>45118</v>
      </c>
      <c r="F1041" s="24">
        <v>45119</v>
      </c>
      <c r="G1041" s="22" t="s">
        <v>11</v>
      </c>
      <c r="H1041" s="25">
        <v>79657</v>
      </c>
      <c r="I1041" s="25">
        <v>1222</v>
      </c>
      <c r="J1041" s="26">
        <v>1458.56</v>
      </c>
      <c r="K1041" s="25">
        <v>94</v>
      </c>
      <c r="L1041" s="21" t="s">
        <v>21</v>
      </c>
      <c r="M1041" s="22" t="s">
        <v>11</v>
      </c>
      <c r="N1041" s="27">
        <f t="shared" si="128"/>
        <v>1</v>
      </c>
      <c r="O1041" s="28">
        <f t="shared" si="129"/>
        <v>1.5340773566667085E-2</v>
      </c>
      <c r="P1041" s="28">
        <f t="shared" si="130"/>
        <v>7.6923076923076927E-2</v>
      </c>
      <c r="Q1041" s="26">
        <f t="shared" si="131"/>
        <v>1.193584288052373</v>
      </c>
      <c r="R1041" s="29">
        <f t="shared" si="132"/>
        <v>15.516595744680851</v>
      </c>
      <c r="S1041" s="30">
        <f t="shared" si="133"/>
        <v>7</v>
      </c>
      <c r="T1041" s="30">
        <f t="shared" si="134"/>
        <v>2023</v>
      </c>
      <c r="U1041" s="29" t="str">
        <f t="shared" si="135"/>
        <v>July</v>
      </c>
    </row>
    <row r="1042" spans="1:21" ht="17.399999999999999" x14ac:dyDescent="0.3">
      <c r="A1042" s="21" t="s">
        <v>956</v>
      </c>
      <c r="B1042" s="21" t="s">
        <v>957</v>
      </c>
      <c r="C1042" s="23" t="s">
        <v>3515</v>
      </c>
      <c r="D1042" s="21" t="s">
        <v>3520</v>
      </c>
      <c r="E1042" s="24">
        <v>45118</v>
      </c>
      <c r="F1042" s="24">
        <v>45122</v>
      </c>
      <c r="G1042" s="22" t="s">
        <v>24</v>
      </c>
      <c r="H1042" s="25">
        <v>92007</v>
      </c>
      <c r="I1042" s="25">
        <v>3673</v>
      </c>
      <c r="J1042" s="26">
        <v>7016.44</v>
      </c>
      <c r="K1042" s="25">
        <v>531</v>
      </c>
      <c r="L1042" s="21" t="s">
        <v>17</v>
      </c>
      <c r="M1042" s="22" t="s">
        <v>3536</v>
      </c>
      <c r="N1042" s="27">
        <f t="shared" si="128"/>
        <v>4</v>
      </c>
      <c r="O1042" s="28">
        <f t="shared" si="129"/>
        <v>3.9920875585553274E-2</v>
      </c>
      <c r="P1042" s="28">
        <f t="shared" si="130"/>
        <v>0.14456847263817044</v>
      </c>
      <c r="Q1042" s="26">
        <f t="shared" si="131"/>
        <v>1.9102749795807241</v>
      </c>
      <c r="R1042" s="29">
        <f t="shared" si="132"/>
        <v>13.213634651600753</v>
      </c>
      <c r="S1042" s="30">
        <f t="shared" si="133"/>
        <v>7</v>
      </c>
      <c r="T1042" s="30">
        <f t="shared" si="134"/>
        <v>2023</v>
      </c>
      <c r="U1042" s="29" t="str">
        <f t="shared" si="135"/>
        <v>July</v>
      </c>
    </row>
    <row r="1043" spans="1:21" ht="17.399999999999999" x14ac:dyDescent="0.3">
      <c r="A1043" s="21" t="s">
        <v>1607</v>
      </c>
      <c r="B1043" s="22" t="s">
        <v>3814</v>
      </c>
      <c r="C1043" s="23" t="s">
        <v>3515</v>
      </c>
      <c r="D1043" s="22" t="s">
        <v>3545</v>
      </c>
      <c r="E1043" s="24">
        <v>45118</v>
      </c>
      <c r="F1043" s="24">
        <v>45133</v>
      </c>
      <c r="G1043" s="22" t="s">
        <v>14</v>
      </c>
      <c r="H1043" s="25">
        <v>84807</v>
      </c>
      <c r="I1043" s="25">
        <v>3325</v>
      </c>
      <c r="J1043" s="26">
        <v>5155.8999999999996</v>
      </c>
      <c r="K1043" s="25">
        <v>417</v>
      </c>
      <c r="L1043" s="21" t="s">
        <v>17</v>
      </c>
      <c r="M1043" s="22" t="s">
        <v>3537</v>
      </c>
      <c r="N1043" s="27">
        <f t="shared" si="128"/>
        <v>15</v>
      </c>
      <c r="O1043" s="28">
        <f t="shared" si="129"/>
        <v>3.9206669260792151E-2</v>
      </c>
      <c r="P1043" s="28">
        <f t="shared" si="130"/>
        <v>0.12541353383458648</v>
      </c>
      <c r="Q1043" s="26">
        <f t="shared" si="131"/>
        <v>1.5506466165413533</v>
      </c>
      <c r="R1043" s="29">
        <f t="shared" si="132"/>
        <v>12.364268585131894</v>
      </c>
      <c r="S1043" s="30">
        <f t="shared" si="133"/>
        <v>7</v>
      </c>
      <c r="T1043" s="30">
        <f t="shared" si="134"/>
        <v>2023</v>
      </c>
      <c r="U1043" s="29" t="str">
        <f t="shared" si="135"/>
        <v>July</v>
      </c>
    </row>
    <row r="1044" spans="1:21" ht="17.399999999999999" x14ac:dyDescent="0.3">
      <c r="A1044" s="21" t="s">
        <v>3262</v>
      </c>
      <c r="B1044" s="22" t="s">
        <v>3815</v>
      </c>
      <c r="C1044" s="23" t="s">
        <v>3515</v>
      </c>
      <c r="D1044" s="22" t="s">
        <v>3545</v>
      </c>
      <c r="E1044" s="24">
        <v>45118</v>
      </c>
      <c r="F1044" s="24">
        <v>45145</v>
      </c>
      <c r="G1044" s="22" t="s">
        <v>24</v>
      </c>
      <c r="H1044" s="25">
        <v>24019</v>
      </c>
      <c r="I1044" s="25">
        <v>1078</v>
      </c>
      <c r="J1044" s="26">
        <v>1232.1199999999999</v>
      </c>
      <c r="K1044" s="25">
        <v>95</v>
      </c>
      <c r="L1044" s="21" t="s">
        <v>21</v>
      </c>
      <c r="M1044" s="22" t="s">
        <v>3536</v>
      </c>
      <c r="N1044" s="27">
        <f t="shared" si="128"/>
        <v>27</v>
      </c>
      <c r="O1044" s="28">
        <f t="shared" si="129"/>
        <v>4.4881135767517386E-2</v>
      </c>
      <c r="P1044" s="28">
        <f t="shared" si="130"/>
        <v>8.8126159554730979E-2</v>
      </c>
      <c r="Q1044" s="26">
        <f t="shared" si="131"/>
        <v>1.1429684601113173</v>
      </c>
      <c r="R1044" s="29">
        <f t="shared" si="132"/>
        <v>12.969684210526315</v>
      </c>
      <c r="S1044" s="30">
        <f t="shared" si="133"/>
        <v>7</v>
      </c>
      <c r="T1044" s="30">
        <f t="shared" si="134"/>
        <v>2023</v>
      </c>
      <c r="U1044" s="29" t="str">
        <f t="shared" si="135"/>
        <v>July</v>
      </c>
    </row>
    <row r="1045" spans="1:21" ht="17.399999999999999" x14ac:dyDescent="0.3">
      <c r="A1045" s="21" t="s">
        <v>1350</v>
      </c>
      <c r="B1045" s="22" t="s">
        <v>3816</v>
      </c>
      <c r="C1045" s="23" t="s">
        <v>3519</v>
      </c>
      <c r="D1045" s="22" t="s">
        <v>3545</v>
      </c>
      <c r="E1045" s="24">
        <v>45119</v>
      </c>
      <c r="F1045" s="24">
        <v>45143</v>
      </c>
      <c r="G1045" s="22" t="s">
        <v>11</v>
      </c>
      <c r="H1045" s="25">
        <v>5835</v>
      </c>
      <c r="I1045" s="25">
        <v>187</v>
      </c>
      <c r="J1045" s="26">
        <v>358.03</v>
      </c>
      <c r="K1045" s="25">
        <v>28</v>
      </c>
      <c r="L1045" s="21" t="s">
        <v>21</v>
      </c>
      <c r="M1045" s="22" t="s">
        <v>11</v>
      </c>
      <c r="N1045" s="27">
        <f t="shared" si="128"/>
        <v>24</v>
      </c>
      <c r="O1045" s="28">
        <f t="shared" si="129"/>
        <v>3.2047986289631535E-2</v>
      </c>
      <c r="P1045" s="28">
        <f t="shared" si="130"/>
        <v>0.1497326203208556</v>
      </c>
      <c r="Q1045" s="26">
        <f t="shared" si="131"/>
        <v>1.9145989304812834</v>
      </c>
      <c r="R1045" s="29">
        <f t="shared" si="132"/>
        <v>12.786785714285713</v>
      </c>
      <c r="S1045" s="30">
        <f t="shared" si="133"/>
        <v>7</v>
      </c>
      <c r="T1045" s="30">
        <f t="shared" si="134"/>
        <v>2023</v>
      </c>
      <c r="U1045" s="29" t="str">
        <f t="shared" si="135"/>
        <v>July</v>
      </c>
    </row>
    <row r="1046" spans="1:21" ht="17.399999999999999" x14ac:dyDescent="0.3">
      <c r="A1046" s="21" t="s">
        <v>380</v>
      </c>
      <c r="B1046" s="21" t="s">
        <v>381</v>
      </c>
      <c r="C1046" s="23" t="s">
        <v>3518</v>
      </c>
      <c r="D1046" s="21" t="s">
        <v>3520</v>
      </c>
      <c r="E1046" s="24">
        <v>45119</v>
      </c>
      <c r="F1046" s="24">
        <v>45120</v>
      </c>
      <c r="G1046" s="22" t="s">
        <v>14</v>
      </c>
      <c r="H1046" s="25">
        <v>53733</v>
      </c>
      <c r="I1046" s="25">
        <v>1660</v>
      </c>
      <c r="J1046" s="26">
        <v>2888.28</v>
      </c>
      <c r="K1046" s="25">
        <v>228</v>
      </c>
      <c r="L1046" s="21" t="s">
        <v>21</v>
      </c>
      <c r="M1046" s="22" t="s">
        <v>3537</v>
      </c>
      <c r="N1046" s="27">
        <f t="shared" si="128"/>
        <v>1</v>
      </c>
      <c r="O1046" s="28">
        <f t="shared" si="129"/>
        <v>3.0893491895111012E-2</v>
      </c>
      <c r="P1046" s="28">
        <f t="shared" si="130"/>
        <v>0.13734939759036144</v>
      </c>
      <c r="Q1046" s="26">
        <f t="shared" si="131"/>
        <v>1.7399277108433737</v>
      </c>
      <c r="R1046" s="29">
        <f t="shared" si="132"/>
        <v>12.667894736842106</v>
      </c>
      <c r="S1046" s="30">
        <f t="shared" si="133"/>
        <v>7</v>
      </c>
      <c r="T1046" s="30">
        <f t="shared" si="134"/>
        <v>2023</v>
      </c>
      <c r="U1046" s="29" t="str">
        <f t="shared" si="135"/>
        <v>July</v>
      </c>
    </row>
    <row r="1047" spans="1:21" ht="17.399999999999999" x14ac:dyDescent="0.3">
      <c r="A1047" s="21" t="s">
        <v>1521</v>
      </c>
      <c r="B1047" s="21" t="s">
        <v>1522</v>
      </c>
      <c r="C1047" s="23" t="s">
        <v>3518</v>
      </c>
      <c r="D1047" s="21" t="s">
        <v>3521</v>
      </c>
      <c r="E1047" s="24">
        <v>45119</v>
      </c>
      <c r="F1047" s="24">
        <v>45135</v>
      </c>
      <c r="G1047" s="22" t="s">
        <v>11</v>
      </c>
      <c r="H1047" s="25">
        <v>93234</v>
      </c>
      <c r="I1047" s="25">
        <v>2276</v>
      </c>
      <c r="J1047" s="26">
        <v>2807.57</v>
      </c>
      <c r="K1047" s="25">
        <v>287</v>
      </c>
      <c r="L1047" s="21" t="s">
        <v>21</v>
      </c>
      <c r="M1047" s="22" t="s">
        <v>11</v>
      </c>
      <c r="N1047" s="27">
        <f t="shared" si="128"/>
        <v>16</v>
      </c>
      <c r="O1047" s="28">
        <f t="shared" si="129"/>
        <v>2.4411695304288134E-2</v>
      </c>
      <c r="P1047" s="28">
        <f t="shared" si="130"/>
        <v>0.12609841827768015</v>
      </c>
      <c r="Q1047" s="26">
        <f t="shared" si="131"/>
        <v>1.2335544815465731</v>
      </c>
      <c r="R1047" s="29">
        <f t="shared" si="132"/>
        <v>9.7824738675958187</v>
      </c>
      <c r="S1047" s="30">
        <f t="shared" si="133"/>
        <v>7</v>
      </c>
      <c r="T1047" s="30">
        <f t="shared" si="134"/>
        <v>2023</v>
      </c>
      <c r="U1047" s="29" t="str">
        <f t="shared" si="135"/>
        <v>July</v>
      </c>
    </row>
    <row r="1048" spans="1:21" ht="17.399999999999999" x14ac:dyDescent="0.3">
      <c r="A1048" s="21" t="s">
        <v>2655</v>
      </c>
      <c r="B1048" s="22" t="s">
        <v>3817</v>
      </c>
      <c r="C1048" s="23" t="s">
        <v>3518</v>
      </c>
      <c r="D1048" s="22" t="s">
        <v>3545</v>
      </c>
      <c r="E1048" s="24">
        <v>45119</v>
      </c>
      <c r="F1048" s="24">
        <v>45139</v>
      </c>
      <c r="G1048" s="22" t="s">
        <v>31</v>
      </c>
      <c r="H1048" s="25">
        <v>12344</v>
      </c>
      <c r="I1048" s="25">
        <v>123</v>
      </c>
      <c r="J1048" s="26">
        <v>137.37</v>
      </c>
      <c r="K1048" s="25">
        <v>13</v>
      </c>
      <c r="L1048" s="21" t="s">
        <v>21</v>
      </c>
      <c r="M1048" s="22" t="s">
        <v>31</v>
      </c>
      <c r="N1048" s="27">
        <f t="shared" si="128"/>
        <v>20</v>
      </c>
      <c r="O1048" s="28">
        <f t="shared" si="129"/>
        <v>9.9643551523007131E-3</v>
      </c>
      <c r="P1048" s="28">
        <f t="shared" si="130"/>
        <v>0.10569105691056911</v>
      </c>
      <c r="Q1048" s="26">
        <f t="shared" si="131"/>
        <v>1.116829268292683</v>
      </c>
      <c r="R1048" s="29">
        <f t="shared" si="132"/>
        <v>10.566923076923077</v>
      </c>
      <c r="S1048" s="30">
        <f t="shared" si="133"/>
        <v>7</v>
      </c>
      <c r="T1048" s="30">
        <f t="shared" si="134"/>
        <v>2023</v>
      </c>
      <c r="U1048" s="29" t="str">
        <f t="shared" si="135"/>
        <v>July</v>
      </c>
    </row>
    <row r="1049" spans="1:21" ht="17.399999999999999" x14ac:dyDescent="0.3">
      <c r="A1049" s="21" t="s">
        <v>1397</v>
      </c>
      <c r="B1049" s="22" t="s">
        <v>3818</v>
      </c>
      <c r="C1049" s="23" t="s">
        <v>3516</v>
      </c>
      <c r="D1049" s="22" t="s">
        <v>3545</v>
      </c>
      <c r="E1049" s="24">
        <v>45119</v>
      </c>
      <c r="F1049" s="24">
        <v>45129</v>
      </c>
      <c r="G1049" s="22" t="s">
        <v>24</v>
      </c>
      <c r="H1049" s="25">
        <v>62813</v>
      </c>
      <c r="I1049" s="25">
        <v>2882</v>
      </c>
      <c r="J1049" s="26">
        <v>4925.25</v>
      </c>
      <c r="K1049" s="25">
        <v>197</v>
      </c>
      <c r="L1049" s="21" t="s">
        <v>21</v>
      </c>
      <c r="M1049" s="22" t="s">
        <v>3536</v>
      </c>
      <c r="N1049" s="27">
        <f t="shared" si="128"/>
        <v>10</v>
      </c>
      <c r="O1049" s="28">
        <f t="shared" si="129"/>
        <v>4.5882221833060038E-2</v>
      </c>
      <c r="P1049" s="28">
        <f t="shared" si="130"/>
        <v>6.8355308813324078E-2</v>
      </c>
      <c r="Q1049" s="26">
        <f t="shared" si="131"/>
        <v>1.708969465648855</v>
      </c>
      <c r="R1049" s="29">
        <f t="shared" si="132"/>
        <v>25.001269035532996</v>
      </c>
      <c r="S1049" s="30">
        <f t="shared" si="133"/>
        <v>7</v>
      </c>
      <c r="T1049" s="30">
        <f t="shared" si="134"/>
        <v>2023</v>
      </c>
      <c r="U1049" s="29" t="str">
        <f t="shared" si="135"/>
        <v>July</v>
      </c>
    </row>
    <row r="1050" spans="1:21" ht="17.399999999999999" x14ac:dyDescent="0.3">
      <c r="A1050" s="21" t="s">
        <v>2289</v>
      </c>
      <c r="B1050" s="22" t="s">
        <v>3819</v>
      </c>
      <c r="C1050" s="23" t="s">
        <v>3515</v>
      </c>
      <c r="D1050" s="22" t="s">
        <v>3545</v>
      </c>
      <c r="E1050" s="24">
        <v>45119</v>
      </c>
      <c r="F1050" s="24">
        <v>45135</v>
      </c>
      <c r="G1050" s="22" t="s">
        <v>31</v>
      </c>
      <c r="H1050" s="25">
        <v>49302</v>
      </c>
      <c r="I1050" s="25">
        <v>2282</v>
      </c>
      <c r="J1050" s="26">
        <v>3828.34</v>
      </c>
      <c r="K1050" s="25">
        <v>293</v>
      </c>
      <c r="L1050" s="21" t="s">
        <v>21</v>
      </c>
      <c r="M1050" s="22" t="s">
        <v>31</v>
      </c>
      <c r="N1050" s="27">
        <f t="shared" si="128"/>
        <v>16</v>
      </c>
      <c r="O1050" s="28">
        <f t="shared" si="129"/>
        <v>4.6286154719889658E-2</v>
      </c>
      <c r="P1050" s="28">
        <f t="shared" si="130"/>
        <v>0.12839614373356706</v>
      </c>
      <c r="Q1050" s="26">
        <f t="shared" si="131"/>
        <v>1.6776248904469764</v>
      </c>
      <c r="R1050" s="29">
        <f t="shared" si="132"/>
        <v>13.066006825938567</v>
      </c>
      <c r="S1050" s="30">
        <f t="shared" si="133"/>
        <v>7</v>
      </c>
      <c r="T1050" s="30">
        <f t="shared" si="134"/>
        <v>2023</v>
      </c>
      <c r="U1050" s="29" t="str">
        <f t="shared" si="135"/>
        <v>July</v>
      </c>
    </row>
    <row r="1051" spans="1:21" ht="17.399999999999999" x14ac:dyDescent="0.3">
      <c r="A1051" s="21" t="s">
        <v>3095</v>
      </c>
      <c r="B1051" s="22" t="s">
        <v>3820</v>
      </c>
      <c r="C1051" s="23" t="s">
        <v>3515</v>
      </c>
      <c r="D1051" s="22" t="s">
        <v>3545</v>
      </c>
      <c r="E1051" s="24">
        <v>45119</v>
      </c>
      <c r="F1051" s="24">
        <v>45120</v>
      </c>
      <c r="G1051" s="22" t="s">
        <v>24</v>
      </c>
      <c r="H1051" s="25">
        <v>61461</v>
      </c>
      <c r="I1051" s="25">
        <v>2157</v>
      </c>
      <c r="J1051" s="26">
        <v>2301.5</v>
      </c>
      <c r="K1051" s="25">
        <v>0</v>
      </c>
      <c r="L1051" s="21" t="s">
        <v>17</v>
      </c>
      <c r="M1051" s="22" t="s">
        <v>3536</v>
      </c>
      <c r="N1051" s="27">
        <f t="shared" si="128"/>
        <v>1</v>
      </c>
      <c r="O1051" s="28">
        <f t="shared" si="129"/>
        <v>3.5095426367940642E-2</v>
      </c>
      <c r="P1051" s="28">
        <f t="shared" si="130"/>
        <v>0</v>
      </c>
      <c r="Q1051" s="26">
        <f t="shared" si="131"/>
        <v>1.0669911914696337</v>
      </c>
      <c r="R1051" s="29" t="str">
        <f t="shared" si="132"/>
        <v>0</v>
      </c>
      <c r="S1051" s="30">
        <f t="shared" si="133"/>
        <v>7</v>
      </c>
      <c r="T1051" s="30">
        <f t="shared" si="134"/>
        <v>2023</v>
      </c>
      <c r="U1051" s="29" t="str">
        <f t="shared" si="135"/>
        <v>July</v>
      </c>
    </row>
    <row r="1052" spans="1:21" ht="17.399999999999999" x14ac:dyDescent="0.3">
      <c r="A1052" s="21" t="s">
        <v>1411</v>
      </c>
      <c r="B1052" s="22" t="s">
        <v>3821</v>
      </c>
      <c r="C1052" s="23" t="s">
        <v>3518</v>
      </c>
      <c r="D1052" s="22" t="s">
        <v>3545</v>
      </c>
      <c r="E1052" s="24">
        <v>45120</v>
      </c>
      <c r="F1052" s="24">
        <v>45141</v>
      </c>
      <c r="G1052" s="22" t="s">
        <v>14</v>
      </c>
      <c r="H1052" s="25">
        <v>7970</v>
      </c>
      <c r="I1052" s="25">
        <v>179</v>
      </c>
      <c r="J1052" s="26">
        <v>304.36</v>
      </c>
      <c r="K1052" s="25">
        <v>22</v>
      </c>
      <c r="L1052" s="21" t="s">
        <v>21</v>
      </c>
      <c r="M1052" s="22" t="s">
        <v>3537</v>
      </c>
      <c r="N1052" s="27">
        <f t="shared" si="128"/>
        <v>21</v>
      </c>
      <c r="O1052" s="28">
        <f t="shared" si="129"/>
        <v>2.2459222082810541E-2</v>
      </c>
      <c r="P1052" s="28">
        <f t="shared" si="130"/>
        <v>0.12290502793296089</v>
      </c>
      <c r="Q1052" s="26">
        <f t="shared" si="131"/>
        <v>1.7003351955307264</v>
      </c>
      <c r="R1052" s="29">
        <f t="shared" si="132"/>
        <v>13.834545454545456</v>
      </c>
      <c r="S1052" s="30">
        <f t="shared" si="133"/>
        <v>7</v>
      </c>
      <c r="T1052" s="30">
        <f t="shared" si="134"/>
        <v>2023</v>
      </c>
      <c r="U1052" s="29" t="str">
        <f t="shared" si="135"/>
        <v>July</v>
      </c>
    </row>
    <row r="1053" spans="1:21" ht="17.399999999999999" x14ac:dyDescent="0.3">
      <c r="A1053" s="21" t="s">
        <v>2697</v>
      </c>
      <c r="B1053" s="21" t="s">
        <v>2698</v>
      </c>
      <c r="C1053" s="23" t="s">
        <v>3518</v>
      </c>
      <c r="D1053" s="21" t="s">
        <v>3517</v>
      </c>
      <c r="E1053" s="24">
        <v>45120</v>
      </c>
      <c r="F1053" s="24">
        <v>45150</v>
      </c>
      <c r="G1053" s="22" t="s">
        <v>11</v>
      </c>
      <c r="H1053" s="25">
        <v>70768</v>
      </c>
      <c r="I1053" s="25">
        <v>2835</v>
      </c>
      <c r="J1053" s="26">
        <v>3332.33</v>
      </c>
      <c r="K1053" s="25">
        <v>454</v>
      </c>
      <c r="L1053" s="21" t="s">
        <v>17</v>
      </c>
      <c r="M1053" s="22" t="s">
        <v>11</v>
      </c>
      <c r="N1053" s="27">
        <f t="shared" si="128"/>
        <v>30</v>
      </c>
      <c r="O1053" s="28">
        <f t="shared" si="129"/>
        <v>4.0060479312683701E-2</v>
      </c>
      <c r="P1053" s="28">
        <f t="shared" si="130"/>
        <v>0.16014109347442682</v>
      </c>
      <c r="Q1053" s="26">
        <f t="shared" si="131"/>
        <v>1.1754250440917107</v>
      </c>
      <c r="R1053" s="29">
        <f t="shared" si="132"/>
        <v>7.339933920704846</v>
      </c>
      <c r="S1053" s="30">
        <f t="shared" si="133"/>
        <v>7</v>
      </c>
      <c r="T1053" s="30">
        <f t="shared" si="134"/>
        <v>2023</v>
      </c>
      <c r="U1053" s="29" t="str">
        <f t="shared" si="135"/>
        <v>July</v>
      </c>
    </row>
    <row r="1054" spans="1:21" ht="17.399999999999999" x14ac:dyDescent="0.3">
      <c r="A1054" s="21" t="s">
        <v>2789</v>
      </c>
      <c r="B1054" s="21" t="s">
        <v>2790</v>
      </c>
      <c r="C1054" s="23" t="s">
        <v>3518</v>
      </c>
      <c r="D1054" s="21" t="s">
        <v>3521</v>
      </c>
      <c r="E1054" s="24">
        <v>45120</v>
      </c>
      <c r="F1054" s="24">
        <v>45130</v>
      </c>
      <c r="G1054" s="22" t="s">
        <v>16</v>
      </c>
      <c r="H1054" s="25">
        <v>17371</v>
      </c>
      <c r="I1054" s="25">
        <v>306</v>
      </c>
      <c r="J1054" s="26">
        <v>555.37</v>
      </c>
      <c r="K1054" s="25">
        <v>57</v>
      </c>
      <c r="L1054" s="21" t="s">
        <v>17</v>
      </c>
      <c r="M1054" s="22" t="s">
        <v>16</v>
      </c>
      <c r="N1054" s="27">
        <f t="shared" si="128"/>
        <v>10</v>
      </c>
      <c r="O1054" s="28">
        <f t="shared" si="129"/>
        <v>1.7615566173507569E-2</v>
      </c>
      <c r="P1054" s="28">
        <f t="shared" si="130"/>
        <v>0.18627450980392157</v>
      </c>
      <c r="Q1054" s="26">
        <f t="shared" si="131"/>
        <v>1.8149346405228759</v>
      </c>
      <c r="R1054" s="29">
        <f t="shared" si="132"/>
        <v>9.7433333333333341</v>
      </c>
      <c r="S1054" s="30">
        <f t="shared" si="133"/>
        <v>7</v>
      </c>
      <c r="T1054" s="30">
        <f t="shared" si="134"/>
        <v>2023</v>
      </c>
      <c r="U1054" s="29" t="str">
        <f t="shared" si="135"/>
        <v>July</v>
      </c>
    </row>
    <row r="1055" spans="1:21" ht="17.399999999999999" x14ac:dyDescent="0.3">
      <c r="A1055" s="21" t="s">
        <v>3022</v>
      </c>
      <c r="B1055" s="22" t="s">
        <v>3822</v>
      </c>
      <c r="C1055" s="23" t="s">
        <v>3515</v>
      </c>
      <c r="D1055" s="22" t="s">
        <v>3545</v>
      </c>
      <c r="E1055" s="24">
        <v>45120</v>
      </c>
      <c r="F1055" s="24">
        <v>45125</v>
      </c>
      <c r="G1055" s="22" t="s">
        <v>24</v>
      </c>
      <c r="H1055" s="25">
        <v>72719</v>
      </c>
      <c r="I1055" s="25">
        <v>1279</v>
      </c>
      <c r="J1055" s="26">
        <v>687.01</v>
      </c>
      <c r="K1055" s="25">
        <v>78</v>
      </c>
      <c r="L1055" s="21" t="s">
        <v>21</v>
      </c>
      <c r="M1055" s="22" t="s">
        <v>3536</v>
      </c>
      <c r="N1055" s="27">
        <f t="shared" si="128"/>
        <v>5</v>
      </c>
      <c r="O1055" s="28">
        <f t="shared" si="129"/>
        <v>1.7588250663512973E-2</v>
      </c>
      <c r="P1055" s="28">
        <f t="shared" si="130"/>
        <v>6.0985144644253322E-2</v>
      </c>
      <c r="Q1055" s="26">
        <f t="shared" si="131"/>
        <v>0.53714620797498047</v>
      </c>
      <c r="R1055" s="29">
        <f t="shared" si="132"/>
        <v>8.8078205128205127</v>
      </c>
      <c r="S1055" s="30">
        <f t="shared" si="133"/>
        <v>7</v>
      </c>
      <c r="T1055" s="30">
        <f t="shared" si="134"/>
        <v>2023</v>
      </c>
      <c r="U1055" s="29" t="str">
        <f t="shared" si="135"/>
        <v>July</v>
      </c>
    </row>
    <row r="1056" spans="1:21" ht="17.399999999999999" x14ac:dyDescent="0.3">
      <c r="A1056" s="21" t="s">
        <v>2350</v>
      </c>
      <c r="B1056" s="21" t="s">
        <v>2351</v>
      </c>
      <c r="C1056" s="23" t="s">
        <v>3519</v>
      </c>
      <c r="D1056" s="21" t="s">
        <v>3517</v>
      </c>
      <c r="E1056" s="24">
        <v>45121</v>
      </c>
      <c r="F1056" s="24">
        <v>45123</v>
      </c>
      <c r="G1056" s="22" t="s">
        <v>11</v>
      </c>
      <c r="H1056" s="25">
        <v>74506</v>
      </c>
      <c r="I1056" s="25">
        <v>2889</v>
      </c>
      <c r="J1056" s="26">
        <v>4200.8100000000004</v>
      </c>
      <c r="K1056" s="25">
        <v>0</v>
      </c>
      <c r="L1056" s="21" t="s">
        <v>21</v>
      </c>
      <c r="M1056" s="22" t="s">
        <v>11</v>
      </c>
      <c r="N1056" s="27">
        <f t="shared" si="128"/>
        <v>2</v>
      </c>
      <c r="O1056" s="28">
        <f t="shared" si="129"/>
        <v>3.8775400638874719E-2</v>
      </c>
      <c r="P1056" s="28">
        <f t="shared" si="130"/>
        <v>0</v>
      </c>
      <c r="Q1056" s="26">
        <f t="shared" si="131"/>
        <v>1.4540706126687437</v>
      </c>
      <c r="R1056" s="29" t="str">
        <f t="shared" si="132"/>
        <v>0</v>
      </c>
      <c r="S1056" s="30">
        <f t="shared" si="133"/>
        <v>7</v>
      </c>
      <c r="T1056" s="30">
        <f t="shared" si="134"/>
        <v>2023</v>
      </c>
      <c r="U1056" s="29" t="str">
        <f t="shared" si="135"/>
        <v>July</v>
      </c>
    </row>
    <row r="1057" spans="1:21" ht="17.399999999999999" x14ac:dyDescent="0.3">
      <c r="A1057" s="21" t="s">
        <v>275</v>
      </c>
      <c r="B1057" s="21" t="s">
        <v>276</v>
      </c>
      <c r="C1057" s="23" t="s">
        <v>3518</v>
      </c>
      <c r="D1057" s="21" t="s">
        <v>3521</v>
      </c>
      <c r="E1057" s="24">
        <v>45121</v>
      </c>
      <c r="F1057" s="24">
        <v>45126</v>
      </c>
      <c r="G1057" s="22" t="s">
        <v>3535</v>
      </c>
      <c r="H1057" s="25">
        <v>81356</v>
      </c>
      <c r="I1057" s="25">
        <v>3670</v>
      </c>
      <c r="J1057" s="26">
        <v>5352.87</v>
      </c>
      <c r="K1057" s="25">
        <v>660</v>
      </c>
      <c r="L1057" s="21" t="s">
        <v>21</v>
      </c>
      <c r="M1057" s="22" t="s">
        <v>3535</v>
      </c>
      <c r="N1057" s="27">
        <f t="shared" si="128"/>
        <v>5</v>
      </c>
      <c r="O1057" s="28">
        <f t="shared" si="129"/>
        <v>4.5110379074684105E-2</v>
      </c>
      <c r="P1057" s="28">
        <f t="shared" si="130"/>
        <v>0.17983651226158037</v>
      </c>
      <c r="Q1057" s="26">
        <f t="shared" si="131"/>
        <v>1.4585476839237057</v>
      </c>
      <c r="R1057" s="29">
        <f t="shared" si="132"/>
        <v>8.1104090909090907</v>
      </c>
      <c r="S1057" s="30">
        <f t="shared" si="133"/>
        <v>7</v>
      </c>
      <c r="T1057" s="30">
        <f t="shared" si="134"/>
        <v>2023</v>
      </c>
      <c r="U1057" s="29" t="str">
        <f t="shared" si="135"/>
        <v>July</v>
      </c>
    </row>
    <row r="1058" spans="1:21" ht="17.399999999999999" x14ac:dyDescent="0.3">
      <c r="A1058" s="21" t="s">
        <v>584</v>
      </c>
      <c r="B1058" s="21" t="s">
        <v>585</v>
      </c>
      <c r="C1058" s="23" t="s">
        <v>3518</v>
      </c>
      <c r="D1058" s="21" t="s">
        <v>3521</v>
      </c>
      <c r="E1058" s="24">
        <v>45121</v>
      </c>
      <c r="F1058" s="24">
        <v>45151</v>
      </c>
      <c r="G1058" s="22" t="s">
        <v>3535</v>
      </c>
      <c r="H1058" s="25">
        <v>47214</v>
      </c>
      <c r="I1058" s="25">
        <v>694</v>
      </c>
      <c r="J1058" s="26">
        <v>738.21</v>
      </c>
      <c r="K1058" s="25">
        <v>106</v>
      </c>
      <c r="L1058" s="21" t="s">
        <v>21</v>
      </c>
      <c r="M1058" s="22" t="s">
        <v>3535</v>
      </c>
      <c r="N1058" s="27">
        <f t="shared" si="128"/>
        <v>30</v>
      </c>
      <c r="O1058" s="28">
        <f t="shared" si="129"/>
        <v>1.4699029948744016E-2</v>
      </c>
      <c r="P1058" s="28">
        <f t="shared" si="130"/>
        <v>0.15273775216138327</v>
      </c>
      <c r="Q1058" s="26">
        <f t="shared" si="131"/>
        <v>1.0637031700288184</v>
      </c>
      <c r="R1058" s="29">
        <f t="shared" si="132"/>
        <v>6.9642452830188679</v>
      </c>
      <c r="S1058" s="30">
        <f t="shared" si="133"/>
        <v>7</v>
      </c>
      <c r="T1058" s="30">
        <f t="shared" si="134"/>
        <v>2023</v>
      </c>
      <c r="U1058" s="29" t="str">
        <f t="shared" si="135"/>
        <v>July</v>
      </c>
    </row>
    <row r="1059" spans="1:21" ht="17.399999999999999" x14ac:dyDescent="0.3">
      <c r="A1059" s="21" t="s">
        <v>1482</v>
      </c>
      <c r="B1059" s="21" t="s">
        <v>1483</v>
      </c>
      <c r="C1059" s="23" t="s">
        <v>3516</v>
      </c>
      <c r="D1059" s="21" t="s">
        <v>3520</v>
      </c>
      <c r="E1059" s="24">
        <v>45121</v>
      </c>
      <c r="F1059" s="24">
        <v>45123</v>
      </c>
      <c r="G1059" s="22" t="s">
        <v>31</v>
      </c>
      <c r="H1059" s="25">
        <v>59017</v>
      </c>
      <c r="I1059" s="25">
        <v>1041</v>
      </c>
      <c r="J1059" s="26">
        <v>1806.56</v>
      </c>
      <c r="K1059" s="25">
        <v>155</v>
      </c>
      <c r="L1059" s="21" t="s">
        <v>17</v>
      </c>
      <c r="M1059" s="22" t="s">
        <v>31</v>
      </c>
      <c r="N1059" s="27">
        <f t="shared" si="128"/>
        <v>2</v>
      </c>
      <c r="O1059" s="28">
        <f t="shared" si="129"/>
        <v>1.7638985377094737E-2</v>
      </c>
      <c r="P1059" s="28">
        <f t="shared" si="130"/>
        <v>0.148895292987512</v>
      </c>
      <c r="Q1059" s="26">
        <f t="shared" si="131"/>
        <v>1.7354082612872237</v>
      </c>
      <c r="R1059" s="29">
        <f t="shared" si="132"/>
        <v>11.655225806451613</v>
      </c>
      <c r="S1059" s="30">
        <f t="shared" si="133"/>
        <v>7</v>
      </c>
      <c r="T1059" s="30">
        <f t="shared" si="134"/>
        <v>2023</v>
      </c>
      <c r="U1059" s="29" t="str">
        <f t="shared" si="135"/>
        <v>July</v>
      </c>
    </row>
    <row r="1060" spans="1:21" ht="17.399999999999999" x14ac:dyDescent="0.3">
      <c r="A1060" s="21" t="s">
        <v>353</v>
      </c>
      <c r="B1060" s="21" t="s">
        <v>354</v>
      </c>
      <c r="C1060" s="23" t="s">
        <v>3515</v>
      </c>
      <c r="D1060" s="21" t="s">
        <v>3520</v>
      </c>
      <c r="E1060" s="24">
        <v>45121</v>
      </c>
      <c r="F1060" s="24">
        <v>45129</v>
      </c>
      <c r="G1060" s="22" t="s">
        <v>14</v>
      </c>
      <c r="H1060" s="25">
        <v>14545</v>
      </c>
      <c r="I1060" s="25">
        <v>424</v>
      </c>
      <c r="J1060" s="26">
        <v>247.12</v>
      </c>
      <c r="K1060" s="25">
        <v>69</v>
      </c>
      <c r="L1060" s="21" t="s">
        <v>21</v>
      </c>
      <c r="M1060" s="22" t="s">
        <v>3537</v>
      </c>
      <c r="N1060" s="27">
        <f t="shared" si="128"/>
        <v>8</v>
      </c>
      <c r="O1060" s="28">
        <f t="shared" si="129"/>
        <v>2.9150910965967686E-2</v>
      </c>
      <c r="P1060" s="28">
        <f t="shared" si="130"/>
        <v>0.16273584905660377</v>
      </c>
      <c r="Q1060" s="26">
        <f t="shared" si="131"/>
        <v>0.5828301886792453</v>
      </c>
      <c r="R1060" s="29">
        <f t="shared" si="132"/>
        <v>3.5814492753623188</v>
      </c>
      <c r="S1060" s="30">
        <f t="shared" si="133"/>
        <v>7</v>
      </c>
      <c r="T1060" s="30">
        <f t="shared" si="134"/>
        <v>2023</v>
      </c>
      <c r="U1060" s="29" t="str">
        <f t="shared" si="135"/>
        <v>July</v>
      </c>
    </row>
    <row r="1061" spans="1:21" ht="17.399999999999999" x14ac:dyDescent="0.3">
      <c r="A1061" s="21" t="s">
        <v>3263</v>
      </c>
      <c r="B1061" s="21" t="s">
        <v>3264</v>
      </c>
      <c r="C1061" s="23" t="s">
        <v>3515</v>
      </c>
      <c r="D1061" s="21" t="s">
        <v>3521</v>
      </c>
      <c r="E1061" s="24">
        <v>45121</v>
      </c>
      <c r="F1061" s="24">
        <v>45126</v>
      </c>
      <c r="G1061" s="22" t="s">
        <v>11</v>
      </c>
      <c r="H1061" s="25">
        <v>19639</v>
      </c>
      <c r="I1061" s="25">
        <v>846</v>
      </c>
      <c r="J1061" s="26">
        <v>1220.57</v>
      </c>
      <c r="K1061" s="25">
        <v>0</v>
      </c>
      <c r="L1061" s="21" t="s">
        <v>21</v>
      </c>
      <c r="M1061" s="22" t="s">
        <v>11</v>
      </c>
      <c r="N1061" s="27">
        <f t="shared" si="128"/>
        <v>5</v>
      </c>
      <c r="O1061" s="28">
        <f t="shared" si="129"/>
        <v>4.3077549773410051E-2</v>
      </c>
      <c r="P1061" s="28">
        <f t="shared" si="130"/>
        <v>0</v>
      </c>
      <c r="Q1061" s="26">
        <f t="shared" si="131"/>
        <v>1.4427541371158392</v>
      </c>
      <c r="R1061" s="29" t="str">
        <f t="shared" si="132"/>
        <v>0</v>
      </c>
      <c r="S1061" s="30">
        <f t="shared" si="133"/>
        <v>7</v>
      </c>
      <c r="T1061" s="30">
        <f t="shared" si="134"/>
        <v>2023</v>
      </c>
      <c r="U1061" s="29" t="str">
        <f t="shared" si="135"/>
        <v>July</v>
      </c>
    </row>
    <row r="1062" spans="1:21" ht="17.399999999999999" x14ac:dyDescent="0.3">
      <c r="A1062" s="21" t="s">
        <v>562</v>
      </c>
      <c r="B1062" s="21" t="s">
        <v>563</v>
      </c>
      <c r="C1062" s="23" t="s">
        <v>3519</v>
      </c>
      <c r="D1062" s="21" t="s">
        <v>3521</v>
      </c>
      <c r="E1062" s="24">
        <v>45122</v>
      </c>
      <c r="F1062" s="24">
        <v>45145</v>
      </c>
      <c r="G1062" s="22" t="s">
        <v>24</v>
      </c>
      <c r="H1062" s="25">
        <v>62135</v>
      </c>
      <c r="I1062" s="25">
        <v>2531</v>
      </c>
      <c r="J1062" s="26">
        <v>4775.45</v>
      </c>
      <c r="K1062" s="25">
        <v>168</v>
      </c>
      <c r="L1062" s="21" t="s">
        <v>21</v>
      </c>
      <c r="M1062" s="22" t="s">
        <v>3536</v>
      </c>
      <c r="N1062" s="27">
        <f t="shared" si="128"/>
        <v>23</v>
      </c>
      <c r="O1062" s="28">
        <f t="shared" si="129"/>
        <v>4.0733885893618732E-2</v>
      </c>
      <c r="P1062" s="28">
        <f t="shared" si="130"/>
        <v>6.6376926116159626E-2</v>
      </c>
      <c r="Q1062" s="26">
        <f t="shared" si="131"/>
        <v>1.8867838798893717</v>
      </c>
      <c r="R1062" s="29">
        <f t="shared" si="132"/>
        <v>28.425297619047619</v>
      </c>
      <c r="S1062" s="30">
        <f t="shared" si="133"/>
        <v>7</v>
      </c>
      <c r="T1062" s="30">
        <f t="shared" si="134"/>
        <v>2023</v>
      </c>
      <c r="U1062" s="29" t="str">
        <f t="shared" si="135"/>
        <v>July</v>
      </c>
    </row>
    <row r="1063" spans="1:21" ht="17.399999999999999" x14ac:dyDescent="0.3">
      <c r="A1063" s="21" t="s">
        <v>2086</v>
      </c>
      <c r="B1063" s="21" t="s">
        <v>2087</v>
      </c>
      <c r="C1063" s="23" t="s">
        <v>3519</v>
      </c>
      <c r="D1063" s="21" t="s">
        <v>3520</v>
      </c>
      <c r="E1063" s="24">
        <v>45122</v>
      </c>
      <c r="F1063" s="24">
        <v>45132</v>
      </c>
      <c r="G1063" s="22" t="s">
        <v>11</v>
      </c>
      <c r="H1063" s="25">
        <v>15153</v>
      </c>
      <c r="I1063" s="25">
        <v>187</v>
      </c>
      <c r="J1063" s="26">
        <v>161.54</v>
      </c>
      <c r="K1063" s="25">
        <v>17</v>
      </c>
      <c r="L1063" s="21" t="s">
        <v>17</v>
      </c>
      <c r="M1063" s="22" t="s">
        <v>11</v>
      </c>
      <c r="N1063" s="27">
        <f t="shared" si="128"/>
        <v>10</v>
      </c>
      <c r="O1063" s="28">
        <f t="shared" si="129"/>
        <v>1.2340790602520952E-2</v>
      </c>
      <c r="P1063" s="28">
        <f t="shared" si="130"/>
        <v>9.0909090909090912E-2</v>
      </c>
      <c r="Q1063" s="26">
        <f t="shared" si="131"/>
        <v>0.86385026737967907</v>
      </c>
      <c r="R1063" s="29">
        <f t="shared" si="132"/>
        <v>9.5023529411764702</v>
      </c>
      <c r="S1063" s="30">
        <f t="shared" si="133"/>
        <v>7</v>
      </c>
      <c r="T1063" s="30">
        <f t="shared" si="134"/>
        <v>2023</v>
      </c>
      <c r="U1063" s="29" t="str">
        <f t="shared" si="135"/>
        <v>July</v>
      </c>
    </row>
    <row r="1064" spans="1:21" ht="17.399999999999999" x14ac:dyDescent="0.3">
      <c r="A1064" s="21" t="s">
        <v>2471</v>
      </c>
      <c r="B1064" s="21" t="s">
        <v>2472</v>
      </c>
      <c r="C1064" s="23" t="s">
        <v>3518</v>
      </c>
      <c r="D1064" s="21" t="s">
        <v>3520</v>
      </c>
      <c r="E1064" s="24">
        <v>45122</v>
      </c>
      <c r="F1064" s="24">
        <v>45135</v>
      </c>
      <c r="G1064" s="22" t="s">
        <v>14</v>
      </c>
      <c r="H1064" s="25">
        <v>58384</v>
      </c>
      <c r="I1064" s="25">
        <v>2772</v>
      </c>
      <c r="J1064" s="26">
        <v>2556.0300000000002</v>
      </c>
      <c r="K1064" s="25">
        <v>367</v>
      </c>
      <c r="L1064" s="21" t="s">
        <v>17</v>
      </c>
      <c r="M1064" s="22" t="s">
        <v>3537</v>
      </c>
      <c r="N1064" s="27">
        <f t="shared" si="128"/>
        <v>13</v>
      </c>
      <c r="O1064" s="28">
        <f t="shared" si="129"/>
        <v>4.7478761304466981E-2</v>
      </c>
      <c r="P1064" s="28">
        <f t="shared" si="130"/>
        <v>0.1323953823953824</v>
      </c>
      <c r="Q1064" s="26">
        <f t="shared" si="131"/>
        <v>0.92208874458874468</v>
      </c>
      <c r="R1064" s="29">
        <f t="shared" si="132"/>
        <v>6.96465940054496</v>
      </c>
      <c r="S1064" s="30">
        <f t="shared" si="133"/>
        <v>7</v>
      </c>
      <c r="T1064" s="30">
        <f t="shared" si="134"/>
        <v>2023</v>
      </c>
      <c r="U1064" s="29" t="str">
        <f t="shared" si="135"/>
        <v>July</v>
      </c>
    </row>
    <row r="1065" spans="1:21" ht="17.399999999999999" x14ac:dyDescent="0.3">
      <c r="A1065" s="21" t="s">
        <v>79</v>
      </c>
      <c r="B1065" s="22" t="s">
        <v>3823</v>
      </c>
      <c r="C1065" s="23" t="s">
        <v>3515</v>
      </c>
      <c r="D1065" s="22" t="s">
        <v>3545</v>
      </c>
      <c r="E1065" s="24">
        <v>45122</v>
      </c>
      <c r="F1065" s="24">
        <v>45145</v>
      </c>
      <c r="G1065" s="22" t="s">
        <v>11</v>
      </c>
      <c r="H1065" s="25">
        <v>32551</v>
      </c>
      <c r="I1065" s="25">
        <v>1335</v>
      </c>
      <c r="J1065" s="26">
        <v>1118.1500000000001</v>
      </c>
      <c r="K1065" s="25">
        <v>200</v>
      </c>
      <c r="L1065" s="21" t="s">
        <v>21</v>
      </c>
      <c r="M1065" s="22" t="s">
        <v>11</v>
      </c>
      <c r="N1065" s="27">
        <f t="shared" si="128"/>
        <v>23</v>
      </c>
      <c r="O1065" s="28">
        <f t="shared" si="129"/>
        <v>4.1012564898159812E-2</v>
      </c>
      <c r="P1065" s="28">
        <f t="shared" si="130"/>
        <v>0.14981273408239701</v>
      </c>
      <c r="Q1065" s="26">
        <f t="shared" si="131"/>
        <v>0.83756554307116116</v>
      </c>
      <c r="R1065" s="29">
        <f t="shared" si="132"/>
        <v>5.5907500000000008</v>
      </c>
      <c r="S1065" s="30">
        <f t="shared" si="133"/>
        <v>7</v>
      </c>
      <c r="T1065" s="30">
        <f t="shared" si="134"/>
        <v>2023</v>
      </c>
      <c r="U1065" s="29" t="str">
        <f t="shared" si="135"/>
        <v>July</v>
      </c>
    </row>
    <row r="1066" spans="1:21" ht="17.399999999999999" x14ac:dyDescent="0.3">
      <c r="A1066" s="21" t="s">
        <v>236</v>
      </c>
      <c r="B1066" s="21" t="s">
        <v>237</v>
      </c>
      <c r="C1066" s="23" t="s">
        <v>3515</v>
      </c>
      <c r="D1066" s="21" t="s">
        <v>3517</v>
      </c>
      <c r="E1066" s="24">
        <v>45122</v>
      </c>
      <c r="F1066" s="24">
        <v>45127</v>
      </c>
      <c r="G1066" s="22" t="s">
        <v>11</v>
      </c>
      <c r="H1066" s="25">
        <v>11965</v>
      </c>
      <c r="I1066" s="25">
        <v>559</v>
      </c>
      <c r="J1066" s="26">
        <v>325.11</v>
      </c>
      <c r="K1066" s="25">
        <v>39</v>
      </c>
      <c r="L1066" s="21" t="s">
        <v>17</v>
      </c>
      <c r="M1066" s="22" t="s">
        <v>11</v>
      </c>
      <c r="N1066" s="27">
        <f t="shared" si="128"/>
        <v>5</v>
      </c>
      <c r="O1066" s="28">
        <f t="shared" si="129"/>
        <v>4.6719598829920599E-2</v>
      </c>
      <c r="P1066" s="28">
        <f t="shared" si="130"/>
        <v>6.9767441860465115E-2</v>
      </c>
      <c r="Q1066" s="26">
        <f t="shared" si="131"/>
        <v>0.58159212880143119</v>
      </c>
      <c r="R1066" s="29">
        <f t="shared" si="132"/>
        <v>8.3361538461538469</v>
      </c>
      <c r="S1066" s="30">
        <f t="shared" si="133"/>
        <v>7</v>
      </c>
      <c r="T1066" s="30">
        <f t="shared" si="134"/>
        <v>2023</v>
      </c>
      <c r="U1066" s="29" t="str">
        <f t="shared" si="135"/>
        <v>July</v>
      </c>
    </row>
    <row r="1067" spans="1:21" ht="17.399999999999999" x14ac:dyDescent="0.3">
      <c r="A1067" s="21" t="s">
        <v>604</v>
      </c>
      <c r="B1067" s="21" t="s">
        <v>605</v>
      </c>
      <c r="C1067" s="23" t="s">
        <v>3515</v>
      </c>
      <c r="D1067" s="21" t="s">
        <v>3517</v>
      </c>
      <c r="E1067" s="24">
        <v>45122</v>
      </c>
      <c r="F1067" s="24">
        <v>45143</v>
      </c>
      <c r="G1067" s="22" t="s">
        <v>14</v>
      </c>
      <c r="H1067" s="25">
        <v>48333</v>
      </c>
      <c r="I1067" s="25">
        <v>796</v>
      </c>
      <c r="J1067" s="26">
        <v>545.34</v>
      </c>
      <c r="K1067" s="25">
        <v>79</v>
      </c>
      <c r="L1067" s="21" t="s">
        <v>21</v>
      </c>
      <c r="M1067" s="22" t="s">
        <v>3537</v>
      </c>
      <c r="N1067" s="27">
        <f t="shared" si="128"/>
        <v>21</v>
      </c>
      <c r="O1067" s="28">
        <f t="shared" si="129"/>
        <v>1.646907909709722E-2</v>
      </c>
      <c r="P1067" s="28">
        <f t="shared" si="130"/>
        <v>9.9246231155778894E-2</v>
      </c>
      <c r="Q1067" s="26">
        <f t="shared" si="131"/>
        <v>0.68510050251256283</v>
      </c>
      <c r="R1067" s="29">
        <f t="shared" si="132"/>
        <v>6.9030379746835449</v>
      </c>
      <c r="S1067" s="30">
        <f t="shared" si="133"/>
        <v>7</v>
      </c>
      <c r="T1067" s="30">
        <f t="shared" si="134"/>
        <v>2023</v>
      </c>
      <c r="U1067" s="29" t="str">
        <f t="shared" si="135"/>
        <v>July</v>
      </c>
    </row>
    <row r="1068" spans="1:21" ht="17.399999999999999" x14ac:dyDescent="0.3">
      <c r="A1068" s="21" t="s">
        <v>2560</v>
      </c>
      <c r="B1068" s="21" t="s">
        <v>2561</v>
      </c>
      <c r="C1068" s="23" t="s">
        <v>3515</v>
      </c>
      <c r="D1068" s="21" t="s">
        <v>3521</v>
      </c>
      <c r="E1068" s="24">
        <v>45122</v>
      </c>
      <c r="F1068" s="24">
        <v>45146</v>
      </c>
      <c r="G1068" s="22" t="s">
        <v>31</v>
      </c>
      <c r="H1068" s="25">
        <v>95613</v>
      </c>
      <c r="I1068" s="25">
        <v>4260</v>
      </c>
      <c r="J1068" s="26">
        <v>8209.43</v>
      </c>
      <c r="K1068" s="25">
        <v>412</v>
      </c>
      <c r="L1068" s="21" t="s">
        <v>21</v>
      </c>
      <c r="M1068" s="22" t="s">
        <v>31</v>
      </c>
      <c r="N1068" s="27">
        <f t="shared" si="128"/>
        <v>24</v>
      </c>
      <c r="O1068" s="28">
        <f t="shared" si="129"/>
        <v>4.4554610774685449E-2</v>
      </c>
      <c r="P1068" s="28">
        <f t="shared" si="130"/>
        <v>9.6713615023474184E-2</v>
      </c>
      <c r="Q1068" s="26">
        <f t="shared" si="131"/>
        <v>1.9270962441314554</v>
      </c>
      <c r="R1068" s="29">
        <f t="shared" si="132"/>
        <v>19.925800970873787</v>
      </c>
      <c r="S1068" s="30">
        <f t="shared" si="133"/>
        <v>7</v>
      </c>
      <c r="T1068" s="30">
        <f t="shared" si="134"/>
        <v>2023</v>
      </c>
      <c r="U1068" s="29" t="str">
        <f t="shared" si="135"/>
        <v>July</v>
      </c>
    </row>
    <row r="1069" spans="1:21" ht="17.399999999999999" x14ac:dyDescent="0.3">
      <c r="A1069" s="21" t="s">
        <v>2718</v>
      </c>
      <c r="B1069" s="21" t="s">
        <v>2719</v>
      </c>
      <c r="C1069" s="23" t="s">
        <v>3515</v>
      </c>
      <c r="D1069" s="21" t="s">
        <v>3520</v>
      </c>
      <c r="E1069" s="24">
        <v>45122</v>
      </c>
      <c r="F1069" s="24">
        <v>45138</v>
      </c>
      <c r="G1069" s="22" t="s">
        <v>24</v>
      </c>
      <c r="H1069" s="25">
        <v>26510</v>
      </c>
      <c r="I1069" s="25">
        <v>1155</v>
      </c>
      <c r="J1069" s="26">
        <v>2006.48</v>
      </c>
      <c r="K1069" s="25">
        <v>110</v>
      </c>
      <c r="L1069" s="21" t="s">
        <v>21</v>
      </c>
      <c r="M1069" s="22" t="s">
        <v>3536</v>
      </c>
      <c r="N1069" s="27">
        <f t="shared" si="128"/>
        <v>16</v>
      </c>
      <c r="O1069" s="28">
        <f t="shared" si="129"/>
        <v>4.3568464730290454E-2</v>
      </c>
      <c r="P1069" s="28">
        <f t="shared" si="130"/>
        <v>9.5238095238095233E-2</v>
      </c>
      <c r="Q1069" s="26">
        <f t="shared" si="131"/>
        <v>1.7372121212121212</v>
      </c>
      <c r="R1069" s="29">
        <f t="shared" si="132"/>
        <v>18.240727272727273</v>
      </c>
      <c r="S1069" s="30">
        <f t="shared" si="133"/>
        <v>7</v>
      </c>
      <c r="T1069" s="30">
        <f t="shared" si="134"/>
        <v>2023</v>
      </c>
      <c r="U1069" s="29" t="str">
        <f t="shared" si="135"/>
        <v>July</v>
      </c>
    </row>
    <row r="1070" spans="1:21" ht="17.399999999999999" x14ac:dyDescent="0.3">
      <c r="A1070" s="21" t="s">
        <v>1781</v>
      </c>
      <c r="B1070" s="21" t="s">
        <v>1782</v>
      </c>
      <c r="C1070" s="23" t="s">
        <v>3519</v>
      </c>
      <c r="D1070" s="21" t="s">
        <v>3521</v>
      </c>
      <c r="E1070" s="24">
        <v>45123</v>
      </c>
      <c r="F1070" s="24">
        <v>45126</v>
      </c>
      <c r="G1070" s="22" t="s">
        <v>24</v>
      </c>
      <c r="H1070" s="25">
        <v>93436</v>
      </c>
      <c r="I1070" s="25">
        <v>4034</v>
      </c>
      <c r="J1070" s="26">
        <v>5447.27</v>
      </c>
      <c r="K1070" s="25">
        <v>794</v>
      </c>
      <c r="L1070" s="21" t="s">
        <v>21</v>
      </c>
      <c r="M1070" s="22" t="s">
        <v>3536</v>
      </c>
      <c r="N1070" s="27">
        <f t="shared" si="128"/>
        <v>3</v>
      </c>
      <c r="O1070" s="28">
        <f t="shared" si="129"/>
        <v>4.3173937240464061E-2</v>
      </c>
      <c r="P1070" s="28">
        <f t="shared" si="130"/>
        <v>0.19682697074863659</v>
      </c>
      <c r="Q1070" s="26">
        <f t="shared" si="131"/>
        <v>1.3503396132870602</v>
      </c>
      <c r="R1070" s="29">
        <f t="shared" si="132"/>
        <v>6.8605415617128465</v>
      </c>
      <c r="S1070" s="30">
        <f t="shared" si="133"/>
        <v>7</v>
      </c>
      <c r="T1070" s="30">
        <f t="shared" si="134"/>
        <v>2023</v>
      </c>
      <c r="U1070" s="29" t="str">
        <f t="shared" si="135"/>
        <v>July</v>
      </c>
    </row>
    <row r="1071" spans="1:21" ht="17.399999999999999" x14ac:dyDescent="0.3">
      <c r="A1071" s="21" t="s">
        <v>1956</v>
      </c>
      <c r="B1071" s="22" t="s">
        <v>3824</v>
      </c>
      <c r="C1071" s="23" t="s">
        <v>3518</v>
      </c>
      <c r="D1071" s="22" t="s">
        <v>3545</v>
      </c>
      <c r="E1071" s="24">
        <v>45123</v>
      </c>
      <c r="F1071" s="24">
        <v>45144</v>
      </c>
      <c r="G1071" s="22" t="s">
        <v>24</v>
      </c>
      <c r="H1071" s="25">
        <v>44303</v>
      </c>
      <c r="I1071" s="25">
        <v>1409</v>
      </c>
      <c r="J1071" s="26">
        <v>941.98</v>
      </c>
      <c r="K1071" s="25">
        <v>0</v>
      </c>
      <c r="L1071" s="21" t="s">
        <v>21</v>
      </c>
      <c r="M1071" s="22" t="s">
        <v>3536</v>
      </c>
      <c r="N1071" s="27">
        <f t="shared" si="128"/>
        <v>21</v>
      </c>
      <c r="O1071" s="28">
        <f t="shared" si="129"/>
        <v>3.180371532401869E-2</v>
      </c>
      <c r="P1071" s="28">
        <f t="shared" si="130"/>
        <v>0</v>
      </c>
      <c r="Q1071" s="26">
        <f t="shared" si="131"/>
        <v>0.66854506742370479</v>
      </c>
      <c r="R1071" s="29" t="str">
        <f t="shared" si="132"/>
        <v>0</v>
      </c>
      <c r="S1071" s="30">
        <f t="shared" si="133"/>
        <v>7</v>
      </c>
      <c r="T1071" s="30">
        <f t="shared" si="134"/>
        <v>2023</v>
      </c>
      <c r="U1071" s="29" t="str">
        <f t="shared" si="135"/>
        <v>July</v>
      </c>
    </row>
    <row r="1072" spans="1:21" ht="17.399999999999999" x14ac:dyDescent="0.3">
      <c r="A1072" s="21" t="s">
        <v>1142</v>
      </c>
      <c r="B1072" s="22" t="s">
        <v>3825</v>
      </c>
      <c r="C1072" s="23" t="s">
        <v>3516</v>
      </c>
      <c r="D1072" s="22" t="s">
        <v>3545</v>
      </c>
      <c r="E1072" s="24">
        <v>45123</v>
      </c>
      <c r="F1072" s="24">
        <v>45139</v>
      </c>
      <c r="G1072" s="22" t="s">
        <v>31</v>
      </c>
      <c r="H1072" s="25">
        <v>2062</v>
      </c>
      <c r="I1072" s="25">
        <v>99</v>
      </c>
      <c r="J1072" s="26">
        <v>165.57</v>
      </c>
      <c r="K1072" s="25">
        <v>6</v>
      </c>
      <c r="L1072" s="21" t="s">
        <v>21</v>
      </c>
      <c r="M1072" s="22" t="s">
        <v>31</v>
      </c>
      <c r="N1072" s="27">
        <f t="shared" si="128"/>
        <v>16</v>
      </c>
      <c r="O1072" s="28">
        <f t="shared" si="129"/>
        <v>4.8011639185257034E-2</v>
      </c>
      <c r="P1072" s="28">
        <f t="shared" si="130"/>
        <v>6.0606060606060608E-2</v>
      </c>
      <c r="Q1072" s="26">
        <f t="shared" si="131"/>
        <v>1.6724242424242424</v>
      </c>
      <c r="R1072" s="29">
        <f t="shared" si="132"/>
        <v>27.594999999999999</v>
      </c>
      <c r="S1072" s="30">
        <f t="shared" si="133"/>
        <v>7</v>
      </c>
      <c r="T1072" s="30">
        <f t="shared" si="134"/>
        <v>2023</v>
      </c>
      <c r="U1072" s="29" t="str">
        <f t="shared" si="135"/>
        <v>July</v>
      </c>
    </row>
    <row r="1073" spans="1:21" ht="17.399999999999999" x14ac:dyDescent="0.3">
      <c r="A1073" s="21" t="s">
        <v>1858</v>
      </c>
      <c r="B1073" s="21" t="s">
        <v>1859</v>
      </c>
      <c r="C1073" s="23" t="s">
        <v>3516</v>
      </c>
      <c r="D1073" s="21" t="s">
        <v>3517</v>
      </c>
      <c r="E1073" s="24">
        <v>45123</v>
      </c>
      <c r="F1073" s="24">
        <v>45147</v>
      </c>
      <c r="G1073" s="22" t="s">
        <v>16</v>
      </c>
      <c r="H1073" s="25">
        <v>43533</v>
      </c>
      <c r="I1073" s="25">
        <v>1138</v>
      </c>
      <c r="J1073" s="26">
        <v>2028.15</v>
      </c>
      <c r="K1073" s="25">
        <v>172</v>
      </c>
      <c r="L1073" s="21" t="s">
        <v>21</v>
      </c>
      <c r="M1073" s="22" t="s">
        <v>16</v>
      </c>
      <c r="N1073" s="27">
        <f t="shared" si="128"/>
        <v>24</v>
      </c>
      <c r="O1073" s="28">
        <f t="shared" si="129"/>
        <v>2.6141088369742493E-2</v>
      </c>
      <c r="P1073" s="28">
        <f t="shared" si="130"/>
        <v>0.15114235500878734</v>
      </c>
      <c r="Q1073" s="26">
        <f t="shared" si="131"/>
        <v>1.7822056239015818</v>
      </c>
      <c r="R1073" s="29">
        <f t="shared" si="132"/>
        <v>11.79156976744186</v>
      </c>
      <c r="S1073" s="30">
        <f t="shared" si="133"/>
        <v>7</v>
      </c>
      <c r="T1073" s="30">
        <f t="shared" si="134"/>
        <v>2023</v>
      </c>
      <c r="U1073" s="29" t="str">
        <f t="shared" si="135"/>
        <v>July</v>
      </c>
    </row>
    <row r="1074" spans="1:21" ht="17.399999999999999" x14ac:dyDescent="0.3">
      <c r="A1074" s="21" t="s">
        <v>2262</v>
      </c>
      <c r="B1074" s="22" t="s">
        <v>3826</v>
      </c>
      <c r="C1074" s="23" t="s">
        <v>3516</v>
      </c>
      <c r="D1074" s="22" t="s">
        <v>3545</v>
      </c>
      <c r="E1074" s="24">
        <v>45123</v>
      </c>
      <c r="F1074" s="24">
        <v>45131</v>
      </c>
      <c r="G1074" s="22" t="s">
        <v>16</v>
      </c>
      <c r="H1074" s="25">
        <v>94501</v>
      </c>
      <c r="I1074" s="25">
        <v>3904</v>
      </c>
      <c r="J1074" s="26">
        <v>6432.98</v>
      </c>
      <c r="K1074" s="25">
        <v>346</v>
      </c>
      <c r="L1074" s="21" t="s">
        <v>21</v>
      </c>
      <c r="M1074" s="22" t="s">
        <v>16</v>
      </c>
      <c r="N1074" s="27">
        <f t="shared" si="128"/>
        <v>8</v>
      </c>
      <c r="O1074" s="28">
        <f t="shared" si="129"/>
        <v>4.1311732150982529E-2</v>
      </c>
      <c r="P1074" s="28">
        <f t="shared" si="130"/>
        <v>8.8627049180327863E-2</v>
      </c>
      <c r="Q1074" s="26">
        <f t="shared" si="131"/>
        <v>1.6477920081967212</v>
      </c>
      <c r="R1074" s="29">
        <f t="shared" si="132"/>
        <v>18.59242774566474</v>
      </c>
      <c r="S1074" s="30">
        <f t="shared" si="133"/>
        <v>7</v>
      </c>
      <c r="T1074" s="30">
        <f t="shared" si="134"/>
        <v>2023</v>
      </c>
      <c r="U1074" s="29" t="str">
        <f t="shared" si="135"/>
        <v>July</v>
      </c>
    </row>
    <row r="1075" spans="1:21" ht="17.399999999999999" x14ac:dyDescent="0.3">
      <c r="A1075" s="21" t="s">
        <v>2429</v>
      </c>
      <c r="B1075" s="21" t="s">
        <v>2430</v>
      </c>
      <c r="C1075" s="23" t="s">
        <v>3516</v>
      </c>
      <c r="D1075" s="21" t="s">
        <v>3521</v>
      </c>
      <c r="E1075" s="24">
        <v>45123</v>
      </c>
      <c r="F1075" s="24">
        <v>45137</v>
      </c>
      <c r="G1075" s="22" t="s">
        <v>24</v>
      </c>
      <c r="H1075" s="25">
        <v>91093</v>
      </c>
      <c r="I1075" s="25">
        <v>1189</v>
      </c>
      <c r="J1075" s="26">
        <v>1539.87</v>
      </c>
      <c r="K1075" s="25">
        <v>131</v>
      </c>
      <c r="L1075" s="21" t="s">
        <v>17</v>
      </c>
      <c r="M1075" s="22" t="s">
        <v>3536</v>
      </c>
      <c r="N1075" s="27">
        <f t="shared" si="128"/>
        <v>14</v>
      </c>
      <c r="O1075" s="28">
        <f t="shared" si="129"/>
        <v>1.3052594601121931E-2</v>
      </c>
      <c r="P1075" s="28">
        <f t="shared" si="130"/>
        <v>0.11017661900756939</v>
      </c>
      <c r="Q1075" s="26">
        <f t="shared" si="131"/>
        <v>1.2950967199327166</v>
      </c>
      <c r="R1075" s="29">
        <f t="shared" si="132"/>
        <v>11.75473282442748</v>
      </c>
      <c r="S1075" s="30">
        <f t="shared" si="133"/>
        <v>7</v>
      </c>
      <c r="T1075" s="30">
        <f t="shared" si="134"/>
        <v>2023</v>
      </c>
      <c r="U1075" s="29" t="str">
        <f t="shared" si="135"/>
        <v>July</v>
      </c>
    </row>
    <row r="1076" spans="1:21" ht="17.399999999999999" x14ac:dyDescent="0.3">
      <c r="A1076" s="21" t="s">
        <v>558</v>
      </c>
      <c r="B1076" s="21" t="s">
        <v>559</v>
      </c>
      <c r="C1076" s="23" t="s">
        <v>3515</v>
      </c>
      <c r="D1076" s="21" t="s">
        <v>3521</v>
      </c>
      <c r="E1076" s="24">
        <v>45123</v>
      </c>
      <c r="F1076" s="24">
        <v>45149</v>
      </c>
      <c r="G1076" s="22" t="s">
        <v>16</v>
      </c>
      <c r="H1076" s="25">
        <v>78505</v>
      </c>
      <c r="I1076" s="25">
        <v>847</v>
      </c>
      <c r="J1076" s="26">
        <v>1623.7</v>
      </c>
      <c r="K1076" s="25">
        <v>58</v>
      </c>
      <c r="L1076" s="21" t="s">
        <v>21</v>
      </c>
      <c r="M1076" s="22" t="s">
        <v>16</v>
      </c>
      <c r="N1076" s="27">
        <f t="shared" si="128"/>
        <v>26</v>
      </c>
      <c r="O1076" s="28">
        <f t="shared" si="129"/>
        <v>1.0789121711992866E-2</v>
      </c>
      <c r="P1076" s="28">
        <f t="shared" si="130"/>
        <v>6.8476977567886663E-2</v>
      </c>
      <c r="Q1076" s="26">
        <f t="shared" si="131"/>
        <v>1.9170011806375444</v>
      </c>
      <c r="R1076" s="29">
        <f t="shared" si="132"/>
        <v>27.994827586206899</v>
      </c>
      <c r="S1076" s="30">
        <f t="shared" si="133"/>
        <v>7</v>
      </c>
      <c r="T1076" s="30">
        <f t="shared" si="134"/>
        <v>2023</v>
      </c>
      <c r="U1076" s="29" t="str">
        <f t="shared" si="135"/>
        <v>July</v>
      </c>
    </row>
    <row r="1077" spans="1:21" ht="17.399999999999999" x14ac:dyDescent="0.3">
      <c r="A1077" s="21" t="s">
        <v>1506</v>
      </c>
      <c r="B1077" s="21" t="s">
        <v>1507</v>
      </c>
      <c r="C1077" s="23" t="s">
        <v>3515</v>
      </c>
      <c r="D1077" s="21" t="s">
        <v>3520</v>
      </c>
      <c r="E1077" s="24">
        <v>45123</v>
      </c>
      <c r="F1077" s="24">
        <v>45127</v>
      </c>
      <c r="G1077" s="22" t="s">
        <v>16</v>
      </c>
      <c r="H1077" s="25">
        <v>20198</v>
      </c>
      <c r="I1077" s="25">
        <v>337</v>
      </c>
      <c r="J1077" s="26">
        <v>373.09</v>
      </c>
      <c r="K1077" s="25">
        <v>35</v>
      </c>
      <c r="L1077" s="21" t="s">
        <v>17</v>
      </c>
      <c r="M1077" s="22" t="s">
        <v>16</v>
      </c>
      <c r="N1077" s="27">
        <f t="shared" si="128"/>
        <v>4</v>
      </c>
      <c r="O1077" s="28">
        <f t="shared" si="129"/>
        <v>1.6684820279235568E-2</v>
      </c>
      <c r="P1077" s="28">
        <f t="shared" si="130"/>
        <v>0.10385756676557864</v>
      </c>
      <c r="Q1077" s="26">
        <f t="shared" si="131"/>
        <v>1.1070919881305636</v>
      </c>
      <c r="R1077" s="29">
        <f t="shared" si="132"/>
        <v>10.659714285714285</v>
      </c>
      <c r="S1077" s="30">
        <f t="shared" si="133"/>
        <v>7</v>
      </c>
      <c r="T1077" s="30">
        <f t="shared" si="134"/>
        <v>2023</v>
      </c>
      <c r="U1077" s="29" t="str">
        <f t="shared" si="135"/>
        <v>July</v>
      </c>
    </row>
    <row r="1078" spans="1:21" ht="17.399999999999999" x14ac:dyDescent="0.3">
      <c r="A1078" s="21" t="s">
        <v>2752</v>
      </c>
      <c r="B1078" s="22" t="s">
        <v>3827</v>
      </c>
      <c r="C1078" s="23" t="s">
        <v>3515</v>
      </c>
      <c r="D1078" s="22" t="s">
        <v>3545</v>
      </c>
      <c r="E1078" s="24">
        <v>45123</v>
      </c>
      <c r="F1078" s="24">
        <v>45143</v>
      </c>
      <c r="G1078" s="22" t="s">
        <v>31</v>
      </c>
      <c r="H1078" s="25">
        <v>45547</v>
      </c>
      <c r="I1078" s="25">
        <v>1865</v>
      </c>
      <c r="J1078" s="26">
        <v>2961.49</v>
      </c>
      <c r="K1078" s="25">
        <v>226</v>
      </c>
      <c r="L1078" s="21" t="s">
        <v>21</v>
      </c>
      <c r="M1078" s="22" t="s">
        <v>31</v>
      </c>
      <c r="N1078" s="27">
        <f t="shared" si="128"/>
        <v>20</v>
      </c>
      <c r="O1078" s="28">
        <f t="shared" si="129"/>
        <v>4.0946714382945087E-2</v>
      </c>
      <c r="P1078" s="28">
        <f t="shared" si="130"/>
        <v>0.12117962466487936</v>
      </c>
      <c r="Q1078" s="26">
        <f t="shared" si="131"/>
        <v>1.587930294906166</v>
      </c>
      <c r="R1078" s="29">
        <f t="shared" si="132"/>
        <v>13.103938053097345</v>
      </c>
      <c r="S1078" s="30">
        <f t="shared" si="133"/>
        <v>7</v>
      </c>
      <c r="T1078" s="30">
        <f t="shared" si="134"/>
        <v>2023</v>
      </c>
      <c r="U1078" s="29" t="str">
        <f t="shared" si="135"/>
        <v>July</v>
      </c>
    </row>
    <row r="1079" spans="1:21" ht="17.399999999999999" x14ac:dyDescent="0.3">
      <c r="A1079" s="21" t="s">
        <v>1151</v>
      </c>
      <c r="B1079" s="22" t="s">
        <v>3828</v>
      </c>
      <c r="C1079" s="23" t="s">
        <v>3519</v>
      </c>
      <c r="D1079" s="22" t="s">
        <v>3545</v>
      </c>
      <c r="E1079" s="24">
        <v>45123</v>
      </c>
      <c r="F1079" s="24">
        <v>45128</v>
      </c>
      <c r="G1079" s="22" t="s">
        <v>14</v>
      </c>
      <c r="H1079" s="25">
        <v>12174</v>
      </c>
      <c r="I1079" s="25">
        <v>462</v>
      </c>
      <c r="J1079" s="26">
        <v>623.39</v>
      </c>
      <c r="K1079" s="25">
        <v>79</v>
      </c>
      <c r="L1079" s="21" t="s">
        <v>21</v>
      </c>
      <c r="M1079" s="22" t="s">
        <v>3537</v>
      </c>
      <c r="N1079" s="27">
        <f t="shared" si="128"/>
        <v>5</v>
      </c>
      <c r="O1079" s="28">
        <f t="shared" si="129"/>
        <v>3.7949728930507638E-2</v>
      </c>
      <c r="P1079" s="28">
        <f t="shared" si="130"/>
        <v>0.17099567099567101</v>
      </c>
      <c r="Q1079" s="26">
        <f t="shared" si="131"/>
        <v>1.3493290043290043</v>
      </c>
      <c r="R1079" s="29">
        <f t="shared" si="132"/>
        <v>7.8910126582278481</v>
      </c>
      <c r="S1079" s="30">
        <f t="shared" si="133"/>
        <v>7</v>
      </c>
      <c r="T1079" s="30">
        <f t="shared" si="134"/>
        <v>2023</v>
      </c>
      <c r="U1079" s="29" t="str">
        <f t="shared" si="135"/>
        <v>July</v>
      </c>
    </row>
    <row r="1080" spans="1:21" ht="17.399999999999999" x14ac:dyDescent="0.3">
      <c r="A1080" s="21" t="s">
        <v>3073</v>
      </c>
      <c r="B1080" s="21" t="s">
        <v>3074</v>
      </c>
      <c r="C1080" s="23" t="s">
        <v>3519</v>
      </c>
      <c r="D1080" s="21" t="s">
        <v>3520</v>
      </c>
      <c r="E1080" s="24">
        <v>45124</v>
      </c>
      <c r="F1080" s="24">
        <v>45152</v>
      </c>
      <c r="G1080" s="22" t="s">
        <v>14</v>
      </c>
      <c r="H1080" s="25">
        <v>37509</v>
      </c>
      <c r="I1080" s="25">
        <v>378</v>
      </c>
      <c r="J1080" s="26">
        <v>380.23</v>
      </c>
      <c r="K1080" s="25">
        <v>64</v>
      </c>
      <c r="L1080" s="21" t="s">
        <v>21</v>
      </c>
      <c r="M1080" s="22" t="s">
        <v>3537</v>
      </c>
      <c r="N1080" s="27">
        <f t="shared" si="128"/>
        <v>28</v>
      </c>
      <c r="O1080" s="28">
        <f t="shared" si="129"/>
        <v>1.0077581380468688E-2</v>
      </c>
      <c r="P1080" s="28">
        <f t="shared" si="130"/>
        <v>0.1693121693121693</v>
      </c>
      <c r="Q1080" s="26">
        <f t="shared" si="131"/>
        <v>1.0058994708994708</v>
      </c>
      <c r="R1080" s="29">
        <f t="shared" si="132"/>
        <v>5.9410937500000003</v>
      </c>
      <c r="S1080" s="30">
        <f t="shared" si="133"/>
        <v>7</v>
      </c>
      <c r="T1080" s="30">
        <f t="shared" si="134"/>
        <v>2023</v>
      </c>
      <c r="U1080" s="29" t="str">
        <f t="shared" si="135"/>
        <v>July</v>
      </c>
    </row>
    <row r="1081" spans="1:21" ht="17.399999999999999" x14ac:dyDescent="0.3">
      <c r="A1081" s="21" t="s">
        <v>1021</v>
      </c>
      <c r="B1081" s="21" t="s">
        <v>1022</v>
      </c>
      <c r="C1081" s="23" t="s">
        <v>3518</v>
      </c>
      <c r="D1081" s="21" t="s">
        <v>3521</v>
      </c>
      <c r="E1081" s="24">
        <v>45124</v>
      </c>
      <c r="F1081" s="24">
        <v>45147</v>
      </c>
      <c r="G1081" s="22" t="s">
        <v>3535</v>
      </c>
      <c r="H1081" s="25">
        <v>83745</v>
      </c>
      <c r="I1081" s="25">
        <v>3567</v>
      </c>
      <c r="J1081" s="26">
        <v>6564.68</v>
      </c>
      <c r="K1081" s="25">
        <v>312</v>
      </c>
      <c r="L1081" s="21" t="s">
        <v>21</v>
      </c>
      <c r="M1081" s="22" t="s">
        <v>3535</v>
      </c>
      <c r="N1081" s="27">
        <f t="shared" si="128"/>
        <v>23</v>
      </c>
      <c r="O1081" s="28">
        <f t="shared" si="129"/>
        <v>4.2593587676876231E-2</v>
      </c>
      <c r="P1081" s="28">
        <f t="shared" si="130"/>
        <v>8.7468460891505465E-2</v>
      </c>
      <c r="Q1081" s="26">
        <f t="shared" si="131"/>
        <v>1.8403924866834875</v>
      </c>
      <c r="R1081" s="29">
        <f t="shared" si="132"/>
        <v>21.040641025641026</v>
      </c>
      <c r="S1081" s="30">
        <f t="shared" si="133"/>
        <v>7</v>
      </c>
      <c r="T1081" s="30">
        <f t="shared" si="134"/>
        <v>2023</v>
      </c>
      <c r="U1081" s="29" t="str">
        <f t="shared" si="135"/>
        <v>July</v>
      </c>
    </row>
    <row r="1082" spans="1:21" ht="17.399999999999999" x14ac:dyDescent="0.3">
      <c r="A1082" s="21" t="s">
        <v>2987</v>
      </c>
      <c r="B1082" s="22" t="s">
        <v>3829</v>
      </c>
      <c r="C1082" s="23" t="s">
        <v>3515</v>
      </c>
      <c r="D1082" s="22" t="s">
        <v>3545</v>
      </c>
      <c r="E1082" s="24">
        <v>45124</v>
      </c>
      <c r="F1082" s="24">
        <v>45139</v>
      </c>
      <c r="G1082" s="22" t="s">
        <v>14</v>
      </c>
      <c r="H1082" s="25">
        <v>70669</v>
      </c>
      <c r="I1082" s="25">
        <v>1287</v>
      </c>
      <c r="J1082" s="26">
        <v>1015.84</v>
      </c>
      <c r="K1082" s="25">
        <v>141</v>
      </c>
      <c r="L1082" s="21" t="s">
        <v>17</v>
      </c>
      <c r="M1082" s="22" t="s">
        <v>3537</v>
      </c>
      <c r="N1082" s="27">
        <f t="shared" si="128"/>
        <v>15</v>
      </c>
      <c r="O1082" s="28">
        <f t="shared" si="129"/>
        <v>1.8211662822453976E-2</v>
      </c>
      <c r="P1082" s="28">
        <f t="shared" si="130"/>
        <v>0.10955710955710955</v>
      </c>
      <c r="Q1082" s="26">
        <f t="shared" si="131"/>
        <v>0.78930846930846932</v>
      </c>
      <c r="R1082" s="29">
        <f t="shared" si="132"/>
        <v>7.2045390070921984</v>
      </c>
      <c r="S1082" s="30">
        <f t="shared" si="133"/>
        <v>7</v>
      </c>
      <c r="T1082" s="30">
        <f t="shared" si="134"/>
        <v>2023</v>
      </c>
      <c r="U1082" s="29" t="str">
        <f t="shared" si="135"/>
        <v>July</v>
      </c>
    </row>
    <row r="1083" spans="1:21" ht="17.399999999999999" x14ac:dyDescent="0.3">
      <c r="A1083" s="21" t="s">
        <v>677</v>
      </c>
      <c r="B1083" s="21" t="s">
        <v>678</v>
      </c>
      <c r="C1083" s="23" t="s">
        <v>3519</v>
      </c>
      <c r="D1083" s="21" t="s">
        <v>3520</v>
      </c>
      <c r="E1083" s="24">
        <v>45125</v>
      </c>
      <c r="F1083" s="24">
        <v>45126</v>
      </c>
      <c r="G1083" s="22" t="s">
        <v>3535</v>
      </c>
      <c r="H1083" s="25">
        <v>86314</v>
      </c>
      <c r="I1083" s="25">
        <v>4096</v>
      </c>
      <c r="J1083" s="26">
        <v>3864.5</v>
      </c>
      <c r="K1083" s="25">
        <v>716</v>
      </c>
      <c r="L1083" s="21" t="s">
        <v>17</v>
      </c>
      <c r="M1083" s="22" t="s">
        <v>3535</v>
      </c>
      <c r="N1083" s="27">
        <f t="shared" si="128"/>
        <v>1</v>
      </c>
      <c r="O1083" s="28">
        <f t="shared" si="129"/>
        <v>4.7454642352341453E-2</v>
      </c>
      <c r="P1083" s="28">
        <f t="shared" si="130"/>
        <v>0.1748046875</v>
      </c>
      <c r="Q1083" s="26">
        <f t="shared" si="131"/>
        <v>0.9434814453125</v>
      </c>
      <c r="R1083" s="29">
        <f t="shared" si="132"/>
        <v>5.397346368715084</v>
      </c>
      <c r="S1083" s="30">
        <f t="shared" si="133"/>
        <v>7</v>
      </c>
      <c r="T1083" s="30">
        <f t="shared" si="134"/>
        <v>2023</v>
      </c>
      <c r="U1083" s="29" t="str">
        <f t="shared" si="135"/>
        <v>July</v>
      </c>
    </row>
    <row r="1084" spans="1:21" ht="17.399999999999999" x14ac:dyDescent="0.3">
      <c r="A1084" s="21" t="s">
        <v>2214</v>
      </c>
      <c r="B1084" s="21" t="s">
        <v>2215</v>
      </c>
      <c r="C1084" s="23" t="s">
        <v>3519</v>
      </c>
      <c r="D1084" s="21" t="s">
        <v>3520</v>
      </c>
      <c r="E1084" s="24">
        <v>45125</v>
      </c>
      <c r="F1084" s="24">
        <v>45151</v>
      </c>
      <c r="G1084" s="22" t="s">
        <v>16</v>
      </c>
      <c r="H1084" s="25">
        <v>38148</v>
      </c>
      <c r="I1084" s="25">
        <v>1540</v>
      </c>
      <c r="J1084" s="26">
        <v>963.4</v>
      </c>
      <c r="K1084" s="25">
        <v>193</v>
      </c>
      <c r="L1084" s="21" t="s">
        <v>21</v>
      </c>
      <c r="M1084" s="22" t="s">
        <v>16</v>
      </c>
      <c r="N1084" s="27">
        <f t="shared" si="128"/>
        <v>26</v>
      </c>
      <c r="O1084" s="28">
        <f t="shared" si="129"/>
        <v>4.0369088811995385E-2</v>
      </c>
      <c r="P1084" s="28">
        <f t="shared" si="130"/>
        <v>0.12532467532467531</v>
      </c>
      <c r="Q1084" s="26">
        <f t="shared" si="131"/>
        <v>0.62558441558441558</v>
      </c>
      <c r="R1084" s="29">
        <f t="shared" si="132"/>
        <v>4.9917098445595851</v>
      </c>
      <c r="S1084" s="30">
        <f t="shared" si="133"/>
        <v>7</v>
      </c>
      <c r="T1084" s="30">
        <f t="shared" si="134"/>
        <v>2023</v>
      </c>
      <c r="U1084" s="29" t="str">
        <f t="shared" si="135"/>
        <v>July</v>
      </c>
    </row>
    <row r="1085" spans="1:21" ht="17.399999999999999" x14ac:dyDescent="0.3">
      <c r="A1085" s="21" t="s">
        <v>990</v>
      </c>
      <c r="B1085" s="21" t="s">
        <v>991</v>
      </c>
      <c r="C1085" s="23" t="s">
        <v>3518</v>
      </c>
      <c r="D1085" s="21" t="s">
        <v>3521</v>
      </c>
      <c r="E1085" s="24">
        <v>45125</v>
      </c>
      <c r="F1085" s="24">
        <v>45155</v>
      </c>
      <c r="G1085" s="22" t="s">
        <v>31</v>
      </c>
      <c r="H1085" s="25">
        <v>39494</v>
      </c>
      <c r="I1085" s="25">
        <v>562</v>
      </c>
      <c r="J1085" s="26">
        <v>361.7</v>
      </c>
      <c r="K1085" s="25">
        <v>32</v>
      </c>
      <c r="L1085" s="21" t="s">
        <v>17</v>
      </c>
      <c r="M1085" s="22" t="s">
        <v>31</v>
      </c>
      <c r="N1085" s="27">
        <f t="shared" si="128"/>
        <v>30</v>
      </c>
      <c r="O1085" s="28">
        <f t="shared" si="129"/>
        <v>1.423000962171469E-2</v>
      </c>
      <c r="P1085" s="28">
        <f t="shared" si="130"/>
        <v>5.6939501779359428E-2</v>
      </c>
      <c r="Q1085" s="26">
        <f t="shared" si="131"/>
        <v>0.64359430604982204</v>
      </c>
      <c r="R1085" s="29">
        <f t="shared" si="132"/>
        <v>11.303125</v>
      </c>
      <c r="S1085" s="30">
        <f t="shared" si="133"/>
        <v>7</v>
      </c>
      <c r="T1085" s="30">
        <f t="shared" si="134"/>
        <v>2023</v>
      </c>
      <c r="U1085" s="29" t="str">
        <f t="shared" si="135"/>
        <v>July</v>
      </c>
    </row>
    <row r="1086" spans="1:21" ht="17.399999999999999" x14ac:dyDescent="0.3">
      <c r="A1086" s="21" t="s">
        <v>2096</v>
      </c>
      <c r="B1086" s="21" t="s">
        <v>2097</v>
      </c>
      <c r="C1086" s="23" t="s">
        <v>3518</v>
      </c>
      <c r="D1086" s="21" t="s">
        <v>3521</v>
      </c>
      <c r="E1086" s="24">
        <v>45125</v>
      </c>
      <c r="F1086" s="24">
        <v>45135</v>
      </c>
      <c r="G1086" s="22" t="s">
        <v>14</v>
      </c>
      <c r="H1086" s="25">
        <v>91474</v>
      </c>
      <c r="I1086" s="25">
        <v>1851</v>
      </c>
      <c r="J1086" s="26">
        <v>1094.5899999999999</v>
      </c>
      <c r="K1086" s="25">
        <v>0</v>
      </c>
      <c r="L1086" s="21" t="s">
        <v>17</v>
      </c>
      <c r="M1086" s="22" t="s">
        <v>3537</v>
      </c>
      <c r="N1086" s="27">
        <f t="shared" si="128"/>
        <v>10</v>
      </c>
      <c r="O1086" s="28">
        <f t="shared" si="129"/>
        <v>2.0235258106128518E-2</v>
      </c>
      <c r="P1086" s="28">
        <f t="shared" si="130"/>
        <v>0</v>
      </c>
      <c r="Q1086" s="26">
        <f t="shared" si="131"/>
        <v>0.59135062128579141</v>
      </c>
      <c r="R1086" s="29" t="str">
        <f t="shared" si="132"/>
        <v>0</v>
      </c>
      <c r="S1086" s="30">
        <f t="shared" si="133"/>
        <v>7</v>
      </c>
      <c r="T1086" s="30">
        <f t="shared" si="134"/>
        <v>2023</v>
      </c>
      <c r="U1086" s="29" t="str">
        <f t="shared" si="135"/>
        <v>July</v>
      </c>
    </row>
    <row r="1087" spans="1:21" ht="17.399999999999999" x14ac:dyDescent="0.3">
      <c r="A1087" s="21" t="s">
        <v>2647</v>
      </c>
      <c r="B1087" s="21" t="s">
        <v>2648</v>
      </c>
      <c r="C1087" s="23" t="s">
        <v>3515</v>
      </c>
      <c r="D1087" s="21" t="s">
        <v>3520</v>
      </c>
      <c r="E1087" s="24">
        <v>45125</v>
      </c>
      <c r="F1087" s="24">
        <v>45148</v>
      </c>
      <c r="G1087" s="22" t="s">
        <v>14</v>
      </c>
      <c r="H1087" s="25">
        <v>91327</v>
      </c>
      <c r="I1087" s="25">
        <v>3865</v>
      </c>
      <c r="J1087" s="26">
        <v>5996.17</v>
      </c>
      <c r="K1087" s="25">
        <v>493</v>
      </c>
      <c r="L1087" s="21" t="s">
        <v>17</v>
      </c>
      <c r="M1087" s="22" t="s">
        <v>3537</v>
      </c>
      <c r="N1087" s="27">
        <f t="shared" si="128"/>
        <v>23</v>
      </c>
      <c r="O1087" s="28">
        <f t="shared" si="129"/>
        <v>4.2320452878119287E-2</v>
      </c>
      <c r="P1087" s="28">
        <f t="shared" si="130"/>
        <v>0.12755498059508408</v>
      </c>
      <c r="Q1087" s="26">
        <f t="shared" si="131"/>
        <v>1.5514023285899095</v>
      </c>
      <c r="R1087" s="29">
        <f t="shared" si="132"/>
        <v>12.162616632860042</v>
      </c>
      <c r="S1087" s="30">
        <f t="shared" si="133"/>
        <v>7</v>
      </c>
      <c r="T1087" s="30">
        <f t="shared" si="134"/>
        <v>2023</v>
      </c>
      <c r="U1087" s="29" t="str">
        <f t="shared" si="135"/>
        <v>July</v>
      </c>
    </row>
    <row r="1088" spans="1:21" ht="17.399999999999999" x14ac:dyDescent="0.3">
      <c r="A1088" s="21" t="s">
        <v>1504</v>
      </c>
      <c r="B1088" s="21" t="s">
        <v>1505</v>
      </c>
      <c r="C1088" s="23" t="s">
        <v>3516</v>
      </c>
      <c r="D1088" s="21" t="s">
        <v>3520</v>
      </c>
      <c r="E1088" s="24">
        <v>45126</v>
      </c>
      <c r="F1088" s="24">
        <v>45151</v>
      </c>
      <c r="G1088" s="22" t="s">
        <v>31</v>
      </c>
      <c r="H1088" s="25">
        <v>54871</v>
      </c>
      <c r="I1088" s="25">
        <v>2044</v>
      </c>
      <c r="J1088" s="26">
        <v>4016.85</v>
      </c>
      <c r="K1088" s="25">
        <v>0</v>
      </c>
      <c r="L1088" s="21" t="s">
        <v>21</v>
      </c>
      <c r="M1088" s="22" t="s">
        <v>31</v>
      </c>
      <c r="N1088" s="27">
        <f t="shared" si="128"/>
        <v>25</v>
      </c>
      <c r="O1088" s="28">
        <f t="shared" si="129"/>
        <v>3.7251006907109405E-2</v>
      </c>
      <c r="P1088" s="28">
        <f t="shared" si="130"/>
        <v>0</v>
      </c>
      <c r="Q1088" s="26">
        <f t="shared" si="131"/>
        <v>1.9651908023483367</v>
      </c>
      <c r="R1088" s="29" t="str">
        <f t="shared" si="132"/>
        <v>0</v>
      </c>
      <c r="S1088" s="30">
        <f t="shared" si="133"/>
        <v>7</v>
      </c>
      <c r="T1088" s="30">
        <f t="shared" si="134"/>
        <v>2023</v>
      </c>
      <c r="U1088" s="29" t="str">
        <f t="shared" si="135"/>
        <v>July</v>
      </c>
    </row>
    <row r="1089" spans="1:21" ht="17.399999999999999" x14ac:dyDescent="0.3">
      <c r="A1089" s="21" t="s">
        <v>2563</v>
      </c>
      <c r="B1089" s="22" t="s">
        <v>3830</v>
      </c>
      <c r="C1089" s="23" t="s">
        <v>3519</v>
      </c>
      <c r="D1089" s="22" t="s">
        <v>3545</v>
      </c>
      <c r="E1089" s="24">
        <v>45127</v>
      </c>
      <c r="F1089" s="24">
        <v>45140</v>
      </c>
      <c r="G1089" s="22" t="s">
        <v>11</v>
      </c>
      <c r="H1089" s="25">
        <v>22792</v>
      </c>
      <c r="I1089" s="25">
        <v>1046</v>
      </c>
      <c r="J1089" s="26">
        <v>1366.47</v>
      </c>
      <c r="K1089" s="25">
        <v>73</v>
      </c>
      <c r="L1089" s="21" t="s">
        <v>21</v>
      </c>
      <c r="M1089" s="22" t="s">
        <v>11</v>
      </c>
      <c r="N1089" s="27">
        <f t="shared" si="128"/>
        <v>13</v>
      </c>
      <c r="O1089" s="28">
        <f t="shared" si="129"/>
        <v>4.5893295893295896E-2</v>
      </c>
      <c r="P1089" s="28">
        <f t="shared" si="130"/>
        <v>6.9789674952198857E-2</v>
      </c>
      <c r="Q1089" s="26">
        <f t="shared" si="131"/>
        <v>1.3063766730401529</v>
      </c>
      <c r="R1089" s="29">
        <f t="shared" si="132"/>
        <v>18.718767123287673</v>
      </c>
      <c r="S1089" s="30">
        <f t="shared" si="133"/>
        <v>7</v>
      </c>
      <c r="T1089" s="30">
        <f t="shared" si="134"/>
        <v>2023</v>
      </c>
      <c r="U1089" s="29" t="str">
        <f t="shared" si="135"/>
        <v>July</v>
      </c>
    </row>
    <row r="1090" spans="1:21" ht="17.399999999999999" x14ac:dyDescent="0.3">
      <c r="A1090" s="21" t="s">
        <v>2979</v>
      </c>
      <c r="B1090" s="21" t="s">
        <v>2980</v>
      </c>
      <c r="C1090" s="23" t="s">
        <v>3519</v>
      </c>
      <c r="D1090" s="21" t="s">
        <v>3517</v>
      </c>
      <c r="E1090" s="24">
        <v>45127</v>
      </c>
      <c r="F1090" s="24">
        <v>45151</v>
      </c>
      <c r="G1090" s="22" t="s">
        <v>14</v>
      </c>
      <c r="H1090" s="25">
        <v>51106</v>
      </c>
      <c r="I1090" s="25">
        <v>682</v>
      </c>
      <c r="J1090" s="26">
        <v>1096.73</v>
      </c>
      <c r="K1090" s="25">
        <v>109</v>
      </c>
      <c r="L1090" s="21" t="s">
        <v>21</v>
      </c>
      <c r="M1090" s="22" t="s">
        <v>3537</v>
      </c>
      <c r="N1090" s="27">
        <f t="shared" ref="N1090:N1153" si="136">F1090-E1090</f>
        <v>24</v>
      </c>
      <c r="O1090" s="28">
        <f t="shared" ref="O1090:O1153" si="137">I1090/H1090</f>
        <v>1.334481274214378E-2</v>
      </c>
      <c r="P1090" s="28">
        <f t="shared" ref="P1090:P1153" si="138">K1090/I1090</f>
        <v>0.15982404692082111</v>
      </c>
      <c r="Q1090" s="26">
        <f t="shared" ref="Q1090:Q1153" si="139">J1090/I1090</f>
        <v>1.608108504398827</v>
      </c>
      <c r="R1090" s="29">
        <f t="shared" ref="R1090:R1153" si="140">IFERROR(J1090/K1090,"0")</f>
        <v>10.061743119266055</v>
      </c>
      <c r="S1090" s="30">
        <f t="shared" ref="S1090:S1153" si="141">MONTH(E1090)</f>
        <v>7</v>
      </c>
      <c r="T1090" s="30">
        <f t="shared" ref="T1090:T1153" si="142">YEAR(E1090)</f>
        <v>2023</v>
      </c>
      <c r="U1090" s="29" t="str">
        <f t="shared" ref="U1090:U1153" si="143">TEXT(E1090,"mmmm")</f>
        <v>July</v>
      </c>
    </row>
    <row r="1091" spans="1:21" ht="17.399999999999999" x14ac:dyDescent="0.3">
      <c r="A1091" s="21" t="s">
        <v>3455</v>
      </c>
      <c r="B1091" s="22" t="s">
        <v>3831</v>
      </c>
      <c r="C1091" s="23" t="s">
        <v>3516</v>
      </c>
      <c r="D1091" s="22" t="s">
        <v>3545</v>
      </c>
      <c r="E1091" s="24">
        <v>45127</v>
      </c>
      <c r="F1091" s="24">
        <v>45146</v>
      </c>
      <c r="G1091" s="22" t="s">
        <v>3535</v>
      </c>
      <c r="H1091" s="25">
        <v>67435</v>
      </c>
      <c r="I1091" s="25">
        <v>3216</v>
      </c>
      <c r="J1091" s="26">
        <v>2147.9699999999998</v>
      </c>
      <c r="K1091" s="25">
        <v>302</v>
      </c>
      <c r="L1091" s="21" t="s">
        <v>21</v>
      </c>
      <c r="M1091" s="22" t="s">
        <v>3535</v>
      </c>
      <c r="N1091" s="27">
        <f t="shared" si="136"/>
        <v>19</v>
      </c>
      <c r="O1091" s="28">
        <f t="shared" si="137"/>
        <v>4.7690368503002893E-2</v>
      </c>
      <c r="P1091" s="28">
        <f t="shared" si="138"/>
        <v>9.3905472636815923E-2</v>
      </c>
      <c r="Q1091" s="26">
        <f t="shared" si="139"/>
        <v>0.66790111940298502</v>
      </c>
      <c r="R1091" s="29">
        <f t="shared" si="140"/>
        <v>7.1124834437086086</v>
      </c>
      <c r="S1091" s="30">
        <f t="shared" si="141"/>
        <v>7</v>
      </c>
      <c r="T1091" s="30">
        <f t="shared" si="142"/>
        <v>2023</v>
      </c>
      <c r="U1091" s="29" t="str">
        <f t="shared" si="143"/>
        <v>July</v>
      </c>
    </row>
    <row r="1092" spans="1:21" ht="17.399999999999999" x14ac:dyDescent="0.3">
      <c r="A1092" s="21" t="s">
        <v>1571</v>
      </c>
      <c r="B1092" s="21" t="s">
        <v>1572</v>
      </c>
      <c r="C1092" s="23" t="s">
        <v>3519</v>
      </c>
      <c r="D1092" s="21" t="s">
        <v>3517</v>
      </c>
      <c r="E1092" s="24">
        <v>45128</v>
      </c>
      <c r="F1092" s="24">
        <v>45138</v>
      </c>
      <c r="G1092" s="22" t="s">
        <v>16</v>
      </c>
      <c r="H1092" s="25">
        <v>56123</v>
      </c>
      <c r="I1092" s="25">
        <v>2415</v>
      </c>
      <c r="J1092" s="26">
        <v>4222.93</v>
      </c>
      <c r="K1092" s="25">
        <v>367</v>
      </c>
      <c r="L1092" s="21" t="s">
        <v>17</v>
      </c>
      <c r="M1092" s="22" t="s">
        <v>16</v>
      </c>
      <c r="N1092" s="27">
        <f t="shared" si="136"/>
        <v>10</v>
      </c>
      <c r="O1092" s="28">
        <f t="shared" si="137"/>
        <v>4.3030486609767833E-2</v>
      </c>
      <c r="P1092" s="28">
        <f t="shared" si="138"/>
        <v>0.15196687370600415</v>
      </c>
      <c r="Q1092" s="26">
        <f t="shared" si="139"/>
        <v>1.748625258799172</v>
      </c>
      <c r="R1092" s="29">
        <f t="shared" si="140"/>
        <v>11.506621253405996</v>
      </c>
      <c r="S1092" s="30">
        <f t="shared" si="141"/>
        <v>7</v>
      </c>
      <c r="T1092" s="30">
        <f t="shared" si="142"/>
        <v>2023</v>
      </c>
      <c r="U1092" s="29" t="str">
        <f t="shared" si="143"/>
        <v>July</v>
      </c>
    </row>
    <row r="1093" spans="1:21" ht="17.399999999999999" x14ac:dyDescent="0.3">
      <c r="A1093" s="21" t="s">
        <v>2069</v>
      </c>
      <c r="B1093" s="21" t="s">
        <v>2070</v>
      </c>
      <c r="C1093" s="23" t="s">
        <v>3519</v>
      </c>
      <c r="D1093" s="21" t="s">
        <v>3520</v>
      </c>
      <c r="E1093" s="24">
        <v>45128</v>
      </c>
      <c r="F1093" s="24">
        <v>45130</v>
      </c>
      <c r="G1093" s="22" t="s">
        <v>14</v>
      </c>
      <c r="H1093" s="25">
        <v>65772</v>
      </c>
      <c r="I1093" s="25">
        <v>1610</v>
      </c>
      <c r="J1093" s="26">
        <v>1120.17</v>
      </c>
      <c r="K1093" s="25">
        <v>295</v>
      </c>
      <c r="L1093" s="21" t="s">
        <v>21</v>
      </c>
      <c r="M1093" s="22" t="s">
        <v>3537</v>
      </c>
      <c r="N1093" s="27">
        <f t="shared" si="136"/>
        <v>2</v>
      </c>
      <c r="O1093" s="28">
        <f t="shared" si="137"/>
        <v>2.4478501489995742E-2</v>
      </c>
      <c r="P1093" s="28">
        <f t="shared" si="138"/>
        <v>0.18322981366459629</v>
      </c>
      <c r="Q1093" s="26">
        <f t="shared" si="139"/>
        <v>0.69575776397515532</v>
      </c>
      <c r="R1093" s="29">
        <f t="shared" si="140"/>
        <v>3.7971864406779665</v>
      </c>
      <c r="S1093" s="30">
        <f t="shared" si="141"/>
        <v>7</v>
      </c>
      <c r="T1093" s="30">
        <f t="shared" si="142"/>
        <v>2023</v>
      </c>
      <c r="U1093" s="29" t="str">
        <f t="shared" si="143"/>
        <v>July</v>
      </c>
    </row>
    <row r="1094" spans="1:21" ht="17.399999999999999" x14ac:dyDescent="0.3">
      <c r="A1094" s="21" t="s">
        <v>3134</v>
      </c>
      <c r="B1094" s="21" t="s">
        <v>3135</v>
      </c>
      <c r="C1094" s="23" t="s">
        <v>3519</v>
      </c>
      <c r="D1094" s="21" t="s">
        <v>3521</v>
      </c>
      <c r="E1094" s="24">
        <v>45128</v>
      </c>
      <c r="F1094" s="24">
        <v>45130</v>
      </c>
      <c r="G1094" s="22" t="s">
        <v>14</v>
      </c>
      <c r="H1094" s="25">
        <v>73595</v>
      </c>
      <c r="I1094" s="25">
        <v>1336</v>
      </c>
      <c r="J1094" s="26">
        <v>1238.3399999999999</v>
      </c>
      <c r="K1094" s="25">
        <v>204</v>
      </c>
      <c r="L1094" s="21" t="s">
        <v>17</v>
      </c>
      <c r="M1094" s="22" t="s">
        <v>3537</v>
      </c>
      <c r="N1094" s="27">
        <f t="shared" si="136"/>
        <v>2</v>
      </c>
      <c r="O1094" s="28">
        <f t="shared" si="137"/>
        <v>1.8153407160812554E-2</v>
      </c>
      <c r="P1094" s="28">
        <f t="shared" si="138"/>
        <v>0.15269461077844312</v>
      </c>
      <c r="Q1094" s="26">
        <f t="shared" si="139"/>
        <v>0.92690119760479039</v>
      </c>
      <c r="R1094" s="29">
        <f t="shared" si="140"/>
        <v>6.0702941176470588</v>
      </c>
      <c r="S1094" s="30">
        <f t="shared" si="141"/>
        <v>7</v>
      </c>
      <c r="T1094" s="30">
        <f t="shared" si="142"/>
        <v>2023</v>
      </c>
      <c r="U1094" s="29" t="str">
        <f t="shared" si="143"/>
        <v>July</v>
      </c>
    </row>
    <row r="1095" spans="1:21" ht="17.399999999999999" x14ac:dyDescent="0.3">
      <c r="A1095" s="21" t="s">
        <v>1354</v>
      </c>
      <c r="B1095" s="22" t="s">
        <v>3832</v>
      </c>
      <c r="C1095" s="23" t="s">
        <v>3515</v>
      </c>
      <c r="D1095" s="22" t="s">
        <v>3545</v>
      </c>
      <c r="E1095" s="24">
        <v>45128</v>
      </c>
      <c r="F1095" s="24">
        <v>45153</v>
      </c>
      <c r="G1095" s="22" t="s">
        <v>24</v>
      </c>
      <c r="H1095" s="25">
        <v>39088</v>
      </c>
      <c r="I1095" s="25">
        <v>832</v>
      </c>
      <c r="J1095" s="26">
        <v>1229.99</v>
      </c>
      <c r="K1095" s="25">
        <v>64</v>
      </c>
      <c r="L1095" s="21" t="s">
        <v>21</v>
      </c>
      <c r="M1095" s="22" t="s">
        <v>3536</v>
      </c>
      <c r="N1095" s="27">
        <f t="shared" si="136"/>
        <v>25</v>
      </c>
      <c r="O1095" s="28">
        <f t="shared" si="137"/>
        <v>2.1285304952926729E-2</v>
      </c>
      <c r="P1095" s="28">
        <f t="shared" si="138"/>
        <v>7.6923076923076927E-2</v>
      </c>
      <c r="Q1095" s="26">
        <f t="shared" si="139"/>
        <v>1.4783533653846155</v>
      </c>
      <c r="R1095" s="29">
        <f t="shared" si="140"/>
        <v>19.21859375</v>
      </c>
      <c r="S1095" s="30">
        <f t="shared" si="141"/>
        <v>7</v>
      </c>
      <c r="T1095" s="30">
        <f t="shared" si="142"/>
        <v>2023</v>
      </c>
      <c r="U1095" s="29" t="str">
        <f t="shared" si="143"/>
        <v>July</v>
      </c>
    </row>
    <row r="1096" spans="1:21" ht="17.399999999999999" x14ac:dyDescent="0.3">
      <c r="A1096" s="21" t="s">
        <v>1906</v>
      </c>
      <c r="B1096" s="21" t="s">
        <v>1907</v>
      </c>
      <c r="C1096" s="23" t="s">
        <v>3515</v>
      </c>
      <c r="D1096" s="21" t="s">
        <v>3517</v>
      </c>
      <c r="E1096" s="24">
        <v>45128</v>
      </c>
      <c r="F1096" s="24">
        <v>45135</v>
      </c>
      <c r="G1096" s="22" t="s">
        <v>14</v>
      </c>
      <c r="H1096" s="25">
        <v>84524</v>
      </c>
      <c r="I1096" s="25">
        <v>2149</v>
      </c>
      <c r="J1096" s="26">
        <v>3513.91</v>
      </c>
      <c r="K1096" s="25">
        <v>284</v>
      </c>
      <c r="L1096" s="21" t="s">
        <v>21</v>
      </c>
      <c r="M1096" s="22" t="s">
        <v>3537</v>
      </c>
      <c r="N1096" s="27">
        <f t="shared" si="136"/>
        <v>7</v>
      </c>
      <c r="O1096" s="28">
        <f t="shared" si="137"/>
        <v>2.5424731437224929E-2</v>
      </c>
      <c r="P1096" s="28">
        <f t="shared" si="138"/>
        <v>0.1321544904606794</v>
      </c>
      <c r="Q1096" s="26">
        <f t="shared" si="139"/>
        <v>1.6351372731503024</v>
      </c>
      <c r="R1096" s="29">
        <f t="shared" si="140"/>
        <v>12.372922535211266</v>
      </c>
      <c r="S1096" s="30">
        <f t="shared" si="141"/>
        <v>7</v>
      </c>
      <c r="T1096" s="30">
        <f t="shared" si="142"/>
        <v>2023</v>
      </c>
      <c r="U1096" s="29" t="str">
        <f t="shared" si="143"/>
        <v>July</v>
      </c>
    </row>
    <row r="1097" spans="1:21" ht="17.399999999999999" x14ac:dyDescent="0.3">
      <c r="A1097" s="21" t="s">
        <v>810</v>
      </c>
      <c r="B1097" s="22" t="s">
        <v>3833</v>
      </c>
      <c r="C1097" s="23" t="s">
        <v>3519</v>
      </c>
      <c r="D1097" s="22" t="s">
        <v>3545</v>
      </c>
      <c r="E1097" s="24">
        <v>45129</v>
      </c>
      <c r="F1097" s="24">
        <v>45139</v>
      </c>
      <c r="G1097" s="22" t="s">
        <v>16</v>
      </c>
      <c r="H1097" s="25">
        <v>74523</v>
      </c>
      <c r="I1097" s="25">
        <v>3156</v>
      </c>
      <c r="J1097" s="26">
        <v>5710.87</v>
      </c>
      <c r="K1097" s="25">
        <v>374</v>
      </c>
      <c r="L1097" s="21" t="s">
        <v>17</v>
      </c>
      <c r="M1097" s="22" t="s">
        <v>16</v>
      </c>
      <c r="N1097" s="27">
        <f t="shared" si="136"/>
        <v>10</v>
      </c>
      <c r="O1097" s="28">
        <f t="shared" si="137"/>
        <v>4.2349341813936639E-2</v>
      </c>
      <c r="P1097" s="28">
        <f t="shared" si="138"/>
        <v>0.1185044359949303</v>
      </c>
      <c r="Q1097" s="26">
        <f t="shared" si="139"/>
        <v>1.8095278833967046</v>
      </c>
      <c r="R1097" s="29">
        <f t="shared" si="140"/>
        <v>15.269705882352941</v>
      </c>
      <c r="S1097" s="30">
        <f t="shared" si="141"/>
        <v>7</v>
      </c>
      <c r="T1097" s="30">
        <f t="shared" si="142"/>
        <v>2023</v>
      </c>
      <c r="U1097" s="29" t="str">
        <f t="shared" si="143"/>
        <v>July</v>
      </c>
    </row>
    <row r="1098" spans="1:21" ht="17.399999999999999" x14ac:dyDescent="0.3">
      <c r="A1098" s="21" t="s">
        <v>2896</v>
      </c>
      <c r="B1098" s="21" t="s">
        <v>2897</v>
      </c>
      <c r="C1098" s="23" t="s">
        <v>3519</v>
      </c>
      <c r="D1098" s="21" t="s">
        <v>3517</v>
      </c>
      <c r="E1098" s="24">
        <v>45129</v>
      </c>
      <c r="F1098" s="24">
        <v>45156</v>
      </c>
      <c r="G1098" s="22" t="s">
        <v>31</v>
      </c>
      <c r="H1098" s="25">
        <v>41042</v>
      </c>
      <c r="I1098" s="25">
        <v>1242</v>
      </c>
      <c r="J1098" s="26">
        <v>2413.4</v>
      </c>
      <c r="K1098" s="25">
        <v>169</v>
      </c>
      <c r="L1098" s="21" t="s">
        <v>21</v>
      </c>
      <c r="M1098" s="22" t="s">
        <v>31</v>
      </c>
      <c r="N1098" s="27">
        <f t="shared" si="136"/>
        <v>27</v>
      </c>
      <c r="O1098" s="28">
        <f t="shared" si="137"/>
        <v>3.0261683153842405E-2</v>
      </c>
      <c r="P1098" s="28">
        <f t="shared" si="138"/>
        <v>0.1360708534621578</v>
      </c>
      <c r="Q1098" s="26">
        <f t="shared" si="139"/>
        <v>1.943156199677939</v>
      </c>
      <c r="R1098" s="29">
        <f t="shared" si="140"/>
        <v>14.280473372781065</v>
      </c>
      <c r="S1098" s="30">
        <f t="shared" si="141"/>
        <v>7</v>
      </c>
      <c r="T1098" s="30">
        <f t="shared" si="142"/>
        <v>2023</v>
      </c>
      <c r="U1098" s="29" t="str">
        <f t="shared" si="143"/>
        <v>July</v>
      </c>
    </row>
    <row r="1099" spans="1:21" ht="17.399999999999999" x14ac:dyDescent="0.3">
      <c r="A1099" s="21" t="s">
        <v>3149</v>
      </c>
      <c r="B1099" s="21" t="s">
        <v>3150</v>
      </c>
      <c r="C1099" s="23" t="s">
        <v>3519</v>
      </c>
      <c r="D1099" s="21" t="s">
        <v>3520</v>
      </c>
      <c r="E1099" s="24">
        <v>45129</v>
      </c>
      <c r="F1099" s="24">
        <v>45143</v>
      </c>
      <c r="G1099" s="22" t="s">
        <v>3535</v>
      </c>
      <c r="H1099" s="25">
        <v>10077</v>
      </c>
      <c r="I1099" s="25">
        <v>131</v>
      </c>
      <c r="J1099" s="26">
        <v>84.29</v>
      </c>
      <c r="K1099" s="25">
        <v>21</v>
      </c>
      <c r="L1099" s="21" t="s">
        <v>17</v>
      </c>
      <c r="M1099" s="22" t="s">
        <v>3535</v>
      </c>
      <c r="N1099" s="27">
        <f t="shared" si="136"/>
        <v>14</v>
      </c>
      <c r="O1099" s="28">
        <f t="shared" si="137"/>
        <v>1.2999900764116305E-2</v>
      </c>
      <c r="P1099" s="28">
        <f t="shared" si="138"/>
        <v>0.16030534351145037</v>
      </c>
      <c r="Q1099" s="26">
        <f t="shared" si="139"/>
        <v>0.64343511450381685</v>
      </c>
      <c r="R1099" s="29">
        <f t="shared" si="140"/>
        <v>4.0138095238095239</v>
      </c>
      <c r="S1099" s="30">
        <f t="shared" si="141"/>
        <v>7</v>
      </c>
      <c r="T1099" s="30">
        <f t="shared" si="142"/>
        <v>2023</v>
      </c>
      <c r="U1099" s="29" t="str">
        <f t="shared" si="143"/>
        <v>July</v>
      </c>
    </row>
    <row r="1100" spans="1:21" ht="17.399999999999999" x14ac:dyDescent="0.3">
      <c r="A1100" s="21" t="s">
        <v>2003</v>
      </c>
      <c r="B1100" s="21" t="s">
        <v>2004</v>
      </c>
      <c r="C1100" s="23" t="s">
        <v>3516</v>
      </c>
      <c r="D1100" s="21" t="s">
        <v>3517</v>
      </c>
      <c r="E1100" s="24">
        <v>45129</v>
      </c>
      <c r="F1100" s="24">
        <v>45157</v>
      </c>
      <c r="G1100" s="22" t="s">
        <v>14</v>
      </c>
      <c r="H1100" s="25">
        <v>84122</v>
      </c>
      <c r="I1100" s="25">
        <v>3473</v>
      </c>
      <c r="J1100" s="26">
        <v>5256.88</v>
      </c>
      <c r="K1100" s="25">
        <v>685</v>
      </c>
      <c r="L1100" s="21" t="s">
        <v>21</v>
      </c>
      <c r="M1100" s="22" t="s">
        <v>3537</v>
      </c>
      <c r="N1100" s="27">
        <f t="shared" si="136"/>
        <v>28</v>
      </c>
      <c r="O1100" s="28">
        <f t="shared" si="137"/>
        <v>4.128527614654906E-2</v>
      </c>
      <c r="P1100" s="28">
        <f t="shared" si="138"/>
        <v>0.19723581917650446</v>
      </c>
      <c r="Q1100" s="26">
        <f t="shared" si="139"/>
        <v>1.5136423841059603</v>
      </c>
      <c r="R1100" s="29">
        <f t="shared" si="140"/>
        <v>7.6742773722627735</v>
      </c>
      <c r="S1100" s="30">
        <f t="shared" si="141"/>
        <v>7</v>
      </c>
      <c r="T1100" s="30">
        <f t="shared" si="142"/>
        <v>2023</v>
      </c>
      <c r="U1100" s="29" t="str">
        <f t="shared" si="143"/>
        <v>July</v>
      </c>
    </row>
    <row r="1101" spans="1:21" ht="17.399999999999999" x14ac:dyDescent="0.3">
      <c r="A1101" s="21" t="s">
        <v>837</v>
      </c>
      <c r="B1101" s="21" t="s">
        <v>838</v>
      </c>
      <c r="C1101" s="23" t="s">
        <v>3515</v>
      </c>
      <c r="D1101" s="21" t="s">
        <v>3520</v>
      </c>
      <c r="E1101" s="24">
        <v>45129</v>
      </c>
      <c r="F1101" s="24">
        <v>45139</v>
      </c>
      <c r="G1101" s="22" t="s">
        <v>31</v>
      </c>
      <c r="H1101" s="25">
        <v>52990</v>
      </c>
      <c r="I1101" s="25">
        <v>2624</v>
      </c>
      <c r="J1101" s="26">
        <v>4837.47</v>
      </c>
      <c r="K1101" s="25">
        <v>398</v>
      </c>
      <c r="L1101" s="21" t="s">
        <v>21</v>
      </c>
      <c r="M1101" s="22" t="s">
        <v>31</v>
      </c>
      <c r="N1101" s="27">
        <f t="shared" si="136"/>
        <v>10</v>
      </c>
      <c r="O1101" s="28">
        <f t="shared" si="137"/>
        <v>4.9518777127759955E-2</v>
      </c>
      <c r="P1101" s="28">
        <f t="shared" si="138"/>
        <v>0.15167682926829268</v>
      </c>
      <c r="Q1101" s="26">
        <f t="shared" si="139"/>
        <v>1.8435480182926831</v>
      </c>
      <c r="R1101" s="29">
        <f t="shared" si="140"/>
        <v>12.154447236180905</v>
      </c>
      <c r="S1101" s="30">
        <f t="shared" si="141"/>
        <v>7</v>
      </c>
      <c r="T1101" s="30">
        <f t="shared" si="142"/>
        <v>2023</v>
      </c>
      <c r="U1101" s="29" t="str">
        <f t="shared" si="143"/>
        <v>July</v>
      </c>
    </row>
    <row r="1102" spans="1:21" ht="17.399999999999999" x14ac:dyDescent="0.3">
      <c r="A1102" s="21" t="s">
        <v>1557</v>
      </c>
      <c r="B1102" s="22" t="s">
        <v>3834</v>
      </c>
      <c r="C1102" s="23" t="s">
        <v>3515</v>
      </c>
      <c r="D1102" s="22" t="s">
        <v>3545</v>
      </c>
      <c r="E1102" s="24">
        <v>45129</v>
      </c>
      <c r="F1102" s="24">
        <v>45142</v>
      </c>
      <c r="G1102" s="22" t="s">
        <v>16</v>
      </c>
      <c r="H1102" s="25">
        <v>71390</v>
      </c>
      <c r="I1102" s="25">
        <v>2081</v>
      </c>
      <c r="J1102" s="26">
        <v>1746.06</v>
      </c>
      <c r="K1102" s="25">
        <v>383</v>
      </c>
      <c r="L1102" s="21" t="s">
        <v>21</v>
      </c>
      <c r="M1102" s="22" t="s">
        <v>16</v>
      </c>
      <c r="N1102" s="27">
        <f t="shared" si="136"/>
        <v>13</v>
      </c>
      <c r="O1102" s="28">
        <f t="shared" si="137"/>
        <v>2.9149740860064433E-2</v>
      </c>
      <c r="P1102" s="28">
        <f t="shared" si="138"/>
        <v>0.18404613166746756</v>
      </c>
      <c r="Q1102" s="26">
        <f t="shared" si="139"/>
        <v>0.83904853435848148</v>
      </c>
      <c r="R1102" s="29">
        <f t="shared" si="140"/>
        <v>4.5589033942558741</v>
      </c>
      <c r="S1102" s="30">
        <f t="shared" si="141"/>
        <v>7</v>
      </c>
      <c r="T1102" s="30">
        <f t="shared" si="142"/>
        <v>2023</v>
      </c>
      <c r="U1102" s="29" t="str">
        <f t="shared" si="143"/>
        <v>July</v>
      </c>
    </row>
    <row r="1103" spans="1:21" ht="17.399999999999999" x14ac:dyDescent="0.3">
      <c r="A1103" s="21" t="s">
        <v>1945</v>
      </c>
      <c r="B1103" s="22" t="s">
        <v>3835</v>
      </c>
      <c r="C1103" s="23" t="s">
        <v>3515</v>
      </c>
      <c r="D1103" s="22" t="s">
        <v>3545</v>
      </c>
      <c r="E1103" s="24">
        <v>45129</v>
      </c>
      <c r="F1103" s="24">
        <v>45132</v>
      </c>
      <c r="G1103" s="22" t="s">
        <v>16</v>
      </c>
      <c r="H1103" s="25">
        <v>24930</v>
      </c>
      <c r="I1103" s="25">
        <v>378</v>
      </c>
      <c r="J1103" s="26">
        <v>254.07</v>
      </c>
      <c r="K1103" s="25">
        <v>24</v>
      </c>
      <c r="L1103" s="21" t="s">
        <v>21</v>
      </c>
      <c r="M1103" s="22" t="s">
        <v>16</v>
      </c>
      <c r="N1103" s="27">
        <f t="shared" si="136"/>
        <v>3</v>
      </c>
      <c r="O1103" s="28">
        <f t="shared" si="137"/>
        <v>1.516245487364621E-2</v>
      </c>
      <c r="P1103" s="28">
        <f t="shared" si="138"/>
        <v>6.3492063492063489E-2</v>
      </c>
      <c r="Q1103" s="26">
        <f t="shared" si="139"/>
        <v>0.67214285714285715</v>
      </c>
      <c r="R1103" s="29">
        <f t="shared" si="140"/>
        <v>10.58625</v>
      </c>
      <c r="S1103" s="30">
        <f t="shared" si="141"/>
        <v>7</v>
      </c>
      <c r="T1103" s="30">
        <f t="shared" si="142"/>
        <v>2023</v>
      </c>
      <c r="U1103" s="29" t="str">
        <f t="shared" si="143"/>
        <v>July</v>
      </c>
    </row>
    <row r="1104" spans="1:21" ht="17.399999999999999" x14ac:dyDescent="0.3">
      <c r="A1104" s="21" t="s">
        <v>1516</v>
      </c>
      <c r="B1104" s="21" t="s">
        <v>1517</v>
      </c>
      <c r="C1104" s="23" t="s">
        <v>3519</v>
      </c>
      <c r="D1104" s="21" t="s">
        <v>3517</v>
      </c>
      <c r="E1104" s="24">
        <v>45130</v>
      </c>
      <c r="F1104" s="24">
        <v>45159</v>
      </c>
      <c r="G1104" s="22" t="s">
        <v>3535</v>
      </c>
      <c r="H1104" s="25">
        <v>40764</v>
      </c>
      <c r="I1104" s="25">
        <v>962</v>
      </c>
      <c r="J1104" s="26">
        <v>942.8</v>
      </c>
      <c r="K1104" s="25">
        <v>130</v>
      </c>
      <c r="L1104" s="21" t="s">
        <v>21</v>
      </c>
      <c r="M1104" s="22" t="s">
        <v>3535</v>
      </c>
      <c r="N1104" s="27">
        <f t="shared" si="136"/>
        <v>29</v>
      </c>
      <c r="O1104" s="28">
        <f t="shared" si="137"/>
        <v>2.3599254243940732E-2</v>
      </c>
      <c r="P1104" s="28">
        <f t="shared" si="138"/>
        <v>0.13513513513513514</v>
      </c>
      <c r="Q1104" s="26">
        <f t="shared" si="139"/>
        <v>0.98004158004158004</v>
      </c>
      <c r="R1104" s="29">
        <f t="shared" si="140"/>
        <v>7.2523076923076921</v>
      </c>
      <c r="S1104" s="30">
        <f t="shared" si="141"/>
        <v>7</v>
      </c>
      <c r="T1104" s="30">
        <f t="shared" si="142"/>
        <v>2023</v>
      </c>
      <c r="U1104" s="29" t="str">
        <f t="shared" si="143"/>
        <v>July</v>
      </c>
    </row>
    <row r="1105" spans="1:21" ht="17.399999999999999" x14ac:dyDescent="0.3">
      <c r="A1105" s="21" t="s">
        <v>2908</v>
      </c>
      <c r="B1105" s="21" t="s">
        <v>2909</v>
      </c>
      <c r="C1105" s="23" t="s">
        <v>3518</v>
      </c>
      <c r="D1105" s="21" t="s">
        <v>3521</v>
      </c>
      <c r="E1105" s="24">
        <v>45130</v>
      </c>
      <c r="F1105" s="24">
        <v>45136</v>
      </c>
      <c r="G1105" s="22" t="s">
        <v>31</v>
      </c>
      <c r="H1105" s="25">
        <v>74781</v>
      </c>
      <c r="I1105" s="25">
        <v>3270</v>
      </c>
      <c r="J1105" s="26">
        <v>1743.33</v>
      </c>
      <c r="K1105" s="25">
        <v>493</v>
      </c>
      <c r="L1105" s="21" t="s">
        <v>17</v>
      </c>
      <c r="M1105" s="22" t="s">
        <v>31</v>
      </c>
      <c r="N1105" s="27">
        <f t="shared" si="136"/>
        <v>6</v>
      </c>
      <c r="O1105" s="28">
        <f t="shared" si="137"/>
        <v>4.3727684839732016E-2</v>
      </c>
      <c r="P1105" s="28">
        <f t="shared" si="138"/>
        <v>0.15076452599388379</v>
      </c>
      <c r="Q1105" s="26">
        <f t="shared" si="139"/>
        <v>0.53312844036697249</v>
      </c>
      <c r="R1105" s="29">
        <f t="shared" si="140"/>
        <v>3.5361663286004057</v>
      </c>
      <c r="S1105" s="30">
        <f t="shared" si="141"/>
        <v>7</v>
      </c>
      <c r="T1105" s="30">
        <f t="shared" si="142"/>
        <v>2023</v>
      </c>
      <c r="U1105" s="29" t="str">
        <f t="shared" si="143"/>
        <v>July</v>
      </c>
    </row>
    <row r="1106" spans="1:21" ht="17.399999999999999" x14ac:dyDescent="0.3">
      <c r="A1106" s="21" t="s">
        <v>3098</v>
      </c>
      <c r="B1106" s="21" t="s">
        <v>3099</v>
      </c>
      <c r="C1106" s="23" t="s">
        <v>3518</v>
      </c>
      <c r="D1106" s="21" t="s">
        <v>3521</v>
      </c>
      <c r="E1106" s="24">
        <v>45130</v>
      </c>
      <c r="F1106" s="24">
        <v>45138</v>
      </c>
      <c r="G1106" s="22" t="s">
        <v>14</v>
      </c>
      <c r="H1106" s="25">
        <v>67672</v>
      </c>
      <c r="I1106" s="25">
        <v>3211</v>
      </c>
      <c r="J1106" s="26">
        <v>3851.21</v>
      </c>
      <c r="K1106" s="25">
        <v>178</v>
      </c>
      <c r="L1106" s="21" t="s">
        <v>21</v>
      </c>
      <c r="M1106" s="22" t="s">
        <v>3537</v>
      </c>
      <c r="N1106" s="27">
        <f t="shared" si="136"/>
        <v>8</v>
      </c>
      <c r="O1106" s="28">
        <f t="shared" si="137"/>
        <v>4.7449462111360682E-2</v>
      </c>
      <c r="P1106" s="28">
        <f t="shared" si="138"/>
        <v>5.5434444098411709E-2</v>
      </c>
      <c r="Q1106" s="26">
        <f t="shared" si="139"/>
        <v>1.1993802553721582</v>
      </c>
      <c r="R1106" s="29">
        <f t="shared" si="140"/>
        <v>21.636011235955056</v>
      </c>
      <c r="S1106" s="30">
        <f t="shared" si="141"/>
        <v>7</v>
      </c>
      <c r="T1106" s="30">
        <f t="shared" si="142"/>
        <v>2023</v>
      </c>
      <c r="U1106" s="29" t="str">
        <f t="shared" si="143"/>
        <v>July</v>
      </c>
    </row>
    <row r="1107" spans="1:21" ht="17.399999999999999" x14ac:dyDescent="0.3">
      <c r="A1107" s="21" t="s">
        <v>1269</v>
      </c>
      <c r="B1107" s="21" t="s">
        <v>1270</v>
      </c>
      <c r="C1107" s="23" t="s">
        <v>3516</v>
      </c>
      <c r="D1107" s="21" t="s">
        <v>3520</v>
      </c>
      <c r="E1107" s="24">
        <v>45130</v>
      </c>
      <c r="F1107" s="24">
        <v>45157</v>
      </c>
      <c r="G1107" s="22" t="s">
        <v>31</v>
      </c>
      <c r="H1107" s="25">
        <v>81219</v>
      </c>
      <c r="I1107" s="25">
        <v>3954</v>
      </c>
      <c r="J1107" s="26">
        <v>4969.8999999999996</v>
      </c>
      <c r="K1107" s="25">
        <v>360</v>
      </c>
      <c r="L1107" s="21" t="s">
        <v>21</v>
      </c>
      <c r="M1107" s="22" t="s">
        <v>31</v>
      </c>
      <c r="N1107" s="27">
        <f t="shared" si="136"/>
        <v>27</v>
      </c>
      <c r="O1107" s="28">
        <f t="shared" si="137"/>
        <v>4.8683189893990321E-2</v>
      </c>
      <c r="P1107" s="28">
        <f t="shared" si="138"/>
        <v>9.1047040971168433E-2</v>
      </c>
      <c r="Q1107" s="26">
        <f t="shared" si="139"/>
        <v>1.2569296914516943</v>
      </c>
      <c r="R1107" s="29">
        <f t="shared" si="140"/>
        <v>13.805277777777777</v>
      </c>
      <c r="S1107" s="30">
        <f t="shared" si="141"/>
        <v>7</v>
      </c>
      <c r="T1107" s="30">
        <f t="shared" si="142"/>
        <v>2023</v>
      </c>
      <c r="U1107" s="29" t="str">
        <f t="shared" si="143"/>
        <v>July</v>
      </c>
    </row>
    <row r="1108" spans="1:21" ht="17.399999999999999" x14ac:dyDescent="0.3">
      <c r="A1108" s="21" t="s">
        <v>1472</v>
      </c>
      <c r="B1108" s="21" t="s">
        <v>1473</v>
      </c>
      <c r="C1108" s="23" t="s">
        <v>3516</v>
      </c>
      <c r="D1108" s="21" t="s">
        <v>3520</v>
      </c>
      <c r="E1108" s="24">
        <v>45130</v>
      </c>
      <c r="F1108" s="24">
        <v>45150</v>
      </c>
      <c r="G1108" s="22" t="s">
        <v>14</v>
      </c>
      <c r="H1108" s="25">
        <v>46543</v>
      </c>
      <c r="I1108" s="25">
        <v>627</v>
      </c>
      <c r="J1108" s="26">
        <v>834.87</v>
      </c>
      <c r="K1108" s="25">
        <v>78</v>
      </c>
      <c r="L1108" s="21" t="s">
        <v>21</v>
      </c>
      <c r="M1108" s="22" t="s">
        <v>3537</v>
      </c>
      <c r="N1108" s="27">
        <f t="shared" si="136"/>
        <v>20</v>
      </c>
      <c r="O1108" s="28">
        <f t="shared" si="137"/>
        <v>1.3471413531572954E-2</v>
      </c>
      <c r="P1108" s="28">
        <f t="shared" si="138"/>
        <v>0.12440191387559808</v>
      </c>
      <c r="Q1108" s="26">
        <f t="shared" si="139"/>
        <v>1.3315311004784689</v>
      </c>
      <c r="R1108" s="29">
        <f t="shared" si="140"/>
        <v>10.703461538461539</v>
      </c>
      <c r="S1108" s="30">
        <f t="shared" si="141"/>
        <v>7</v>
      </c>
      <c r="T1108" s="30">
        <f t="shared" si="142"/>
        <v>2023</v>
      </c>
      <c r="U1108" s="29" t="str">
        <f t="shared" si="143"/>
        <v>July</v>
      </c>
    </row>
    <row r="1109" spans="1:21" ht="17.399999999999999" x14ac:dyDescent="0.3">
      <c r="A1109" s="21" t="s">
        <v>2081</v>
      </c>
      <c r="B1109" s="21" t="s">
        <v>2082</v>
      </c>
      <c r="C1109" s="23" t="s">
        <v>3516</v>
      </c>
      <c r="D1109" s="21" t="s">
        <v>3521</v>
      </c>
      <c r="E1109" s="24">
        <v>45130</v>
      </c>
      <c r="F1109" s="24">
        <v>45156</v>
      </c>
      <c r="G1109" s="22" t="s">
        <v>14</v>
      </c>
      <c r="H1109" s="25">
        <v>76683</v>
      </c>
      <c r="I1109" s="25">
        <v>3240</v>
      </c>
      <c r="J1109" s="26">
        <v>3170.56</v>
      </c>
      <c r="K1109" s="25">
        <v>570</v>
      </c>
      <c r="L1109" s="21" t="s">
        <v>21</v>
      </c>
      <c r="M1109" s="22" t="s">
        <v>3537</v>
      </c>
      <c r="N1109" s="27">
        <f t="shared" si="136"/>
        <v>26</v>
      </c>
      <c r="O1109" s="28">
        <f t="shared" si="137"/>
        <v>4.2251868080278553E-2</v>
      </c>
      <c r="P1109" s="28">
        <f t="shared" si="138"/>
        <v>0.17592592592592593</v>
      </c>
      <c r="Q1109" s="26">
        <f t="shared" si="139"/>
        <v>0.97856790123456794</v>
      </c>
      <c r="R1109" s="29">
        <f t="shared" si="140"/>
        <v>5.5623859649122807</v>
      </c>
      <c r="S1109" s="30">
        <f t="shared" si="141"/>
        <v>7</v>
      </c>
      <c r="T1109" s="30">
        <f t="shared" si="142"/>
        <v>2023</v>
      </c>
      <c r="U1109" s="29" t="str">
        <f t="shared" si="143"/>
        <v>July</v>
      </c>
    </row>
    <row r="1110" spans="1:21" ht="17.399999999999999" x14ac:dyDescent="0.3">
      <c r="A1110" s="21" t="s">
        <v>2195</v>
      </c>
      <c r="B1110" s="21" t="s">
        <v>2196</v>
      </c>
      <c r="C1110" s="23" t="s">
        <v>3516</v>
      </c>
      <c r="D1110" s="21" t="s">
        <v>3521</v>
      </c>
      <c r="E1110" s="24">
        <v>45130</v>
      </c>
      <c r="F1110" s="24">
        <v>45144</v>
      </c>
      <c r="G1110" s="22" t="s">
        <v>24</v>
      </c>
      <c r="H1110" s="25">
        <v>37368</v>
      </c>
      <c r="I1110" s="25">
        <v>810</v>
      </c>
      <c r="J1110" s="26">
        <v>434.91</v>
      </c>
      <c r="K1110" s="25">
        <v>81</v>
      </c>
      <c r="L1110" s="21" t="s">
        <v>17</v>
      </c>
      <c r="M1110" s="22" t="s">
        <v>3536</v>
      </c>
      <c r="N1110" s="27">
        <f t="shared" si="136"/>
        <v>14</v>
      </c>
      <c r="O1110" s="28">
        <f t="shared" si="137"/>
        <v>2.1676300578034682E-2</v>
      </c>
      <c r="P1110" s="28">
        <f t="shared" si="138"/>
        <v>0.1</v>
      </c>
      <c r="Q1110" s="26">
        <f t="shared" si="139"/>
        <v>0.53692592592592592</v>
      </c>
      <c r="R1110" s="29">
        <f t="shared" si="140"/>
        <v>5.3692592592592598</v>
      </c>
      <c r="S1110" s="30">
        <f t="shared" si="141"/>
        <v>7</v>
      </c>
      <c r="T1110" s="30">
        <f t="shared" si="142"/>
        <v>2023</v>
      </c>
      <c r="U1110" s="29" t="str">
        <f t="shared" si="143"/>
        <v>July</v>
      </c>
    </row>
    <row r="1111" spans="1:21" ht="17.399999999999999" x14ac:dyDescent="0.3">
      <c r="A1111" s="21" t="s">
        <v>1422</v>
      </c>
      <c r="B1111" s="21" t="s">
        <v>1423</v>
      </c>
      <c r="C1111" s="23" t="s">
        <v>3515</v>
      </c>
      <c r="D1111" s="21" t="s">
        <v>3517</v>
      </c>
      <c r="E1111" s="24">
        <v>45130</v>
      </c>
      <c r="F1111" s="24">
        <v>45140</v>
      </c>
      <c r="G1111" s="22" t="s">
        <v>24</v>
      </c>
      <c r="H1111" s="25">
        <v>9702</v>
      </c>
      <c r="I1111" s="25">
        <v>480</v>
      </c>
      <c r="J1111" s="26">
        <v>955.98</v>
      </c>
      <c r="K1111" s="25">
        <v>51</v>
      </c>
      <c r="L1111" s="21" t="s">
        <v>17</v>
      </c>
      <c r="M1111" s="22" t="s">
        <v>3536</v>
      </c>
      <c r="N1111" s="27">
        <f t="shared" si="136"/>
        <v>10</v>
      </c>
      <c r="O1111" s="28">
        <f t="shared" si="137"/>
        <v>4.9474335188620905E-2</v>
      </c>
      <c r="P1111" s="28">
        <f t="shared" si="138"/>
        <v>0.10625</v>
      </c>
      <c r="Q1111" s="26">
        <f t="shared" si="139"/>
        <v>1.991625</v>
      </c>
      <c r="R1111" s="29">
        <f t="shared" si="140"/>
        <v>18.744705882352942</v>
      </c>
      <c r="S1111" s="30">
        <f t="shared" si="141"/>
        <v>7</v>
      </c>
      <c r="T1111" s="30">
        <f t="shared" si="142"/>
        <v>2023</v>
      </c>
      <c r="U1111" s="29" t="str">
        <f t="shared" si="143"/>
        <v>July</v>
      </c>
    </row>
    <row r="1112" spans="1:21" ht="17.399999999999999" x14ac:dyDescent="0.3">
      <c r="A1112" s="21" t="s">
        <v>244</v>
      </c>
      <c r="B1112" s="21" t="s">
        <v>245</v>
      </c>
      <c r="C1112" s="23" t="s">
        <v>3519</v>
      </c>
      <c r="D1112" s="21" t="s">
        <v>3517</v>
      </c>
      <c r="E1112" s="24">
        <v>45131</v>
      </c>
      <c r="F1112" s="24">
        <v>45148</v>
      </c>
      <c r="G1112" s="22" t="s">
        <v>14</v>
      </c>
      <c r="H1112" s="25">
        <v>9110</v>
      </c>
      <c r="I1112" s="25">
        <v>334</v>
      </c>
      <c r="J1112" s="26">
        <v>444.9</v>
      </c>
      <c r="K1112" s="25">
        <v>38</v>
      </c>
      <c r="L1112" s="21" t="s">
        <v>21</v>
      </c>
      <c r="M1112" s="22" t="s">
        <v>3537</v>
      </c>
      <c r="N1112" s="27">
        <f t="shared" si="136"/>
        <v>17</v>
      </c>
      <c r="O1112" s="28">
        <f t="shared" si="137"/>
        <v>3.6663007683863887E-2</v>
      </c>
      <c r="P1112" s="28">
        <f t="shared" si="138"/>
        <v>0.11377245508982035</v>
      </c>
      <c r="Q1112" s="26">
        <f t="shared" si="139"/>
        <v>1.3320359281437124</v>
      </c>
      <c r="R1112" s="29">
        <f t="shared" si="140"/>
        <v>11.707894736842105</v>
      </c>
      <c r="S1112" s="30">
        <f t="shared" si="141"/>
        <v>7</v>
      </c>
      <c r="T1112" s="30">
        <f t="shared" si="142"/>
        <v>2023</v>
      </c>
      <c r="U1112" s="29" t="str">
        <f t="shared" si="143"/>
        <v>July</v>
      </c>
    </row>
    <row r="1113" spans="1:21" ht="17.399999999999999" x14ac:dyDescent="0.3">
      <c r="A1113" s="21" t="s">
        <v>1019</v>
      </c>
      <c r="B1113" s="21" t="s">
        <v>1020</v>
      </c>
      <c r="C1113" s="23" t="s">
        <v>3519</v>
      </c>
      <c r="D1113" s="21" t="s">
        <v>3521</v>
      </c>
      <c r="E1113" s="24">
        <v>45131</v>
      </c>
      <c r="F1113" s="24">
        <v>45132</v>
      </c>
      <c r="G1113" s="22" t="s">
        <v>3535</v>
      </c>
      <c r="H1113" s="25">
        <v>4267</v>
      </c>
      <c r="I1113" s="25">
        <v>169</v>
      </c>
      <c r="J1113" s="26">
        <v>197.03</v>
      </c>
      <c r="K1113" s="25">
        <v>13</v>
      </c>
      <c r="L1113" s="21" t="s">
        <v>21</v>
      </c>
      <c r="M1113" s="22" t="s">
        <v>3535</v>
      </c>
      <c r="N1113" s="27">
        <f t="shared" si="136"/>
        <v>1</v>
      </c>
      <c r="O1113" s="28">
        <f t="shared" si="137"/>
        <v>3.960628075931568E-2</v>
      </c>
      <c r="P1113" s="28">
        <f t="shared" si="138"/>
        <v>7.6923076923076927E-2</v>
      </c>
      <c r="Q1113" s="26">
        <f t="shared" si="139"/>
        <v>1.1658579881656805</v>
      </c>
      <c r="R1113" s="29">
        <f t="shared" si="140"/>
        <v>15.156153846153845</v>
      </c>
      <c r="S1113" s="30">
        <f t="shared" si="141"/>
        <v>7</v>
      </c>
      <c r="T1113" s="30">
        <f t="shared" si="142"/>
        <v>2023</v>
      </c>
      <c r="U1113" s="29" t="str">
        <f t="shared" si="143"/>
        <v>July</v>
      </c>
    </row>
    <row r="1114" spans="1:21" ht="17.399999999999999" x14ac:dyDescent="0.3">
      <c r="A1114" s="21" t="s">
        <v>1135</v>
      </c>
      <c r="B1114" s="22" t="s">
        <v>3836</v>
      </c>
      <c r="C1114" s="23" t="s">
        <v>3516</v>
      </c>
      <c r="D1114" s="22" t="s">
        <v>3545</v>
      </c>
      <c r="E1114" s="24">
        <v>45131</v>
      </c>
      <c r="F1114" s="24">
        <v>45151</v>
      </c>
      <c r="G1114" s="22" t="s">
        <v>14</v>
      </c>
      <c r="H1114" s="25">
        <v>88508</v>
      </c>
      <c r="I1114" s="25">
        <v>3313</v>
      </c>
      <c r="J1114" s="26">
        <v>1704.64</v>
      </c>
      <c r="K1114" s="25">
        <v>585</v>
      </c>
      <c r="L1114" s="21" t="s">
        <v>21</v>
      </c>
      <c r="M1114" s="22" t="s">
        <v>3537</v>
      </c>
      <c r="N1114" s="27">
        <f t="shared" si="136"/>
        <v>20</v>
      </c>
      <c r="O1114" s="28">
        <f t="shared" si="137"/>
        <v>3.7431644597098565E-2</v>
      </c>
      <c r="P1114" s="28">
        <f t="shared" si="138"/>
        <v>0.17657712043465137</v>
      </c>
      <c r="Q1114" s="26">
        <f t="shared" si="139"/>
        <v>0.51453063688499856</v>
      </c>
      <c r="R1114" s="29">
        <f t="shared" si="140"/>
        <v>2.9139145299145301</v>
      </c>
      <c r="S1114" s="30">
        <f t="shared" si="141"/>
        <v>7</v>
      </c>
      <c r="T1114" s="30">
        <f t="shared" si="142"/>
        <v>2023</v>
      </c>
      <c r="U1114" s="29" t="str">
        <f t="shared" si="143"/>
        <v>July</v>
      </c>
    </row>
    <row r="1115" spans="1:21" ht="17.399999999999999" x14ac:dyDescent="0.3">
      <c r="A1115" s="21" t="s">
        <v>3113</v>
      </c>
      <c r="B1115" s="21" t="s">
        <v>3114</v>
      </c>
      <c r="C1115" s="23" t="s">
        <v>3516</v>
      </c>
      <c r="D1115" s="21" t="s">
        <v>3520</v>
      </c>
      <c r="E1115" s="24">
        <v>45131</v>
      </c>
      <c r="F1115" s="24">
        <v>45138</v>
      </c>
      <c r="G1115" s="22" t="s">
        <v>14</v>
      </c>
      <c r="H1115" s="25">
        <v>48517</v>
      </c>
      <c r="I1115" s="25">
        <v>1119</v>
      </c>
      <c r="J1115" s="26">
        <v>1594.65</v>
      </c>
      <c r="K1115" s="25">
        <v>0</v>
      </c>
      <c r="L1115" s="21" t="s">
        <v>17</v>
      </c>
      <c r="M1115" s="22" t="s">
        <v>3537</v>
      </c>
      <c r="N1115" s="27">
        <f t="shared" si="136"/>
        <v>7</v>
      </c>
      <c r="O1115" s="28">
        <f t="shared" si="137"/>
        <v>2.3064080631531217E-2</v>
      </c>
      <c r="P1115" s="28">
        <f t="shared" si="138"/>
        <v>0</v>
      </c>
      <c r="Q1115" s="26">
        <f t="shared" si="139"/>
        <v>1.4250670241286865</v>
      </c>
      <c r="R1115" s="29" t="str">
        <f t="shared" si="140"/>
        <v>0</v>
      </c>
      <c r="S1115" s="30">
        <f t="shared" si="141"/>
        <v>7</v>
      </c>
      <c r="T1115" s="30">
        <f t="shared" si="142"/>
        <v>2023</v>
      </c>
      <c r="U1115" s="29" t="str">
        <f t="shared" si="143"/>
        <v>July</v>
      </c>
    </row>
    <row r="1116" spans="1:21" ht="17.399999999999999" x14ac:dyDescent="0.3">
      <c r="A1116" s="21" t="s">
        <v>296</v>
      </c>
      <c r="B1116" s="21" t="s">
        <v>297</v>
      </c>
      <c r="C1116" s="23" t="s">
        <v>3515</v>
      </c>
      <c r="D1116" s="21" t="s">
        <v>3517</v>
      </c>
      <c r="E1116" s="24">
        <v>45131</v>
      </c>
      <c r="F1116" s="24">
        <v>45151</v>
      </c>
      <c r="G1116" s="22" t="s">
        <v>3535</v>
      </c>
      <c r="H1116" s="25">
        <v>43557</v>
      </c>
      <c r="I1116" s="25">
        <v>1386</v>
      </c>
      <c r="J1116" s="26">
        <v>2596.6799999999998</v>
      </c>
      <c r="K1116" s="25">
        <v>151</v>
      </c>
      <c r="L1116" s="21" t="s">
        <v>21</v>
      </c>
      <c r="M1116" s="22" t="s">
        <v>3535</v>
      </c>
      <c r="N1116" s="27">
        <f t="shared" si="136"/>
        <v>20</v>
      </c>
      <c r="O1116" s="28">
        <f t="shared" si="137"/>
        <v>3.1820373303946554E-2</v>
      </c>
      <c r="P1116" s="28">
        <f t="shared" si="138"/>
        <v>0.10894660894660894</v>
      </c>
      <c r="Q1116" s="26">
        <f t="shared" si="139"/>
        <v>1.8735064935064933</v>
      </c>
      <c r="R1116" s="29">
        <f t="shared" si="140"/>
        <v>17.196556291390728</v>
      </c>
      <c r="S1116" s="30">
        <f t="shared" si="141"/>
        <v>7</v>
      </c>
      <c r="T1116" s="30">
        <f t="shared" si="142"/>
        <v>2023</v>
      </c>
      <c r="U1116" s="29" t="str">
        <f t="shared" si="143"/>
        <v>July</v>
      </c>
    </row>
    <row r="1117" spans="1:21" ht="17.399999999999999" x14ac:dyDescent="0.3">
      <c r="A1117" s="21" t="s">
        <v>3084</v>
      </c>
      <c r="B1117" s="21" t="s">
        <v>3085</v>
      </c>
      <c r="C1117" s="23" t="s">
        <v>3519</v>
      </c>
      <c r="D1117" s="21" t="s">
        <v>3517</v>
      </c>
      <c r="E1117" s="24">
        <v>45132</v>
      </c>
      <c r="F1117" s="24">
        <v>45153</v>
      </c>
      <c r="G1117" s="22" t="s">
        <v>14</v>
      </c>
      <c r="H1117" s="25">
        <v>93124</v>
      </c>
      <c r="I1117" s="25">
        <v>4429</v>
      </c>
      <c r="J1117" s="26">
        <v>7198.14</v>
      </c>
      <c r="K1117" s="25">
        <v>0</v>
      </c>
      <c r="L1117" s="21" t="s">
        <v>17</v>
      </c>
      <c r="M1117" s="22" t="s">
        <v>3537</v>
      </c>
      <c r="N1117" s="27">
        <f t="shared" si="136"/>
        <v>21</v>
      </c>
      <c r="O1117" s="28">
        <f t="shared" si="137"/>
        <v>4.7560242257634978E-2</v>
      </c>
      <c r="P1117" s="28">
        <f t="shared" si="138"/>
        <v>0</v>
      </c>
      <c r="Q1117" s="26">
        <f t="shared" si="139"/>
        <v>1.6252291713705127</v>
      </c>
      <c r="R1117" s="29" t="str">
        <f t="shared" si="140"/>
        <v>0</v>
      </c>
      <c r="S1117" s="30">
        <f t="shared" si="141"/>
        <v>7</v>
      </c>
      <c r="T1117" s="30">
        <f t="shared" si="142"/>
        <v>2023</v>
      </c>
      <c r="U1117" s="29" t="str">
        <f t="shared" si="143"/>
        <v>July</v>
      </c>
    </row>
    <row r="1118" spans="1:21" ht="17.399999999999999" x14ac:dyDescent="0.3">
      <c r="A1118" s="21" t="s">
        <v>510</v>
      </c>
      <c r="B1118" s="21" t="s">
        <v>511</v>
      </c>
      <c r="C1118" s="23" t="s">
        <v>3516</v>
      </c>
      <c r="D1118" s="21" t="s">
        <v>3520</v>
      </c>
      <c r="E1118" s="24">
        <v>45132</v>
      </c>
      <c r="F1118" s="24">
        <v>45135</v>
      </c>
      <c r="G1118" s="22" t="s">
        <v>24</v>
      </c>
      <c r="H1118" s="25">
        <v>30855</v>
      </c>
      <c r="I1118" s="25">
        <v>1040</v>
      </c>
      <c r="J1118" s="26">
        <v>1099.02</v>
      </c>
      <c r="K1118" s="25">
        <v>0</v>
      </c>
      <c r="L1118" s="21" t="s">
        <v>17</v>
      </c>
      <c r="M1118" s="22" t="s">
        <v>3536</v>
      </c>
      <c r="N1118" s="27">
        <f t="shared" si="136"/>
        <v>3</v>
      </c>
      <c r="O1118" s="28">
        <f t="shared" si="137"/>
        <v>3.3706044401231566E-2</v>
      </c>
      <c r="P1118" s="28">
        <f t="shared" si="138"/>
        <v>0</v>
      </c>
      <c r="Q1118" s="26">
        <f t="shared" si="139"/>
        <v>1.0567500000000001</v>
      </c>
      <c r="R1118" s="29" t="str">
        <f t="shared" si="140"/>
        <v>0</v>
      </c>
      <c r="S1118" s="30">
        <f t="shared" si="141"/>
        <v>7</v>
      </c>
      <c r="T1118" s="30">
        <f t="shared" si="142"/>
        <v>2023</v>
      </c>
      <c r="U1118" s="29" t="str">
        <f t="shared" si="143"/>
        <v>July</v>
      </c>
    </row>
    <row r="1119" spans="1:21" ht="17.399999999999999" x14ac:dyDescent="0.3">
      <c r="A1119" s="21" t="s">
        <v>2851</v>
      </c>
      <c r="B1119" s="22" t="s">
        <v>3837</v>
      </c>
      <c r="C1119" s="23" t="s">
        <v>3516</v>
      </c>
      <c r="D1119" s="22" t="s">
        <v>3545</v>
      </c>
      <c r="E1119" s="24">
        <v>45132</v>
      </c>
      <c r="F1119" s="24">
        <v>45141</v>
      </c>
      <c r="G1119" s="22" t="s">
        <v>3535</v>
      </c>
      <c r="H1119" s="25">
        <v>81688</v>
      </c>
      <c r="I1119" s="25">
        <v>3367</v>
      </c>
      <c r="J1119" s="26">
        <v>4720.79</v>
      </c>
      <c r="K1119" s="25">
        <v>613</v>
      </c>
      <c r="L1119" s="21" t="s">
        <v>21</v>
      </c>
      <c r="M1119" s="22" t="s">
        <v>3535</v>
      </c>
      <c r="N1119" s="27">
        <f t="shared" si="136"/>
        <v>9</v>
      </c>
      <c r="O1119" s="28">
        <f t="shared" si="137"/>
        <v>4.1217804328665168E-2</v>
      </c>
      <c r="P1119" s="28">
        <f t="shared" si="138"/>
        <v>0.18206118206118205</v>
      </c>
      <c r="Q1119" s="26">
        <f t="shared" si="139"/>
        <v>1.4020760320760322</v>
      </c>
      <c r="R1119" s="29">
        <f t="shared" si="140"/>
        <v>7.701125611745514</v>
      </c>
      <c r="S1119" s="30">
        <f t="shared" si="141"/>
        <v>7</v>
      </c>
      <c r="T1119" s="30">
        <f t="shared" si="142"/>
        <v>2023</v>
      </c>
      <c r="U1119" s="29" t="str">
        <f t="shared" si="143"/>
        <v>July</v>
      </c>
    </row>
    <row r="1120" spans="1:21" ht="17.399999999999999" x14ac:dyDescent="0.3">
      <c r="A1120" s="21" t="s">
        <v>60</v>
      </c>
      <c r="B1120" s="21" t="s">
        <v>61</v>
      </c>
      <c r="C1120" s="23" t="s">
        <v>3515</v>
      </c>
      <c r="D1120" s="21" t="s">
        <v>3521</v>
      </c>
      <c r="E1120" s="24">
        <v>45132</v>
      </c>
      <c r="F1120" s="24">
        <v>45146</v>
      </c>
      <c r="G1120" s="22" t="s">
        <v>16</v>
      </c>
      <c r="H1120" s="25">
        <v>85478</v>
      </c>
      <c r="I1120" s="25">
        <v>2898</v>
      </c>
      <c r="J1120" s="26">
        <v>3990.55</v>
      </c>
      <c r="K1120" s="25">
        <v>187</v>
      </c>
      <c r="L1120" s="21" t="s">
        <v>21</v>
      </c>
      <c r="M1120" s="22" t="s">
        <v>16</v>
      </c>
      <c r="N1120" s="27">
        <f t="shared" si="136"/>
        <v>14</v>
      </c>
      <c r="O1120" s="28">
        <f t="shared" si="137"/>
        <v>3.3903460539554037E-2</v>
      </c>
      <c r="P1120" s="28">
        <f t="shared" si="138"/>
        <v>6.4527260179434096E-2</v>
      </c>
      <c r="Q1120" s="26">
        <f t="shared" si="139"/>
        <v>1.3770013802622498</v>
      </c>
      <c r="R1120" s="29">
        <f t="shared" si="140"/>
        <v>21.339839572192513</v>
      </c>
      <c r="S1120" s="30">
        <f t="shared" si="141"/>
        <v>7</v>
      </c>
      <c r="T1120" s="30">
        <f t="shared" si="142"/>
        <v>2023</v>
      </c>
      <c r="U1120" s="29" t="str">
        <f t="shared" si="143"/>
        <v>July</v>
      </c>
    </row>
    <row r="1121" spans="1:21" ht="17.399999999999999" x14ac:dyDescent="0.3">
      <c r="A1121" s="21" t="s">
        <v>1708</v>
      </c>
      <c r="B1121" s="21" t="s">
        <v>1709</v>
      </c>
      <c r="C1121" s="23" t="s">
        <v>3518</v>
      </c>
      <c r="D1121" s="21" t="s">
        <v>3521</v>
      </c>
      <c r="E1121" s="24">
        <v>45132</v>
      </c>
      <c r="F1121" s="24">
        <v>45137</v>
      </c>
      <c r="G1121" s="22" t="s">
        <v>3535</v>
      </c>
      <c r="H1121" s="25">
        <v>36854</v>
      </c>
      <c r="I1121" s="25">
        <v>1286</v>
      </c>
      <c r="J1121" s="26">
        <v>1133.47</v>
      </c>
      <c r="K1121" s="25">
        <v>80</v>
      </c>
      <c r="L1121" s="21" t="s">
        <v>17</v>
      </c>
      <c r="M1121" s="22" t="s">
        <v>3535</v>
      </c>
      <c r="N1121" s="27">
        <f t="shared" si="136"/>
        <v>5</v>
      </c>
      <c r="O1121" s="28">
        <f t="shared" si="137"/>
        <v>3.4894448363813967E-2</v>
      </c>
      <c r="P1121" s="28">
        <f t="shared" si="138"/>
        <v>6.2208398133748059E-2</v>
      </c>
      <c r="Q1121" s="26">
        <f t="shared" si="139"/>
        <v>0.88139191290824259</v>
      </c>
      <c r="R1121" s="29">
        <f t="shared" si="140"/>
        <v>14.168375000000001</v>
      </c>
      <c r="S1121" s="30">
        <f t="shared" si="141"/>
        <v>7</v>
      </c>
      <c r="T1121" s="30">
        <f t="shared" si="142"/>
        <v>2023</v>
      </c>
      <c r="U1121" s="29" t="str">
        <f t="shared" si="143"/>
        <v>July</v>
      </c>
    </row>
    <row r="1122" spans="1:21" ht="17.399999999999999" x14ac:dyDescent="0.3">
      <c r="A1122" s="21" t="s">
        <v>1288</v>
      </c>
      <c r="B1122" s="21" t="s">
        <v>1289</v>
      </c>
      <c r="C1122" s="23" t="s">
        <v>3518</v>
      </c>
      <c r="D1122" s="21" t="s">
        <v>3517</v>
      </c>
      <c r="E1122" s="24">
        <v>45132</v>
      </c>
      <c r="F1122" s="24">
        <v>45145</v>
      </c>
      <c r="G1122" s="22" t="s">
        <v>31</v>
      </c>
      <c r="H1122" s="25">
        <v>21559</v>
      </c>
      <c r="I1122" s="25">
        <v>683</v>
      </c>
      <c r="J1122" s="26">
        <v>975.43</v>
      </c>
      <c r="K1122" s="25">
        <v>121</v>
      </c>
      <c r="L1122" s="21" t="s">
        <v>17</v>
      </c>
      <c r="M1122" s="22" t="s">
        <v>31</v>
      </c>
      <c r="N1122" s="27">
        <f t="shared" si="136"/>
        <v>13</v>
      </c>
      <c r="O1122" s="28">
        <f t="shared" si="137"/>
        <v>3.1680504661626238E-2</v>
      </c>
      <c r="P1122" s="28">
        <f t="shared" si="138"/>
        <v>0.17715959004392387</v>
      </c>
      <c r="Q1122" s="26">
        <f t="shared" si="139"/>
        <v>1.4281551976573938</v>
      </c>
      <c r="R1122" s="29">
        <f t="shared" si="140"/>
        <v>8.0614049586776861</v>
      </c>
      <c r="S1122" s="30">
        <f t="shared" si="141"/>
        <v>7</v>
      </c>
      <c r="T1122" s="30">
        <f t="shared" si="142"/>
        <v>2023</v>
      </c>
      <c r="U1122" s="29" t="str">
        <f t="shared" si="143"/>
        <v>July</v>
      </c>
    </row>
    <row r="1123" spans="1:21" ht="17.399999999999999" x14ac:dyDescent="0.3">
      <c r="A1123" s="21" t="s">
        <v>516</v>
      </c>
      <c r="B1123" s="21" t="s">
        <v>517</v>
      </c>
      <c r="C1123" s="23" t="s">
        <v>3518</v>
      </c>
      <c r="D1123" s="21" t="s">
        <v>3517</v>
      </c>
      <c r="E1123" s="24">
        <v>45133</v>
      </c>
      <c r="F1123" s="24">
        <v>45138</v>
      </c>
      <c r="G1123" s="22" t="s">
        <v>24</v>
      </c>
      <c r="H1123" s="25">
        <v>44016</v>
      </c>
      <c r="I1123" s="25">
        <v>1244</v>
      </c>
      <c r="J1123" s="26">
        <v>2373.98</v>
      </c>
      <c r="K1123" s="25">
        <v>0</v>
      </c>
      <c r="L1123" s="21" t="s">
        <v>21</v>
      </c>
      <c r="M1123" s="22" t="s">
        <v>3536</v>
      </c>
      <c r="N1123" s="27">
        <f t="shared" si="136"/>
        <v>5</v>
      </c>
      <c r="O1123" s="28">
        <f t="shared" si="137"/>
        <v>2.8262450018175209E-2</v>
      </c>
      <c r="P1123" s="28">
        <f t="shared" si="138"/>
        <v>0</v>
      </c>
      <c r="Q1123" s="26">
        <f t="shared" si="139"/>
        <v>1.9083440514469454</v>
      </c>
      <c r="R1123" s="29" t="str">
        <f t="shared" si="140"/>
        <v>0</v>
      </c>
      <c r="S1123" s="30">
        <f t="shared" si="141"/>
        <v>7</v>
      </c>
      <c r="T1123" s="30">
        <f t="shared" si="142"/>
        <v>2023</v>
      </c>
      <c r="U1123" s="29" t="str">
        <f t="shared" si="143"/>
        <v>July</v>
      </c>
    </row>
    <row r="1124" spans="1:21" ht="17.399999999999999" x14ac:dyDescent="0.3">
      <c r="A1124" s="21" t="s">
        <v>2282</v>
      </c>
      <c r="B1124" s="21" t="s">
        <v>2283</v>
      </c>
      <c r="C1124" s="23" t="s">
        <v>3518</v>
      </c>
      <c r="D1124" s="21" t="s">
        <v>3517</v>
      </c>
      <c r="E1124" s="24">
        <v>45133</v>
      </c>
      <c r="F1124" s="24">
        <v>45149</v>
      </c>
      <c r="G1124" s="22" t="s">
        <v>14</v>
      </c>
      <c r="H1124" s="25">
        <v>19449</v>
      </c>
      <c r="I1124" s="25">
        <v>295</v>
      </c>
      <c r="J1124" s="26">
        <v>362.4</v>
      </c>
      <c r="K1124" s="25">
        <v>40</v>
      </c>
      <c r="L1124" s="21" t="s">
        <v>21</v>
      </c>
      <c r="M1124" s="22" t="s">
        <v>3537</v>
      </c>
      <c r="N1124" s="27">
        <f t="shared" si="136"/>
        <v>16</v>
      </c>
      <c r="O1124" s="28">
        <f t="shared" si="137"/>
        <v>1.5167874955010541E-2</v>
      </c>
      <c r="P1124" s="28">
        <f t="shared" si="138"/>
        <v>0.13559322033898305</v>
      </c>
      <c r="Q1124" s="26">
        <f t="shared" si="139"/>
        <v>1.2284745762711864</v>
      </c>
      <c r="R1124" s="29">
        <f t="shared" si="140"/>
        <v>9.0599999999999987</v>
      </c>
      <c r="S1124" s="30">
        <f t="shared" si="141"/>
        <v>7</v>
      </c>
      <c r="T1124" s="30">
        <f t="shared" si="142"/>
        <v>2023</v>
      </c>
      <c r="U1124" s="29" t="str">
        <f t="shared" si="143"/>
        <v>July</v>
      </c>
    </row>
    <row r="1125" spans="1:21" ht="17.399999999999999" x14ac:dyDescent="0.3">
      <c r="A1125" s="21" t="s">
        <v>2386</v>
      </c>
      <c r="B1125" s="22" t="s">
        <v>3838</v>
      </c>
      <c r="C1125" s="23" t="s">
        <v>3518</v>
      </c>
      <c r="D1125" s="22" t="s">
        <v>3545</v>
      </c>
      <c r="E1125" s="24">
        <v>45133</v>
      </c>
      <c r="F1125" s="24">
        <v>45142</v>
      </c>
      <c r="G1125" s="22" t="s">
        <v>14</v>
      </c>
      <c r="H1125" s="25">
        <v>42874</v>
      </c>
      <c r="I1125" s="25">
        <v>1769</v>
      </c>
      <c r="J1125" s="26">
        <v>3173.13</v>
      </c>
      <c r="K1125" s="25">
        <v>0</v>
      </c>
      <c r="L1125" s="21" t="s">
        <v>17</v>
      </c>
      <c r="M1125" s="22" t="s">
        <v>3537</v>
      </c>
      <c r="N1125" s="27">
        <f t="shared" si="136"/>
        <v>9</v>
      </c>
      <c r="O1125" s="28">
        <f t="shared" si="137"/>
        <v>4.1260437561225917E-2</v>
      </c>
      <c r="P1125" s="28">
        <f t="shared" si="138"/>
        <v>0</v>
      </c>
      <c r="Q1125" s="26">
        <f t="shared" si="139"/>
        <v>1.7937422272470323</v>
      </c>
      <c r="R1125" s="29" t="str">
        <f t="shared" si="140"/>
        <v>0</v>
      </c>
      <c r="S1125" s="30">
        <f t="shared" si="141"/>
        <v>7</v>
      </c>
      <c r="T1125" s="30">
        <f t="shared" si="142"/>
        <v>2023</v>
      </c>
      <c r="U1125" s="29" t="str">
        <f t="shared" si="143"/>
        <v>July</v>
      </c>
    </row>
    <row r="1126" spans="1:21" ht="17.399999999999999" x14ac:dyDescent="0.3">
      <c r="A1126" s="21" t="s">
        <v>1721</v>
      </c>
      <c r="B1126" s="21" t="s">
        <v>1722</v>
      </c>
      <c r="C1126" s="23" t="s">
        <v>3516</v>
      </c>
      <c r="D1126" s="21" t="s">
        <v>3517</v>
      </c>
      <c r="E1126" s="24">
        <v>45133</v>
      </c>
      <c r="F1126" s="24">
        <v>45163</v>
      </c>
      <c r="G1126" s="22" t="s">
        <v>16</v>
      </c>
      <c r="H1126" s="25">
        <v>51448</v>
      </c>
      <c r="I1126" s="25">
        <v>616</v>
      </c>
      <c r="J1126" s="26">
        <v>1119.98</v>
      </c>
      <c r="K1126" s="25">
        <v>57</v>
      </c>
      <c r="L1126" s="21" t="s">
        <v>17</v>
      </c>
      <c r="M1126" s="22" t="s">
        <v>16</v>
      </c>
      <c r="N1126" s="27">
        <f t="shared" si="136"/>
        <v>30</v>
      </c>
      <c r="O1126" s="28">
        <f t="shared" si="137"/>
        <v>1.1973254548281759E-2</v>
      </c>
      <c r="P1126" s="28">
        <f t="shared" si="138"/>
        <v>9.2532467532467536E-2</v>
      </c>
      <c r="Q1126" s="26">
        <f t="shared" si="139"/>
        <v>1.8181493506493507</v>
      </c>
      <c r="R1126" s="29">
        <f t="shared" si="140"/>
        <v>19.648771929824562</v>
      </c>
      <c r="S1126" s="30">
        <f t="shared" si="141"/>
        <v>7</v>
      </c>
      <c r="T1126" s="30">
        <f t="shared" si="142"/>
        <v>2023</v>
      </c>
      <c r="U1126" s="29" t="str">
        <f t="shared" si="143"/>
        <v>July</v>
      </c>
    </row>
    <row r="1127" spans="1:21" ht="17.399999999999999" x14ac:dyDescent="0.3">
      <c r="A1127" s="21" t="s">
        <v>2507</v>
      </c>
      <c r="B1127" s="21" t="s">
        <v>2508</v>
      </c>
      <c r="C1127" s="23" t="s">
        <v>3516</v>
      </c>
      <c r="D1127" s="21" t="s">
        <v>3521</v>
      </c>
      <c r="E1127" s="24">
        <v>45133</v>
      </c>
      <c r="F1127" s="24">
        <v>45141</v>
      </c>
      <c r="G1127" s="22" t="s">
        <v>31</v>
      </c>
      <c r="H1127" s="25">
        <v>48924</v>
      </c>
      <c r="I1127" s="25">
        <v>1029</v>
      </c>
      <c r="J1127" s="26">
        <v>938.2</v>
      </c>
      <c r="K1127" s="25">
        <v>118</v>
      </c>
      <c r="L1127" s="21" t="s">
        <v>21</v>
      </c>
      <c r="M1127" s="22" t="s">
        <v>31</v>
      </c>
      <c r="N1127" s="27">
        <f t="shared" si="136"/>
        <v>8</v>
      </c>
      <c r="O1127" s="28">
        <f t="shared" si="137"/>
        <v>2.1032622025999509E-2</v>
      </c>
      <c r="P1127" s="28">
        <f t="shared" si="138"/>
        <v>0.11467444120505345</v>
      </c>
      <c r="Q1127" s="26">
        <f t="shared" si="139"/>
        <v>0.91175898931000976</v>
      </c>
      <c r="R1127" s="29">
        <f t="shared" si="140"/>
        <v>7.9508474576271189</v>
      </c>
      <c r="S1127" s="30">
        <f t="shared" si="141"/>
        <v>7</v>
      </c>
      <c r="T1127" s="30">
        <f t="shared" si="142"/>
        <v>2023</v>
      </c>
      <c r="U1127" s="29" t="str">
        <f t="shared" si="143"/>
        <v>July</v>
      </c>
    </row>
    <row r="1128" spans="1:21" ht="17.399999999999999" x14ac:dyDescent="0.3">
      <c r="A1128" s="21" t="s">
        <v>1303</v>
      </c>
      <c r="B1128" s="21" t="s">
        <v>1304</v>
      </c>
      <c r="C1128" s="23" t="s">
        <v>3516</v>
      </c>
      <c r="D1128" s="21" t="s">
        <v>3517</v>
      </c>
      <c r="E1128" s="24">
        <v>45134</v>
      </c>
      <c r="F1128" s="24">
        <v>45164</v>
      </c>
      <c r="G1128" s="22" t="s">
        <v>11</v>
      </c>
      <c r="H1128" s="25">
        <v>14843</v>
      </c>
      <c r="I1128" s="25">
        <v>542</v>
      </c>
      <c r="J1128" s="26">
        <v>351.93</v>
      </c>
      <c r="K1128" s="25">
        <v>74</v>
      </c>
      <c r="L1128" s="21" t="s">
        <v>17</v>
      </c>
      <c r="M1128" s="22" t="s">
        <v>11</v>
      </c>
      <c r="N1128" s="27">
        <f t="shared" si="136"/>
        <v>30</v>
      </c>
      <c r="O1128" s="28">
        <f t="shared" si="137"/>
        <v>3.6515529205686181E-2</v>
      </c>
      <c r="P1128" s="28">
        <f t="shared" si="138"/>
        <v>0.13653136531365315</v>
      </c>
      <c r="Q1128" s="26">
        <f t="shared" si="139"/>
        <v>0.6493173431734317</v>
      </c>
      <c r="R1128" s="29">
        <f t="shared" si="140"/>
        <v>4.7558108108108108</v>
      </c>
      <c r="S1128" s="30">
        <f t="shared" si="141"/>
        <v>7</v>
      </c>
      <c r="T1128" s="30">
        <f t="shared" si="142"/>
        <v>2023</v>
      </c>
      <c r="U1128" s="29" t="str">
        <f t="shared" si="143"/>
        <v>July</v>
      </c>
    </row>
    <row r="1129" spans="1:21" ht="17.399999999999999" x14ac:dyDescent="0.3">
      <c r="A1129" s="21" t="s">
        <v>1474</v>
      </c>
      <c r="B1129" s="21" t="s">
        <v>1475</v>
      </c>
      <c r="C1129" s="23" t="s">
        <v>3515</v>
      </c>
      <c r="D1129" s="21" t="s">
        <v>3520</v>
      </c>
      <c r="E1129" s="24">
        <v>45134</v>
      </c>
      <c r="F1129" s="24">
        <v>45153</v>
      </c>
      <c r="G1129" s="22" t="s">
        <v>14</v>
      </c>
      <c r="H1129" s="25">
        <v>93193</v>
      </c>
      <c r="I1129" s="25">
        <v>3612</v>
      </c>
      <c r="J1129" s="26">
        <v>2609.04</v>
      </c>
      <c r="K1129" s="25">
        <v>549</v>
      </c>
      <c r="L1129" s="21" t="s">
        <v>17</v>
      </c>
      <c r="M1129" s="22" t="s">
        <v>3537</v>
      </c>
      <c r="N1129" s="27">
        <f t="shared" si="136"/>
        <v>19</v>
      </c>
      <c r="O1129" s="28">
        <f t="shared" si="137"/>
        <v>3.8758275836167949E-2</v>
      </c>
      <c r="P1129" s="28">
        <f t="shared" si="138"/>
        <v>0.15199335548172757</v>
      </c>
      <c r="Q1129" s="26">
        <f t="shared" si="139"/>
        <v>0.72232558139534886</v>
      </c>
      <c r="R1129" s="29">
        <f t="shared" si="140"/>
        <v>4.7523497267759565</v>
      </c>
      <c r="S1129" s="30">
        <f t="shared" si="141"/>
        <v>7</v>
      </c>
      <c r="T1129" s="30">
        <f t="shared" si="142"/>
        <v>2023</v>
      </c>
      <c r="U1129" s="29" t="str">
        <f t="shared" si="143"/>
        <v>July</v>
      </c>
    </row>
    <row r="1130" spans="1:21" ht="17.399999999999999" x14ac:dyDescent="0.3">
      <c r="A1130" s="21" t="s">
        <v>1628</v>
      </c>
      <c r="B1130" s="21" t="s">
        <v>1629</v>
      </c>
      <c r="C1130" s="23" t="s">
        <v>3515</v>
      </c>
      <c r="D1130" s="21" t="s">
        <v>3521</v>
      </c>
      <c r="E1130" s="24">
        <v>45134</v>
      </c>
      <c r="F1130" s="24">
        <v>45158</v>
      </c>
      <c r="G1130" s="22" t="s">
        <v>3535</v>
      </c>
      <c r="H1130" s="25">
        <v>40749</v>
      </c>
      <c r="I1130" s="25">
        <v>843</v>
      </c>
      <c r="J1130" s="26">
        <v>1276.43</v>
      </c>
      <c r="K1130" s="25">
        <v>0</v>
      </c>
      <c r="L1130" s="21" t="s">
        <v>17</v>
      </c>
      <c r="M1130" s="22" t="s">
        <v>3535</v>
      </c>
      <c r="N1130" s="27">
        <f t="shared" si="136"/>
        <v>24</v>
      </c>
      <c r="O1130" s="28">
        <f t="shared" si="137"/>
        <v>2.0687624236177576E-2</v>
      </c>
      <c r="P1130" s="28">
        <f t="shared" si="138"/>
        <v>0</v>
      </c>
      <c r="Q1130" s="26">
        <f t="shared" si="139"/>
        <v>1.5141518386714117</v>
      </c>
      <c r="R1130" s="29" t="str">
        <f t="shared" si="140"/>
        <v>0</v>
      </c>
      <c r="S1130" s="30">
        <f t="shared" si="141"/>
        <v>7</v>
      </c>
      <c r="T1130" s="30">
        <f t="shared" si="142"/>
        <v>2023</v>
      </c>
      <c r="U1130" s="29" t="str">
        <f t="shared" si="143"/>
        <v>July</v>
      </c>
    </row>
    <row r="1131" spans="1:21" ht="17.399999999999999" x14ac:dyDescent="0.3">
      <c r="A1131" s="21" t="s">
        <v>327</v>
      </c>
      <c r="B1131" s="21" t="s">
        <v>328</v>
      </c>
      <c r="C1131" s="23" t="s">
        <v>3516</v>
      </c>
      <c r="D1131" s="21" t="s">
        <v>3521</v>
      </c>
      <c r="E1131" s="24">
        <v>45135</v>
      </c>
      <c r="F1131" s="24">
        <v>45165</v>
      </c>
      <c r="G1131" s="22" t="s">
        <v>14</v>
      </c>
      <c r="H1131" s="25">
        <v>31080</v>
      </c>
      <c r="I1131" s="25">
        <v>903</v>
      </c>
      <c r="J1131" s="26">
        <v>1725.78</v>
      </c>
      <c r="K1131" s="25">
        <v>52</v>
      </c>
      <c r="L1131" s="21" t="s">
        <v>17</v>
      </c>
      <c r="M1131" s="22" t="s">
        <v>3537</v>
      </c>
      <c r="N1131" s="27">
        <f t="shared" si="136"/>
        <v>30</v>
      </c>
      <c r="O1131" s="28">
        <f t="shared" si="137"/>
        <v>2.9054054054054056E-2</v>
      </c>
      <c r="P1131" s="28">
        <f t="shared" si="138"/>
        <v>5.7585825027685493E-2</v>
      </c>
      <c r="Q1131" s="26">
        <f t="shared" si="139"/>
        <v>1.9111627906976745</v>
      </c>
      <c r="R1131" s="29">
        <f t="shared" si="140"/>
        <v>33.18807692307692</v>
      </c>
      <c r="S1131" s="30">
        <f t="shared" si="141"/>
        <v>7</v>
      </c>
      <c r="T1131" s="30">
        <f t="shared" si="142"/>
        <v>2023</v>
      </c>
      <c r="U1131" s="29" t="str">
        <f t="shared" si="143"/>
        <v>July</v>
      </c>
    </row>
    <row r="1132" spans="1:21" ht="17.399999999999999" x14ac:dyDescent="0.3">
      <c r="A1132" s="21" t="s">
        <v>412</v>
      </c>
      <c r="B1132" s="22" t="s">
        <v>3839</v>
      </c>
      <c r="C1132" s="23" t="s">
        <v>3516</v>
      </c>
      <c r="D1132" s="22" t="s">
        <v>3545</v>
      </c>
      <c r="E1132" s="24">
        <v>45135</v>
      </c>
      <c r="F1132" s="24">
        <v>45139</v>
      </c>
      <c r="G1132" s="22" t="s">
        <v>16</v>
      </c>
      <c r="H1132" s="25">
        <v>71467</v>
      </c>
      <c r="I1132" s="25">
        <v>2563</v>
      </c>
      <c r="J1132" s="26">
        <v>1293.58</v>
      </c>
      <c r="K1132" s="25">
        <v>323</v>
      </c>
      <c r="L1132" s="21" t="s">
        <v>17</v>
      </c>
      <c r="M1132" s="22" t="s">
        <v>16</v>
      </c>
      <c r="N1132" s="27">
        <f t="shared" si="136"/>
        <v>4</v>
      </c>
      <c r="O1132" s="28">
        <f t="shared" si="137"/>
        <v>3.5862705864245038E-2</v>
      </c>
      <c r="P1132" s="28">
        <f t="shared" si="138"/>
        <v>0.12602419040187279</v>
      </c>
      <c r="Q1132" s="26">
        <f t="shared" si="139"/>
        <v>0.50471322668747554</v>
      </c>
      <c r="R1132" s="29">
        <f t="shared" si="140"/>
        <v>4.0048916408668731</v>
      </c>
      <c r="S1132" s="30">
        <f t="shared" si="141"/>
        <v>7</v>
      </c>
      <c r="T1132" s="30">
        <f t="shared" si="142"/>
        <v>2023</v>
      </c>
      <c r="U1132" s="29" t="str">
        <f t="shared" si="143"/>
        <v>July</v>
      </c>
    </row>
    <row r="1133" spans="1:21" ht="17.399999999999999" x14ac:dyDescent="0.3">
      <c r="A1133" s="21" t="s">
        <v>2312</v>
      </c>
      <c r="B1133" s="21" t="s">
        <v>2313</v>
      </c>
      <c r="C1133" s="23" t="s">
        <v>3519</v>
      </c>
      <c r="D1133" s="21" t="s">
        <v>3521</v>
      </c>
      <c r="E1133" s="24">
        <v>45136</v>
      </c>
      <c r="F1133" s="24">
        <v>45149</v>
      </c>
      <c r="G1133" s="22" t="s">
        <v>11</v>
      </c>
      <c r="H1133" s="25">
        <v>79623</v>
      </c>
      <c r="I1133" s="25">
        <v>3584</v>
      </c>
      <c r="J1133" s="26">
        <v>4186.5200000000004</v>
      </c>
      <c r="K1133" s="25">
        <v>216</v>
      </c>
      <c r="L1133" s="21" t="s">
        <v>17</v>
      </c>
      <c r="M1133" s="22" t="s">
        <v>11</v>
      </c>
      <c r="N1133" s="27">
        <f t="shared" si="136"/>
        <v>13</v>
      </c>
      <c r="O1133" s="28">
        <f t="shared" si="137"/>
        <v>4.5012119613679465E-2</v>
      </c>
      <c r="P1133" s="28">
        <f t="shared" si="138"/>
        <v>6.0267857142857144E-2</v>
      </c>
      <c r="Q1133" s="26">
        <f t="shared" si="139"/>
        <v>1.1681138392857144</v>
      </c>
      <c r="R1133" s="29">
        <f t="shared" si="140"/>
        <v>19.382037037037041</v>
      </c>
      <c r="S1133" s="30">
        <f t="shared" si="141"/>
        <v>7</v>
      </c>
      <c r="T1133" s="30">
        <f t="shared" si="142"/>
        <v>2023</v>
      </c>
      <c r="U1133" s="29" t="str">
        <f t="shared" si="143"/>
        <v>July</v>
      </c>
    </row>
    <row r="1134" spans="1:21" ht="17.399999999999999" x14ac:dyDescent="0.3">
      <c r="A1134" s="21" t="s">
        <v>2723</v>
      </c>
      <c r="B1134" s="22" t="s">
        <v>3840</v>
      </c>
      <c r="C1134" s="23" t="s">
        <v>3519</v>
      </c>
      <c r="D1134" s="22" t="s">
        <v>3545</v>
      </c>
      <c r="E1134" s="24">
        <v>45136</v>
      </c>
      <c r="F1134" s="24">
        <v>45164</v>
      </c>
      <c r="G1134" s="22" t="s">
        <v>16</v>
      </c>
      <c r="H1134" s="25">
        <v>67150</v>
      </c>
      <c r="I1134" s="25">
        <v>2943</v>
      </c>
      <c r="J1134" s="26">
        <v>3352.07</v>
      </c>
      <c r="K1134" s="25">
        <v>470</v>
      </c>
      <c r="L1134" s="21" t="s">
        <v>17</v>
      </c>
      <c r="M1134" s="22" t="s">
        <v>16</v>
      </c>
      <c r="N1134" s="27">
        <f t="shared" si="136"/>
        <v>28</v>
      </c>
      <c r="O1134" s="28">
        <f t="shared" si="137"/>
        <v>4.3827252419955325E-2</v>
      </c>
      <c r="P1134" s="28">
        <f t="shared" si="138"/>
        <v>0.15970098538905877</v>
      </c>
      <c r="Q1134" s="26">
        <f t="shared" si="139"/>
        <v>1.1389976214746858</v>
      </c>
      <c r="R1134" s="29">
        <f t="shared" si="140"/>
        <v>7.1320638297872341</v>
      </c>
      <c r="S1134" s="30">
        <f t="shared" si="141"/>
        <v>7</v>
      </c>
      <c r="T1134" s="30">
        <f t="shared" si="142"/>
        <v>2023</v>
      </c>
      <c r="U1134" s="29" t="str">
        <f t="shared" si="143"/>
        <v>July</v>
      </c>
    </row>
    <row r="1135" spans="1:21" ht="17.399999999999999" x14ac:dyDescent="0.3">
      <c r="A1135" s="21" t="s">
        <v>3316</v>
      </c>
      <c r="B1135" s="21" t="s">
        <v>3317</v>
      </c>
      <c r="C1135" s="23" t="s">
        <v>3518</v>
      </c>
      <c r="D1135" s="21" t="s">
        <v>3520</v>
      </c>
      <c r="E1135" s="24">
        <v>45136</v>
      </c>
      <c r="F1135" s="24">
        <v>45162</v>
      </c>
      <c r="G1135" s="22" t="s">
        <v>16</v>
      </c>
      <c r="H1135" s="25">
        <v>50268</v>
      </c>
      <c r="I1135" s="25">
        <v>1196</v>
      </c>
      <c r="J1135" s="26">
        <v>1788.75</v>
      </c>
      <c r="K1135" s="25">
        <v>156</v>
      </c>
      <c r="L1135" s="21" t="s">
        <v>21</v>
      </c>
      <c r="M1135" s="22" t="s">
        <v>16</v>
      </c>
      <c r="N1135" s="27">
        <f t="shared" si="136"/>
        <v>26</v>
      </c>
      <c r="O1135" s="28">
        <f t="shared" si="137"/>
        <v>2.3792472348213575E-2</v>
      </c>
      <c r="P1135" s="28">
        <f t="shared" si="138"/>
        <v>0.13043478260869565</v>
      </c>
      <c r="Q1135" s="26">
        <f t="shared" si="139"/>
        <v>1.4956103678929766</v>
      </c>
      <c r="R1135" s="29">
        <f t="shared" si="140"/>
        <v>11.466346153846153</v>
      </c>
      <c r="S1135" s="30">
        <f t="shared" si="141"/>
        <v>7</v>
      </c>
      <c r="T1135" s="30">
        <f t="shared" si="142"/>
        <v>2023</v>
      </c>
      <c r="U1135" s="29" t="str">
        <f t="shared" si="143"/>
        <v>July</v>
      </c>
    </row>
    <row r="1136" spans="1:21" ht="17.399999999999999" x14ac:dyDescent="0.3">
      <c r="A1136" s="21" t="s">
        <v>2406</v>
      </c>
      <c r="B1136" s="21" t="s">
        <v>2407</v>
      </c>
      <c r="C1136" s="23" t="s">
        <v>3516</v>
      </c>
      <c r="D1136" s="21" t="s">
        <v>3520</v>
      </c>
      <c r="E1136" s="24">
        <v>45136</v>
      </c>
      <c r="F1136" s="24">
        <v>45143</v>
      </c>
      <c r="G1136" s="22" t="s">
        <v>11</v>
      </c>
      <c r="H1136" s="25">
        <v>15596</v>
      </c>
      <c r="I1136" s="25">
        <v>721</v>
      </c>
      <c r="J1136" s="26">
        <v>636.97</v>
      </c>
      <c r="K1136" s="25">
        <v>122</v>
      </c>
      <c r="L1136" s="21" t="s">
        <v>21</v>
      </c>
      <c r="M1136" s="22" t="s">
        <v>11</v>
      </c>
      <c r="N1136" s="27">
        <f t="shared" si="136"/>
        <v>7</v>
      </c>
      <c r="O1136" s="28">
        <f t="shared" si="137"/>
        <v>4.6229802513464993E-2</v>
      </c>
      <c r="P1136" s="28">
        <f t="shared" si="138"/>
        <v>0.16920943134535368</v>
      </c>
      <c r="Q1136" s="26">
        <f t="shared" si="139"/>
        <v>0.88345353675450766</v>
      </c>
      <c r="R1136" s="29">
        <f t="shared" si="140"/>
        <v>5.2210655737704919</v>
      </c>
      <c r="S1136" s="30">
        <f t="shared" si="141"/>
        <v>7</v>
      </c>
      <c r="T1136" s="30">
        <f t="shared" si="142"/>
        <v>2023</v>
      </c>
      <c r="U1136" s="29" t="str">
        <f t="shared" si="143"/>
        <v>July</v>
      </c>
    </row>
    <row r="1137" spans="1:21" ht="17.399999999999999" x14ac:dyDescent="0.3">
      <c r="A1137" s="21" t="s">
        <v>1581</v>
      </c>
      <c r="B1137" s="21" t="s">
        <v>1582</v>
      </c>
      <c r="C1137" s="23" t="s">
        <v>3515</v>
      </c>
      <c r="D1137" s="21" t="s">
        <v>3521</v>
      </c>
      <c r="E1137" s="24">
        <v>45136</v>
      </c>
      <c r="F1137" s="24">
        <v>45151</v>
      </c>
      <c r="G1137" s="22" t="s">
        <v>31</v>
      </c>
      <c r="H1137" s="25">
        <v>70836</v>
      </c>
      <c r="I1137" s="25">
        <v>2292</v>
      </c>
      <c r="J1137" s="26">
        <v>2162.5</v>
      </c>
      <c r="K1137" s="25">
        <v>150</v>
      </c>
      <c r="L1137" s="21" t="s">
        <v>21</v>
      </c>
      <c r="M1137" s="22" t="s">
        <v>31</v>
      </c>
      <c r="N1137" s="27">
        <f t="shared" si="136"/>
        <v>15</v>
      </c>
      <c r="O1137" s="28">
        <f t="shared" si="137"/>
        <v>3.2356428934440115E-2</v>
      </c>
      <c r="P1137" s="28">
        <f t="shared" si="138"/>
        <v>6.5445026178010471E-2</v>
      </c>
      <c r="Q1137" s="26">
        <f t="shared" si="139"/>
        <v>0.94349912739965092</v>
      </c>
      <c r="R1137" s="29">
        <f t="shared" si="140"/>
        <v>14.416666666666666</v>
      </c>
      <c r="S1137" s="30">
        <f t="shared" si="141"/>
        <v>7</v>
      </c>
      <c r="T1137" s="30">
        <f t="shared" si="142"/>
        <v>2023</v>
      </c>
      <c r="U1137" s="29" t="str">
        <f t="shared" si="143"/>
        <v>July</v>
      </c>
    </row>
    <row r="1138" spans="1:21" ht="17.399999999999999" x14ac:dyDescent="0.3">
      <c r="A1138" s="21" t="s">
        <v>3044</v>
      </c>
      <c r="B1138" s="21" t="s">
        <v>3045</v>
      </c>
      <c r="C1138" s="23" t="s">
        <v>3515</v>
      </c>
      <c r="D1138" s="21" t="s">
        <v>3521</v>
      </c>
      <c r="E1138" s="24">
        <v>45136</v>
      </c>
      <c r="F1138" s="24">
        <v>45149</v>
      </c>
      <c r="G1138" s="22" t="s">
        <v>16</v>
      </c>
      <c r="H1138" s="25">
        <v>70274</v>
      </c>
      <c r="I1138" s="25">
        <v>3304</v>
      </c>
      <c r="J1138" s="26">
        <v>2330.1999999999998</v>
      </c>
      <c r="K1138" s="25">
        <v>365</v>
      </c>
      <c r="L1138" s="21" t="s">
        <v>21</v>
      </c>
      <c r="M1138" s="22" t="s">
        <v>16</v>
      </c>
      <c r="N1138" s="27">
        <f t="shared" si="136"/>
        <v>13</v>
      </c>
      <c r="O1138" s="28">
        <f t="shared" si="137"/>
        <v>4.7015966075646752E-2</v>
      </c>
      <c r="P1138" s="28">
        <f t="shared" si="138"/>
        <v>0.11047215496368039</v>
      </c>
      <c r="Q1138" s="26">
        <f t="shared" si="139"/>
        <v>0.70526634382566578</v>
      </c>
      <c r="R1138" s="29">
        <f t="shared" si="140"/>
        <v>6.3841095890410955</v>
      </c>
      <c r="S1138" s="30">
        <f t="shared" si="141"/>
        <v>7</v>
      </c>
      <c r="T1138" s="30">
        <f t="shared" si="142"/>
        <v>2023</v>
      </c>
      <c r="U1138" s="29" t="str">
        <f t="shared" si="143"/>
        <v>July</v>
      </c>
    </row>
    <row r="1139" spans="1:21" ht="17.399999999999999" x14ac:dyDescent="0.3">
      <c r="A1139" s="21" t="s">
        <v>509</v>
      </c>
      <c r="B1139" s="22" t="s">
        <v>3841</v>
      </c>
      <c r="C1139" s="23" t="s">
        <v>3519</v>
      </c>
      <c r="D1139" s="22" t="s">
        <v>3545</v>
      </c>
      <c r="E1139" s="24">
        <v>45137</v>
      </c>
      <c r="F1139" s="24">
        <v>45153</v>
      </c>
      <c r="G1139" s="22" t="s">
        <v>14</v>
      </c>
      <c r="H1139" s="25">
        <v>21932</v>
      </c>
      <c r="I1139" s="25">
        <v>457</v>
      </c>
      <c r="J1139" s="26">
        <v>611.53</v>
      </c>
      <c r="K1139" s="25">
        <v>56</v>
      </c>
      <c r="L1139" s="21" t="s">
        <v>21</v>
      </c>
      <c r="M1139" s="22" t="s">
        <v>3537</v>
      </c>
      <c r="N1139" s="27">
        <f t="shared" si="136"/>
        <v>16</v>
      </c>
      <c r="O1139" s="28">
        <f t="shared" si="137"/>
        <v>2.0837132956410723E-2</v>
      </c>
      <c r="P1139" s="28">
        <f t="shared" si="138"/>
        <v>0.12253829321663019</v>
      </c>
      <c r="Q1139" s="26">
        <f t="shared" si="139"/>
        <v>1.3381400437636761</v>
      </c>
      <c r="R1139" s="29">
        <f t="shared" si="140"/>
        <v>10.92017857142857</v>
      </c>
      <c r="S1139" s="30">
        <f t="shared" si="141"/>
        <v>7</v>
      </c>
      <c r="T1139" s="30">
        <f t="shared" si="142"/>
        <v>2023</v>
      </c>
      <c r="U1139" s="29" t="str">
        <f t="shared" si="143"/>
        <v>July</v>
      </c>
    </row>
    <row r="1140" spans="1:21" ht="17.399999999999999" x14ac:dyDescent="0.3">
      <c r="A1140" s="21" t="s">
        <v>1777</v>
      </c>
      <c r="B1140" s="22" t="s">
        <v>3842</v>
      </c>
      <c r="C1140" s="23" t="s">
        <v>3519</v>
      </c>
      <c r="D1140" s="22" t="s">
        <v>3545</v>
      </c>
      <c r="E1140" s="24">
        <v>45137</v>
      </c>
      <c r="F1140" s="24">
        <v>45151</v>
      </c>
      <c r="G1140" s="22" t="s">
        <v>16</v>
      </c>
      <c r="H1140" s="25">
        <v>29024</v>
      </c>
      <c r="I1140" s="25">
        <v>1292</v>
      </c>
      <c r="J1140" s="26">
        <v>2339.5700000000002</v>
      </c>
      <c r="K1140" s="25">
        <v>196</v>
      </c>
      <c r="L1140" s="21" t="s">
        <v>21</v>
      </c>
      <c r="M1140" s="22" t="s">
        <v>16</v>
      </c>
      <c r="N1140" s="27">
        <f t="shared" si="136"/>
        <v>14</v>
      </c>
      <c r="O1140" s="28">
        <f t="shared" si="137"/>
        <v>4.4514884233737596E-2</v>
      </c>
      <c r="P1140" s="28">
        <f t="shared" si="138"/>
        <v>0.15170278637770898</v>
      </c>
      <c r="Q1140" s="26">
        <f t="shared" si="139"/>
        <v>1.8108126934984521</v>
      </c>
      <c r="R1140" s="29">
        <f t="shared" si="140"/>
        <v>11.936581632653063</v>
      </c>
      <c r="S1140" s="30">
        <f t="shared" si="141"/>
        <v>7</v>
      </c>
      <c r="T1140" s="30">
        <f t="shared" si="142"/>
        <v>2023</v>
      </c>
      <c r="U1140" s="29" t="str">
        <f t="shared" si="143"/>
        <v>July</v>
      </c>
    </row>
    <row r="1141" spans="1:21" ht="17.399999999999999" x14ac:dyDescent="0.3">
      <c r="A1141" s="21" t="s">
        <v>133</v>
      </c>
      <c r="B1141" s="21" t="s">
        <v>134</v>
      </c>
      <c r="C1141" s="23" t="s">
        <v>3516</v>
      </c>
      <c r="D1141" s="21" t="s">
        <v>3521</v>
      </c>
      <c r="E1141" s="24">
        <v>45137</v>
      </c>
      <c r="F1141" s="24">
        <v>45160</v>
      </c>
      <c r="G1141" s="22" t="s">
        <v>16</v>
      </c>
      <c r="H1141" s="25">
        <v>73409</v>
      </c>
      <c r="I1141" s="25">
        <v>2460</v>
      </c>
      <c r="J1141" s="26">
        <v>3990.14</v>
      </c>
      <c r="K1141" s="25">
        <v>219</v>
      </c>
      <c r="L1141" s="21" t="s">
        <v>21</v>
      </c>
      <c r="M1141" s="22" t="s">
        <v>16</v>
      </c>
      <c r="N1141" s="27">
        <f t="shared" si="136"/>
        <v>23</v>
      </c>
      <c r="O1141" s="28">
        <f t="shared" si="137"/>
        <v>3.3510877412851282E-2</v>
      </c>
      <c r="P1141" s="28">
        <f t="shared" si="138"/>
        <v>8.9024390243902435E-2</v>
      </c>
      <c r="Q1141" s="26">
        <f t="shared" si="139"/>
        <v>1.6220081300813007</v>
      </c>
      <c r="R1141" s="29">
        <f t="shared" si="140"/>
        <v>18.219817351598174</v>
      </c>
      <c r="S1141" s="30">
        <f t="shared" si="141"/>
        <v>7</v>
      </c>
      <c r="T1141" s="30">
        <f t="shared" si="142"/>
        <v>2023</v>
      </c>
      <c r="U1141" s="29" t="str">
        <f t="shared" si="143"/>
        <v>July</v>
      </c>
    </row>
    <row r="1142" spans="1:21" ht="17.399999999999999" x14ac:dyDescent="0.3">
      <c r="A1142" s="21" t="s">
        <v>600</v>
      </c>
      <c r="B1142" s="21" t="s">
        <v>601</v>
      </c>
      <c r="C1142" s="23" t="s">
        <v>3516</v>
      </c>
      <c r="D1142" s="21" t="s">
        <v>3521</v>
      </c>
      <c r="E1142" s="24">
        <v>45137</v>
      </c>
      <c r="F1142" s="24">
        <v>45138</v>
      </c>
      <c r="G1142" s="22" t="s">
        <v>24</v>
      </c>
      <c r="H1142" s="25">
        <v>7893</v>
      </c>
      <c r="I1142" s="25">
        <v>376</v>
      </c>
      <c r="J1142" s="26">
        <v>452.14</v>
      </c>
      <c r="K1142" s="25">
        <v>47</v>
      </c>
      <c r="L1142" s="21" t="s">
        <v>17</v>
      </c>
      <c r="M1142" s="22" t="s">
        <v>3536</v>
      </c>
      <c r="N1142" s="27">
        <f t="shared" si="136"/>
        <v>1</v>
      </c>
      <c r="O1142" s="28">
        <f t="shared" si="137"/>
        <v>4.7637146838971238E-2</v>
      </c>
      <c r="P1142" s="28">
        <f t="shared" si="138"/>
        <v>0.125</v>
      </c>
      <c r="Q1142" s="26">
        <f t="shared" si="139"/>
        <v>1.2024999999999999</v>
      </c>
      <c r="R1142" s="29">
        <f t="shared" si="140"/>
        <v>9.6199999999999992</v>
      </c>
      <c r="S1142" s="30">
        <f t="shared" si="141"/>
        <v>7</v>
      </c>
      <c r="T1142" s="30">
        <f t="shared" si="142"/>
        <v>2023</v>
      </c>
      <c r="U1142" s="29" t="str">
        <f t="shared" si="143"/>
        <v>July</v>
      </c>
    </row>
    <row r="1143" spans="1:21" ht="17.399999999999999" x14ac:dyDescent="0.3">
      <c r="A1143" s="21" t="s">
        <v>2355</v>
      </c>
      <c r="B1143" s="21" t="s">
        <v>2356</v>
      </c>
      <c r="C1143" s="23" t="s">
        <v>3516</v>
      </c>
      <c r="D1143" s="21" t="s">
        <v>3520</v>
      </c>
      <c r="E1143" s="24">
        <v>45137</v>
      </c>
      <c r="F1143" s="24">
        <v>45153</v>
      </c>
      <c r="G1143" s="22" t="s">
        <v>24</v>
      </c>
      <c r="H1143" s="25">
        <v>32821</v>
      </c>
      <c r="I1143" s="25">
        <v>1287</v>
      </c>
      <c r="J1143" s="26">
        <v>1237.8499999999999</v>
      </c>
      <c r="K1143" s="25">
        <v>133</v>
      </c>
      <c r="L1143" s="21" t="s">
        <v>17</v>
      </c>
      <c r="M1143" s="22" t="s">
        <v>3536</v>
      </c>
      <c r="N1143" s="27">
        <f t="shared" si="136"/>
        <v>16</v>
      </c>
      <c r="O1143" s="28">
        <f t="shared" si="137"/>
        <v>3.9212699186496454E-2</v>
      </c>
      <c r="P1143" s="28">
        <f t="shared" si="138"/>
        <v>0.10334110334110334</v>
      </c>
      <c r="Q1143" s="26">
        <f t="shared" si="139"/>
        <v>0.96181041181041171</v>
      </c>
      <c r="R1143" s="29">
        <f t="shared" si="140"/>
        <v>9.3071428571428569</v>
      </c>
      <c r="S1143" s="30">
        <f t="shared" si="141"/>
        <v>7</v>
      </c>
      <c r="T1143" s="30">
        <f t="shared" si="142"/>
        <v>2023</v>
      </c>
      <c r="U1143" s="29" t="str">
        <f t="shared" si="143"/>
        <v>July</v>
      </c>
    </row>
    <row r="1144" spans="1:21" ht="17.399999999999999" x14ac:dyDescent="0.3">
      <c r="A1144" s="21" t="s">
        <v>762</v>
      </c>
      <c r="B1144" s="21" t="s">
        <v>763</v>
      </c>
      <c r="C1144" s="23" t="s">
        <v>3515</v>
      </c>
      <c r="D1144" s="21" t="s">
        <v>3521</v>
      </c>
      <c r="E1144" s="24">
        <v>45137</v>
      </c>
      <c r="F1144" s="24">
        <v>45162</v>
      </c>
      <c r="G1144" s="22" t="s">
        <v>24</v>
      </c>
      <c r="H1144" s="25">
        <v>23677</v>
      </c>
      <c r="I1144" s="25">
        <v>822</v>
      </c>
      <c r="J1144" s="26">
        <v>1344.95</v>
      </c>
      <c r="K1144" s="25">
        <v>0</v>
      </c>
      <c r="L1144" s="21" t="s">
        <v>21</v>
      </c>
      <c r="M1144" s="22" t="s">
        <v>3536</v>
      </c>
      <c r="N1144" s="27">
        <f t="shared" si="136"/>
        <v>25</v>
      </c>
      <c r="O1144" s="28">
        <f t="shared" si="137"/>
        <v>3.4717236136334838E-2</v>
      </c>
      <c r="P1144" s="28">
        <f t="shared" si="138"/>
        <v>0</v>
      </c>
      <c r="Q1144" s="26">
        <f t="shared" si="139"/>
        <v>1.6361922141119223</v>
      </c>
      <c r="R1144" s="29" t="str">
        <f t="shared" si="140"/>
        <v>0</v>
      </c>
      <c r="S1144" s="30">
        <f t="shared" si="141"/>
        <v>7</v>
      </c>
      <c r="T1144" s="30">
        <f t="shared" si="142"/>
        <v>2023</v>
      </c>
      <c r="U1144" s="29" t="str">
        <f t="shared" si="143"/>
        <v>July</v>
      </c>
    </row>
    <row r="1145" spans="1:21" ht="17.399999999999999" x14ac:dyDescent="0.3">
      <c r="A1145" s="21" t="s">
        <v>1802</v>
      </c>
      <c r="B1145" s="21" t="s">
        <v>1803</v>
      </c>
      <c r="C1145" s="23" t="s">
        <v>3519</v>
      </c>
      <c r="D1145" s="21" t="s">
        <v>3517</v>
      </c>
      <c r="E1145" s="24">
        <v>45137</v>
      </c>
      <c r="F1145" s="24">
        <v>45142</v>
      </c>
      <c r="G1145" s="22" t="s">
        <v>24</v>
      </c>
      <c r="H1145" s="25">
        <v>25818</v>
      </c>
      <c r="I1145" s="25">
        <v>589</v>
      </c>
      <c r="J1145" s="26">
        <v>684.26</v>
      </c>
      <c r="K1145" s="25">
        <v>85</v>
      </c>
      <c r="L1145" s="21" t="s">
        <v>17</v>
      </c>
      <c r="M1145" s="22" t="s">
        <v>3536</v>
      </c>
      <c r="N1145" s="27">
        <f t="shared" si="136"/>
        <v>5</v>
      </c>
      <c r="O1145" s="28">
        <f t="shared" si="137"/>
        <v>2.2813540940429158E-2</v>
      </c>
      <c r="P1145" s="28">
        <f t="shared" si="138"/>
        <v>0.14431239388794567</v>
      </c>
      <c r="Q1145" s="26">
        <f t="shared" si="139"/>
        <v>1.1617317487266554</v>
      </c>
      <c r="R1145" s="29">
        <f t="shared" si="140"/>
        <v>8.0501176470588227</v>
      </c>
      <c r="S1145" s="30">
        <f t="shared" si="141"/>
        <v>7</v>
      </c>
      <c r="T1145" s="30">
        <f t="shared" si="142"/>
        <v>2023</v>
      </c>
      <c r="U1145" s="29" t="str">
        <f t="shared" si="143"/>
        <v>July</v>
      </c>
    </row>
    <row r="1146" spans="1:21" ht="17.399999999999999" x14ac:dyDescent="0.3">
      <c r="A1146" s="21" t="s">
        <v>3237</v>
      </c>
      <c r="B1146" s="21" t="s">
        <v>3238</v>
      </c>
      <c r="C1146" s="23" t="s">
        <v>3519</v>
      </c>
      <c r="D1146" s="21" t="s">
        <v>3520</v>
      </c>
      <c r="E1146" s="24">
        <v>45138</v>
      </c>
      <c r="F1146" s="24">
        <v>45142</v>
      </c>
      <c r="G1146" s="22" t="s">
        <v>24</v>
      </c>
      <c r="H1146" s="25">
        <v>54331</v>
      </c>
      <c r="I1146" s="25">
        <v>786</v>
      </c>
      <c r="J1146" s="26">
        <v>767.81</v>
      </c>
      <c r="K1146" s="25">
        <v>134</v>
      </c>
      <c r="L1146" s="21" t="s">
        <v>21</v>
      </c>
      <c r="M1146" s="22" t="s">
        <v>3536</v>
      </c>
      <c r="N1146" s="27">
        <f t="shared" si="136"/>
        <v>4</v>
      </c>
      <c r="O1146" s="28">
        <f t="shared" si="137"/>
        <v>1.4466878945721596E-2</v>
      </c>
      <c r="P1146" s="28">
        <f t="shared" si="138"/>
        <v>0.17048346055979643</v>
      </c>
      <c r="Q1146" s="26">
        <f t="shared" si="139"/>
        <v>0.97685750636132307</v>
      </c>
      <c r="R1146" s="29">
        <f t="shared" si="140"/>
        <v>5.7299253731343276</v>
      </c>
      <c r="S1146" s="30">
        <f t="shared" si="141"/>
        <v>7</v>
      </c>
      <c r="T1146" s="30">
        <f t="shared" si="142"/>
        <v>2023</v>
      </c>
      <c r="U1146" s="29" t="str">
        <f t="shared" si="143"/>
        <v>July</v>
      </c>
    </row>
    <row r="1147" spans="1:21" ht="17.399999999999999" x14ac:dyDescent="0.3">
      <c r="A1147" s="21" t="s">
        <v>3347</v>
      </c>
      <c r="B1147" s="21" t="s">
        <v>3348</v>
      </c>
      <c r="C1147" s="23" t="s">
        <v>3519</v>
      </c>
      <c r="D1147" s="21" t="s">
        <v>3520</v>
      </c>
      <c r="E1147" s="24">
        <v>45138</v>
      </c>
      <c r="F1147" s="24">
        <v>45154</v>
      </c>
      <c r="G1147" s="22" t="s">
        <v>24</v>
      </c>
      <c r="H1147" s="25">
        <v>21581</v>
      </c>
      <c r="I1147" s="25">
        <v>573</v>
      </c>
      <c r="J1147" s="26">
        <v>931.41</v>
      </c>
      <c r="K1147" s="25">
        <v>0</v>
      </c>
      <c r="L1147" s="21" t="s">
        <v>21</v>
      </c>
      <c r="M1147" s="22" t="s">
        <v>3536</v>
      </c>
      <c r="N1147" s="27">
        <f t="shared" si="136"/>
        <v>16</v>
      </c>
      <c r="O1147" s="28">
        <f t="shared" si="137"/>
        <v>2.6551132941012929E-2</v>
      </c>
      <c r="P1147" s="28">
        <f t="shared" si="138"/>
        <v>0</v>
      </c>
      <c r="Q1147" s="26">
        <f t="shared" si="139"/>
        <v>1.6254973821989529</v>
      </c>
      <c r="R1147" s="29" t="str">
        <f t="shared" si="140"/>
        <v>0</v>
      </c>
      <c r="S1147" s="30">
        <f t="shared" si="141"/>
        <v>7</v>
      </c>
      <c r="T1147" s="30">
        <f t="shared" si="142"/>
        <v>2023</v>
      </c>
      <c r="U1147" s="29" t="str">
        <f t="shared" si="143"/>
        <v>July</v>
      </c>
    </row>
    <row r="1148" spans="1:21" ht="17.399999999999999" x14ac:dyDescent="0.3">
      <c r="A1148" s="21" t="s">
        <v>3372</v>
      </c>
      <c r="B1148" s="21" t="s">
        <v>3373</v>
      </c>
      <c r="C1148" s="23" t="s">
        <v>3519</v>
      </c>
      <c r="D1148" s="21" t="s">
        <v>3517</v>
      </c>
      <c r="E1148" s="24">
        <v>45138</v>
      </c>
      <c r="F1148" s="24">
        <v>45153</v>
      </c>
      <c r="G1148" s="22" t="s">
        <v>24</v>
      </c>
      <c r="H1148" s="25">
        <v>96317</v>
      </c>
      <c r="I1148" s="25">
        <v>2872</v>
      </c>
      <c r="J1148" s="26">
        <v>4404.7299999999996</v>
      </c>
      <c r="K1148" s="25">
        <v>543</v>
      </c>
      <c r="L1148" s="21" t="s">
        <v>17</v>
      </c>
      <c r="M1148" s="22" t="s">
        <v>3536</v>
      </c>
      <c r="N1148" s="27">
        <f t="shared" si="136"/>
        <v>15</v>
      </c>
      <c r="O1148" s="28">
        <f t="shared" si="137"/>
        <v>2.9818204470654194E-2</v>
      </c>
      <c r="P1148" s="28">
        <f t="shared" si="138"/>
        <v>0.18906685236768803</v>
      </c>
      <c r="Q1148" s="26">
        <f t="shared" si="139"/>
        <v>1.5336803621169914</v>
      </c>
      <c r="R1148" s="29">
        <f t="shared" si="140"/>
        <v>8.1118416206261497</v>
      </c>
      <c r="S1148" s="30">
        <f t="shared" si="141"/>
        <v>7</v>
      </c>
      <c r="T1148" s="30">
        <f t="shared" si="142"/>
        <v>2023</v>
      </c>
      <c r="U1148" s="29" t="str">
        <f t="shared" si="143"/>
        <v>July</v>
      </c>
    </row>
    <row r="1149" spans="1:21" ht="17.399999999999999" x14ac:dyDescent="0.3">
      <c r="A1149" s="21" t="s">
        <v>1540</v>
      </c>
      <c r="B1149" s="21" t="s">
        <v>1541</v>
      </c>
      <c r="C1149" s="23" t="s">
        <v>3518</v>
      </c>
      <c r="D1149" s="21" t="s">
        <v>3521</v>
      </c>
      <c r="E1149" s="24">
        <v>45138</v>
      </c>
      <c r="F1149" s="24">
        <v>45141</v>
      </c>
      <c r="G1149" s="22" t="s">
        <v>11</v>
      </c>
      <c r="H1149" s="25">
        <v>62886</v>
      </c>
      <c r="I1149" s="25">
        <v>629</v>
      </c>
      <c r="J1149" s="26">
        <v>1252.98</v>
      </c>
      <c r="K1149" s="25">
        <v>125</v>
      </c>
      <c r="L1149" s="21" t="s">
        <v>17</v>
      </c>
      <c r="M1149" s="22" t="s">
        <v>11</v>
      </c>
      <c r="N1149" s="27">
        <f t="shared" si="136"/>
        <v>3</v>
      </c>
      <c r="O1149" s="28">
        <f t="shared" si="137"/>
        <v>1.0002226250675827E-2</v>
      </c>
      <c r="P1149" s="28">
        <f t="shared" si="138"/>
        <v>0.1987281399046105</v>
      </c>
      <c r="Q1149" s="26">
        <f t="shared" si="139"/>
        <v>1.9920190779014308</v>
      </c>
      <c r="R1149" s="29">
        <f t="shared" si="140"/>
        <v>10.02384</v>
      </c>
      <c r="S1149" s="30">
        <f t="shared" si="141"/>
        <v>7</v>
      </c>
      <c r="T1149" s="30">
        <f t="shared" si="142"/>
        <v>2023</v>
      </c>
      <c r="U1149" s="29" t="str">
        <f t="shared" si="143"/>
        <v>July</v>
      </c>
    </row>
    <row r="1150" spans="1:21" ht="17.399999999999999" x14ac:dyDescent="0.3">
      <c r="A1150" s="21" t="s">
        <v>519</v>
      </c>
      <c r="B1150" s="21" t="s">
        <v>520</v>
      </c>
      <c r="C1150" s="23" t="s">
        <v>3516</v>
      </c>
      <c r="D1150" s="21" t="s">
        <v>3521</v>
      </c>
      <c r="E1150" s="24">
        <v>45138</v>
      </c>
      <c r="F1150" s="24">
        <v>45142</v>
      </c>
      <c r="G1150" s="22" t="s">
        <v>3535</v>
      </c>
      <c r="H1150" s="25">
        <v>43642</v>
      </c>
      <c r="I1150" s="25">
        <v>527</v>
      </c>
      <c r="J1150" s="26">
        <v>530.28</v>
      </c>
      <c r="K1150" s="25">
        <v>100</v>
      </c>
      <c r="L1150" s="21" t="s">
        <v>21</v>
      </c>
      <c r="M1150" s="22" t="s">
        <v>3535</v>
      </c>
      <c r="N1150" s="27">
        <f t="shared" si="136"/>
        <v>4</v>
      </c>
      <c r="O1150" s="28">
        <f t="shared" si="137"/>
        <v>1.2075523578204482E-2</v>
      </c>
      <c r="P1150" s="28">
        <f t="shared" si="138"/>
        <v>0.18975332068311196</v>
      </c>
      <c r="Q1150" s="26">
        <f t="shared" si="139"/>
        <v>1.006223908918406</v>
      </c>
      <c r="R1150" s="29">
        <f t="shared" si="140"/>
        <v>5.3027999999999995</v>
      </c>
      <c r="S1150" s="30">
        <f t="shared" si="141"/>
        <v>7</v>
      </c>
      <c r="T1150" s="30">
        <f t="shared" si="142"/>
        <v>2023</v>
      </c>
      <c r="U1150" s="29" t="str">
        <f t="shared" si="143"/>
        <v>July</v>
      </c>
    </row>
    <row r="1151" spans="1:21" ht="17.399999999999999" x14ac:dyDescent="0.3">
      <c r="A1151" s="21" t="s">
        <v>2040</v>
      </c>
      <c r="B1151" s="21" t="s">
        <v>2041</v>
      </c>
      <c r="C1151" s="23" t="s">
        <v>3516</v>
      </c>
      <c r="D1151" s="21" t="s">
        <v>3521</v>
      </c>
      <c r="E1151" s="24">
        <v>45138</v>
      </c>
      <c r="F1151" s="24">
        <v>45154</v>
      </c>
      <c r="G1151" s="22" t="s">
        <v>24</v>
      </c>
      <c r="H1151" s="25">
        <v>83870</v>
      </c>
      <c r="I1151" s="25">
        <v>3122</v>
      </c>
      <c r="J1151" s="26">
        <v>2702.72</v>
      </c>
      <c r="K1151" s="25">
        <v>0</v>
      </c>
      <c r="L1151" s="21" t="s">
        <v>21</v>
      </c>
      <c r="M1151" s="22" t="s">
        <v>3536</v>
      </c>
      <c r="N1151" s="27">
        <f t="shared" si="136"/>
        <v>16</v>
      </c>
      <c r="O1151" s="28">
        <f t="shared" si="137"/>
        <v>3.7224275664719211E-2</v>
      </c>
      <c r="P1151" s="28">
        <f t="shared" si="138"/>
        <v>0</v>
      </c>
      <c r="Q1151" s="26">
        <f t="shared" si="139"/>
        <v>0.86570147341447778</v>
      </c>
      <c r="R1151" s="29" t="str">
        <f t="shared" si="140"/>
        <v>0</v>
      </c>
      <c r="S1151" s="30">
        <f t="shared" si="141"/>
        <v>7</v>
      </c>
      <c r="T1151" s="30">
        <f t="shared" si="142"/>
        <v>2023</v>
      </c>
      <c r="U1151" s="29" t="str">
        <f t="shared" si="143"/>
        <v>July</v>
      </c>
    </row>
    <row r="1152" spans="1:21" ht="17.399999999999999" x14ac:dyDescent="0.3">
      <c r="A1152" s="21" t="s">
        <v>3489</v>
      </c>
      <c r="B1152" s="21" t="s">
        <v>3490</v>
      </c>
      <c r="C1152" s="23" t="s">
        <v>3515</v>
      </c>
      <c r="D1152" s="21" t="s">
        <v>3520</v>
      </c>
      <c r="E1152" s="24">
        <v>45138</v>
      </c>
      <c r="F1152" s="24">
        <v>45168</v>
      </c>
      <c r="G1152" s="22" t="s">
        <v>31</v>
      </c>
      <c r="H1152" s="25">
        <v>27745</v>
      </c>
      <c r="I1152" s="25">
        <v>392</v>
      </c>
      <c r="J1152" s="26">
        <v>386.71</v>
      </c>
      <c r="K1152" s="25">
        <v>70</v>
      </c>
      <c r="L1152" s="21" t="s">
        <v>21</v>
      </c>
      <c r="M1152" s="22" t="s">
        <v>31</v>
      </c>
      <c r="N1152" s="27">
        <f t="shared" si="136"/>
        <v>30</v>
      </c>
      <c r="O1152" s="28">
        <f t="shared" si="137"/>
        <v>1.412867183276266E-2</v>
      </c>
      <c r="P1152" s="28">
        <f t="shared" si="138"/>
        <v>0.17857142857142858</v>
      </c>
      <c r="Q1152" s="26">
        <f t="shared" si="139"/>
        <v>0.98650510204081632</v>
      </c>
      <c r="R1152" s="29">
        <f t="shared" si="140"/>
        <v>5.5244285714285715</v>
      </c>
      <c r="S1152" s="30">
        <f t="shared" si="141"/>
        <v>7</v>
      </c>
      <c r="T1152" s="30">
        <f t="shared" si="142"/>
        <v>2023</v>
      </c>
      <c r="U1152" s="29" t="str">
        <f t="shared" si="143"/>
        <v>July</v>
      </c>
    </row>
    <row r="1153" spans="1:21" ht="17.399999999999999" x14ac:dyDescent="0.3">
      <c r="A1153" s="21" t="s">
        <v>546</v>
      </c>
      <c r="B1153" s="21" t="s">
        <v>547</v>
      </c>
      <c r="C1153" s="23" t="s">
        <v>3519</v>
      </c>
      <c r="D1153" s="21" t="s">
        <v>3521</v>
      </c>
      <c r="E1153" s="24">
        <v>45139</v>
      </c>
      <c r="F1153" s="24">
        <v>45155</v>
      </c>
      <c r="G1153" s="22" t="s">
        <v>14</v>
      </c>
      <c r="H1153" s="25">
        <v>3557</v>
      </c>
      <c r="I1153" s="25">
        <v>35</v>
      </c>
      <c r="J1153" s="26">
        <v>29.68</v>
      </c>
      <c r="K1153" s="25">
        <v>5</v>
      </c>
      <c r="L1153" s="21" t="s">
        <v>21</v>
      </c>
      <c r="M1153" s="22" t="s">
        <v>3537</v>
      </c>
      <c r="N1153" s="27">
        <f t="shared" si="136"/>
        <v>16</v>
      </c>
      <c r="O1153" s="28">
        <f t="shared" si="137"/>
        <v>9.8397526005060444E-3</v>
      </c>
      <c r="P1153" s="28">
        <f t="shared" si="138"/>
        <v>0.14285714285714285</v>
      </c>
      <c r="Q1153" s="26">
        <f t="shared" si="139"/>
        <v>0.84799999999999998</v>
      </c>
      <c r="R1153" s="29">
        <f t="shared" si="140"/>
        <v>5.9359999999999999</v>
      </c>
      <c r="S1153" s="30">
        <f t="shared" si="141"/>
        <v>8</v>
      </c>
      <c r="T1153" s="30">
        <f t="shared" si="142"/>
        <v>2023</v>
      </c>
      <c r="U1153" s="29" t="str">
        <f t="shared" si="143"/>
        <v>August</v>
      </c>
    </row>
    <row r="1154" spans="1:21" ht="17.399999999999999" x14ac:dyDescent="0.3">
      <c r="A1154" s="21" t="s">
        <v>1814</v>
      </c>
      <c r="B1154" s="21" t="s">
        <v>1815</v>
      </c>
      <c r="C1154" s="23" t="s">
        <v>3519</v>
      </c>
      <c r="D1154" s="21" t="s">
        <v>3520</v>
      </c>
      <c r="E1154" s="24">
        <v>45139</v>
      </c>
      <c r="F1154" s="24">
        <v>45158</v>
      </c>
      <c r="G1154" s="22" t="s">
        <v>11</v>
      </c>
      <c r="H1154" s="25">
        <v>42427</v>
      </c>
      <c r="I1154" s="25">
        <v>1440</v>
      </c>
      <c r="J1154" s="26">
        <v>2740.42</v>
      </c>
      <c r="K1154" s="25">
        <v>0</v>
      </c>
      <c r="L1154" s="21" t="s">
        <v>21</v>
      </c>
      <c r="M1154" s="22" t="s">
        <v>11</v>
      </c>
      <c r="N1154" s="27">
        <f t="shared" ref="N1154:N1217" si="144">F1154-E1154</f>
        <v>19</v>
      </c>
      <c r="O1154" s="28">
        <f t="shared" ref="O1154:O1217" si="145">I1154/H1154</f>
        <v>3.394065100054211E-2</v>
      </c>
      <c r="P1154" s="28">
        <f t="shared" ref="P1154:P1217" si="146">K1154/I1154</f>
        <v>0</v>
      </c>
      <c r="Q1154" s="26">
        <f t="shared" ref="Q1154:Q1217" si="147">J1154/I1154</f>
        <v>1.9030694444444445</v>
      </c>
      <c r="R1154" s="29" t="str">
        <f t="shared" ref="R1154:R1217" si="148">IFERROR(J1154/K1154,"0")</f>
        <v>0</v>
      </c>
      <c r="S1154" s="30">
        <f t="shared" ref="S1154:S1217" si="149">MONTH(E1154)</f>
        <v>8</v>
      </c>
      <c r="T1154" s="30">
        <f t="shared" ref="T1154:T1217" si="150">YEAR(E1154)</f>
        <v>2023</v>
      </c>
      <c r="U1154" s="29" t="str">
        <f t="shared" ref="U1154:U1217" si="151">TEXT(E1154,"mmmm")</f>
        <v>August</v>
      </c>
    </row>
    <row r="1155" spans="1:21" ht="17.399999999999999" x14ac:dyDescent="0.3">
      <c r="A1155" s="21" t="s">
        <v>3063</v>
      </c>
      <c r="B1155" s="21" t="s">
        <v>3064</v>
      </c>
      <c r="C1155" s="23" t="s">
        <v>3518</v>
      </c>
      <c r="D1155" s="21" t="s">
        <v>3520</v>
      </c>
      <c r="E1155" s="24">
        <v>45139</v>
      </c>
      <c r="F1155" s="24">
        <v>45164</v>
      </c>
      <c r="G1155" s="22" t="s">
        <v>24</v>
      </c>
      <c r="H1155" s="25">
        <v>48638</v>
      </c>
      <c r="I1155" s="25">
        <v>1363</v>
      </c>
      <c r="J1155" s="26">
        <v>783.03</v>
      </c>
      <c r="K1155" s="25">
        <v>0</v>
      </c>
      <c r="L1155" s="21" t="s">
        <v>17</v>
      </c>
      <c r="M1155" s="22" t="s">
        <v>3536</v>
      </c>
      <c r="N1155" s="27">
        <f t="shared" si="144"/>
        <v>25</v>
      </c>
      <c r="O1155" s="28">
        <f t="shared" si="145"/>
        <v>2.8023356223528927E-2</v>
      </c>
      <c r="P1155" s="28">
        <f t="shared" si="146"/>
        <v>0</v>
      </c>
      <c r="Q1155" s="26">
        <f t="shared" si="147"/>
        <v>0.57449009537784301</v>
      </c>
      <c r="R1155" s="29" t="str">
        <f t="shared" si="148"/>
        <v>0</v>
      </c>
      <c r="S1155" s="30">
        <f t="shared" si="149"/>
        <v>8</v>
      </c>
      <c r="T1155" s="30">
        <f t="shared" si="150"/>
        <v>2023</v>
      </c>
      <c r="U1155" s="29" t="str">
        <f t="shared" si="151"/>
        <v>August</v>
      </c>
    </row>
    <row r="1156" spans="1:21" ht="17.399999999999999" x14ac:dyDescent="0.3">
      <c r="A1156" s="21" t="s">
        <v>1864</v>
      </c>
      <c r="B1156" s="21" t="s">
        <v>1865</v>
      </c>
      <c r="C1156" s="23" t="s">
        <v>3518</v>
      </c>
      <c r="D1156" s="21" t="s">
        <v>3517</v>
      </c>
      <c r="E1156" s="24">
        <v>45140</v>
      </c>
      <c r="F1156" s="24">
        <v>45141</v>
      </c>
      <c r="G1156" s="22" t="s">
        <v>14</v>
      </c>
      <c r="H1156" s="25">
        <v>21618</v>
      </c>
      <c r="I1156" s="25">
        <v>961</v>
      </c>
      <c r="J1156" s="26">
        <v>870.6</v>
      </c>
      <c r="K1156" s="25">
        <v>131</v>
      </c>
      <c r="L1156" s="21" t="s">
        <v>21</v>
      </c>
      <c r="M1156" s="22" t="s">
        <v>3537</v>
      </c>
      <c r="N1156" s="27">
        <f t="shared" si="144"/>
        <v>1</v>
      </c>
      <c r="O1156" s="28">
        <f t="shared" si="145"/>
        <v>4.4453695994079008E-2</v>
      </c>
      <c r="P1156" s="28">
        <f t="shared" si="146"/>
        <v>0.13631633714880334</v>
      </c>
      <c r="Q1156" s="26">
        <f t="shared" si="147"/>
        <v>0.90593132154006251</v>
      </c>
      <c r="R1156" s="29">
        <f t="shared" si="148"/>
        <v>6.6458015267175572</v>
      </c>
      <c r="S1156" s="30">
        <f t="shared" si="149"/>
        <v>8</v>
      </c>
      <c r="T1156" s="30">
        <f t="shared" si="150"/>
        <v>2023</v>
      </c>
      <c r="U1156" s="29" t="str">
        <f t="shared" si="151"/>
        <v>August</v>
      </c>
    </row>
    <row r="1157" spans="1:21" ht="17.399999999999999" x14ac:dyDescent="0.3">
      <c r="A1157" s="21" t="s">
        <v>3124</v>
      </c>
      <c r="B1157" s="21" t="s">
        <v>3125</v>
      </c>
      <c r="C1157" s="23" t="s">
        <v>3515</v>
      </c>
      <c r="D1157" s="21" t="s">
        <v>3520</v>
      </c>
      <c r="E1157" s="24">
        <v>45140</v>
      </c>
      <c r="F1157" s="24">
        <v>45169</v>
      </c>
      <c r="G1157" s="22" t="s">
        <v>11</v>
      </c>
      <c r="H1157" s="25">
        <v>99875</v>
      </c>
      <c r="I1157" s="25">
        <v>2750</v>
      </c>
      <c r="J1157" s="26">
        <v>2329.35</v>
      </c>
      <c r="K1157" s="25">
        <v>0</v>
      </c>
      <c r="L1157" s="21" t="s">
        <v>21</v>
      </c>
      <c r="M1157" s="22" t="s">
        <v>11</v>
      </c>
      <c r="N1157" s="27">
        <f t="shared" si="144"/>
        <v>29</v>
      </c>
      <c r="O1157" s="28">
        <f t="shared" si="145"/>
        <v>2.7534418022528161E-2</v>
      </c>
      <c r="P1157" s="28">
        <f t="shared" si="146"/>
        <v>0</v>
      </c>
      <c r="Q1157" s="26">
        <f t="shared" si="147"/>
        <v>0.84703636363636359</v>
      </c>
      <c r="R1157" s="29" t="str">
        <f t="shared" si="148"/>
        <v>0</v>
      </c>
      <c r="S1157" s="30">
        <f t="shared" si="149"/>
        <v>8</v>
      </c>
      <c r="T1157" s="30">
        <f t="shared" si="150"/>
        <v>2023</v>
      </c>
      <c r="U1157" s="29" t="str">
        <f t="shared" si="151"/>
        <v>August</v>
      </c>
    </row>
    <row r="1158" spans="1:21" ht="17.399999999999999" x14ac:dyDescent="0.3">
      <c r="A1158" s="21" t="s">
        <v>174</v>
      </c>
      <c r="B1158" s="22" t="s">
        <v>3843</v>
      </c>
      <c r="C1158" s="23" t="s">
        <v>3519</v>
      </c>
      <c r="D1158" s="22" t="s">
        <v>3545</v>
      </c>
      <c r="E1158" s="24">
        <v>45141</v>
      </c>
      <c r="F1158" s="24">
        <v>45167</v>
      </c>
      <c r="G1158" s="22" t="s">
        <v>3535</v>
      </c>
      <c r="H1158" s="25">
        <v>9571</v>
      </c>
      <c r="I1158" s="25">
        <v>319</v>
      </c>
      <c r="J1158" s="26">
        <v>497.4</v>
      </c>
      <c r="K1158" s="25">
        <v>52</v>
      </c>
      <c r="L1158" s="21" t="s">
        <v>17</v>
      </c>
      <c r="M1158" s="22" t="s">
        <v>3535</v>
      </c>
      <c r="N1158" s="27">
        <f t="shared" si="144"/>
        <v>26</v>
      </c>
      <c r="O1158" s="28">
        <f t="shared" si="145"/>
        <v>3.3329850590324943E-2</v>
      </c>
      <c r="P1158" s="28">
        <f t="shared" si="146"/>
        <v>0.16300940438871472</v>
      </c>
      <c r="Q1158" s="26">
        <f t="shared" si="147"/>
        <v>1.5592476489028213</v>
      </c>
      <c r="R1158" s="29">
        <f t="shared" si="148"/>
        <v>9.5653846153846143</v>
      </c>
      <c r="S1158" s="30">
        <f t="shared" si="149"/>
        <v>8</v>
      </c>
      <c r="T1158" s="30">
        <f t="shared" si="150"/>
        <v>2023</v>
      </c>
      <c r="U1158" s="29" t="str">
        <f t="shared" si="151"/>
        <v>August</v>
      </c>
    </row>
    <row r="1159" spans="1:21" ht="17.399999999999999" x14ac:dyDescent="0.3">
      <c r="A1159" s="21" t="s">
        <v>790</v>
      </c>
      <c r="B1159" s="21" t="s">
        <v>791</v>
      </c>
      <c r="C1159" s="23" t="s">
        <v>3519</v>
      </c>
      <c r="D1159" s="21" t="s">
        <v>3520</v>
      </c>
      <c r="E1159" s="24">
        <v>45141</v>
      </c>
      <c r="F1159" s="24">
        <v>45165</v>
      </c>
      <c r="G1159" s="22" t="s">
        <v>31</v>
      </c>
      <c r="H1159" s="25">
        <v>88235</v>
      </c>
      <c r="I1159" s="25">
        <v>3182</v>
      </c>
      <c r="J1159" s="26">
        <v>5093.82</v>
      </c>
      <c r="K1159" s="25">
        <v>385</v>
      </c>
      <c r="L1159" s="21" t="s">
        <v>21</v>
      </c>
      <c r="M1159" s="22" t="s">
        <v>31</v>
      </c>
      <c r="N1159" s="27">
        <f t="shared" si="144"/>
        <v>24</v>
      </c>
      <c r="O1159" s="28">
        <f t="shared" si="145"/>
        <v>3.6062786875956251E-2</v>
      </c>
      <c r="P1159" s="28">
        <f t="shared" si="146"/>
        <v>0.12099308610936518</v>
      </c>
      <c r="Q1159" s="26">
        <f t="shared" si="147"/>
        <v>1.6008233815210557</v>
      </c>
      <c r="R1159" s="29">
        <f t="shared" si="148"/>
        <v>13.230701298701298</v>
      </c>
      <c r="S1159" s="30">
        <f t="shared" si="149"/>
        <v>8</v>
      </c>
      <c r="T1159" s="30">
        <f t="shared" si="150"/>
        <v>2023</v>
      </c>
      <c r="U1159" s="29" t="str">
        <f t="shared" si="151"/>
        <v>August</v>
      </c>
    </row>
    <row r="1160" spans="1:21" ht="17.399999999999999" x14ac:dyDescent="0.3">
      <c r="A1160" s="21" t="s">
        <v>336</v>
      </c>
      <c r="B1160" s="21" t="s">
        <v>337</v>
      </c>
      <c r="C1160" s="23" t="s">
        <v>3516</v>
      </c>
      <c r="D1160" s="21" t="s">
        <v>3520</v>
      </c>
      <c r="E1160" s="24">
        <v>45141</v>
      </c>
      <c r="F1160" s="24">
        <v>45165</v>
      </c>
      <c r="G1160" s="22" t="s">
        <v>14</v>
      </c>
      <c r="H1160" s="25">
        <v>56016</v>
      </c>
      <c r="I1160" s="25">
        <v>1728</v>
      </c>
      <c r="J1160" s="26">
        <v>1890.33</v>
      </c>
      <c r="K1160" s="25">
        <v>128</v>
      </c>
      <c r="L1160" s="21" t="s">
        <v>17</v>
      </c>
      <c r="M1160" s="22" t="s">
        <v>3537</v>
      </c>
      <c r="N1160" s="27">
        <f t="shared" si="144"/>
        <v>24</v>
      </c>
      <c r="O1160" s="28">
        <f t="shared" si="145"/>
        <v>3.0848329048843187E-2</v>
      </c>
      <c r="P1160" s="28">
        <f t="shared" si="146"/>
        <v>7.407407407407407E-2</v>
      </c>
      <c r="Q1160" s="26">
        <f t="shared" si="147"/>
        <v>1.0939409722222222</v>
      </c>
      <c r="R1160" s="29">
        <f t="shared" si="148"/>
        <v>14.768203124999999</v>
      </c>
      <c r="S1160" s="30">
        <f t="shared" si="149"/>
        <v>8</v>
      </c>
      <c r="T1160" s="30">
        <f t="shared" si="150"/>
        <v>2023</v>
      </c>
      <c r="U1160" s="29" t="str">
        <f t="shared" si="151"/>
        <v>August</v>
      </c>
    </row>
    <row r="1161" spans="1:21" ht="17.399999999999999" x14ac:dyDescent="0.3">
      <c r="A1161" s="21" t="s">
        <v>2849</v>
      </c>
      <c r="B1161" s="21" t="s">
        <v>2850</v>
      </c>
      <c r="C1161" s="23" t="s">
        <v>3516</v>
      </c>
      <c r="D1161" s="21" t="s">
        <v>3520</v>
      </c>
      <c r="E1161" s="24">
        <v>45141</v>
      </c>
      <c r="F1161" s="24">
        <v>45145</v>
      </c>
      <c r="G1161" s="22" t="s">
        <v>3535</v>
      </c>
      <c r="H1161" s="25">
        <v>5494</v>
      </c>
      <c r="I1161" s="25">
        <v>178</v>
      </c>
      <c r="J1161" s="26">
        <v>300.27</v>
      </c>
      <c r="K1161" s="25">
        <v>16</v>
      </c>
      <c r="L1161" s="21" t="s">
        <v>21</v>
      </c>
      <c r="M1161" s="22" t="s">
        <v>3535</v>
      </c>
      <c r="N1161" s="27">
        <f t="shared" si="144"/>
        <v>4</v>
      </c>
      <c r="O1161" s="28">
        <f t="shared" si="145"/>
        <v>3.2398980706224975E-2</v>
      </c>
      <c r="P1161" s="28">
        <f t="shared" si="146"/>
        <v>8.98876404494382E-2</v>
      </c>
      <c r="Q1161" s="26">
        <f t="shared" si="147"/>
        <v>1.6869101123595505</v>
      </c>
      <c r="R1161" s="29">
        <f t="shared" si="148"/>
        <v>18.766874999999999</v>
      </c>
      <c r="S1161" s="30">
        <f t="shared" si="149"/>
        <v>8</v>
      </c>
      <c r="T1161" s="30">
        <f t="shared" si="150"/>
        <v>2023</v>
      </c>
      <c r="U1161" s="29" t="str">
        <f t="shared" si="151"/>
        <v>August</v>
      </c>
    </row>
    <row r="1162" spans="1:21" ht="17.399999999999999" x14ac:dyDescent="0.3">
      <c r="A1162" s="21" t="s">
        <v>1590</v>
      </c>
      <c r="B1162" s="21" t="s">
        <v>1591</v>
      </c>
      <c r="C1162" s="23" t="s">
        <v>3515</v>
      </c>
      <c r="D1162" s="21" t="s">
        <v>3520</v>
      </c>
      <c r="E1162" s="24">
        <v>45141</v>
      </c>
      <c r="F1162" s="24">
        <v>45142</v>
      </c>
      <c r="G1162" s="22" t="s">
        <v>24</v>
      </c>
      <c r="H1162" s="25">
        <v>18144</v>
      </c>
      <c r="I1162" s="25">
        <v>339</v>
      </c>
      <c r="J1162" s="26">
        <v>473.89</v>
      </c>
      <c r="K1162" s="25">
        <v>56</v>
      </c>
      <c r="L1162" s="21" t="s">
        <v>17</v>
      </c>
      <c r="M1162" s="22" t="s">
        <v>3536</v>
      </c>
      <c r="N1162" s="27">
        <f t="shared" si="144"/>
        <v>1</v>
      </c>
      <c r="O1162" s="28">
        <f t="shared" si="145"/>
        <v>1.8683862433862435E-2</v>
      </c>
      <c r="P1162" s="28">
        <f t="shared" si="146"/>
        <v>0.16519174041297935</v>
      </c>
      <c r="Q1162" s="26">
        <f t="shared" si="147"/>
        <v>1.397905604719764</v>
      </c>
      <c r="R1162" s="29">
        <f t="shared" si="148"/>
        <v>8.4623214285714283</v>
      </c>
      <c r="S1162" s="30">
        <f t="shared" si="149"/>
        <v>8</v>
      </c>
      <c r="T1162" s="30">
        <f t="shared" si="150"/>
        <v>2023</v>
      </c>
      <c r="U1162" s="29" t="str">
        <f t="shared" si="151"/>
        <v>August</v>
      </c>
    </row>
    <row r="1163" spans="1:21" ht="17.399999999999999" x14ac:dyDescent="0.3">
      <c r="A1163" s="21" t="s">
        <v>1347</v>
      </c>
      <c r="B1163" s="21" t="s">
        <v>1348</v>
      </c>
      <c r="C1163" s="23" t="s">
        <v>3519</v>
      </c>
      <c r="D1163" s="21" t="s">
        <v>3520</v>
      </c>
      <c r="E1163" s="24">
        <v>45142</v>
      </c>
      <c r="F1163" s="24">
        <v>45161</v>
      </c>
      <c r="G1163" s="22" t="s">
        <v>31</v>
      </c>
      <c r="H1163" s="25">
        <v>34307</v>
      </c>
      <c r="I1163" s="25">
        <v>1373</v>
      </c>
      <c r="J1163" s="26">
        <v>724.37</v>
      </c>
      <c r="K1163" s="25">
        <v>85</v>
      </c>
      <c r="L1163" s="21" t="s">
        <v>21</v>
      </c>
      <c r="M1163" s="22" t="s">
        <v>31</v>
      </c>
      <c r="N1163" s="27">
        <f t="shared" si="144"/>
        <v>19</v>
      </c>
      <c r="O1163" s="28">
        <f t="shared" si="145"/>
        <v>4.002098697058909E-2</v>
      </c>
      <c r="P1163" s="28">
        <f t="shared" si="146"/>
        <v>6.1908230152949745E-2</v>
      </c>
      <c r="Q1163" s="26">
        <f t="shared" si="147"/>
        <v>0.52758193736343773</v>
      </c>
      <c r="R1163" s="29">
        <f t="shared" si="148"/>
        <v>8.5220000000000002</v>
      </c>
      <c r="S1163" s="30">
        <f t="shared" si="149"/>
        <v>8</v>
      </c>
      <c r="T1163" s="30">
        <f t="shared" si="150"/>
        <v>2023</v>
      </c>
      <c r="U1163" s="29" t="str">
        <f t="shared" si="151"/>
        <v>August</v>
      </c>
    </row>
    <row r="1164" spans="1:21" ht="17.399999999999999" x14ac:dyDescent="0.3">
      <c r="A1164" s="21" t="s">
        <v>2888</v>
      </c>
      <c r="B1164" s="21" t="s">
        <v>2889</v>
      </c>
      <c r="C1164" s="23" t="s">
        <v>3518</v>
      </c>
      <c r="D1164" s="21" t="s">
        <v>3517</v>
      </c>
      <c r="E1164" s="24">
        <v>45142</v>
      </c>
      <c r="F1164" s="24">
        <v>45148</v>
      </c>
      <c r="G1164" s="22" t="s">
        <v>11</v>
      </c>
      <c r="H1164" s="25">
        <v>42844</v>
      </c>
      <c r="I1164" s="25">
        <v>1174</v>
      </c>
      <c r="J1164" s="26">
        <v>1283.96</v>
      </c>
      <c r="K1164" s="25">
        <v>208</v>
      </c>
      <c r="L1164" s="21" t="s">
        <v>17</v>
      </c>
      <c r="M1164" s="22" t="s">
        <v>11</v>
      </c>
      <c r="N1164" s="27">
        <f t="shared" si="144"/>
        <v>6</v>
      </c>
      <c r="O1164" s="28">
        <f t="shared" si="145"/>
        <v>2.7401736532536646E-2</v>
      </c>
      <c r="P1164" s="28">
        <f t="shared" si="146"/>
        <v>0.17717206132879046</v>
      </c>
      <c r="Q1164" s="26">
        <f t="shared" si="147"/>
        <v>1.0936626916524703</v>
      </c>
      <c r="R1164" s="29">
        <f t="shared" si="148"/>
        <v>6.172884615384616</v>
      </c>
      <c r="S1164" s="30">
        <f t="shared" si="149"/>
        <v>8</v>
      </c>
      <c r="T1164" s="30">
        <f t="shared" si="150"/>
        <v>2023</v>
      </c>
      <c r="U1164" s="29" t="str">
        <f t="shared" si="151"/>
        <v>August</v>
      </c>
    </row>
    <row r="1165" spans="1:21" ht="17.399999999999999" x14ac:dyDescent="0.3">
      <c r="A1165" s="21" t="s">
        <v>718</v>
      </c>
      <c r="B1165" s="21" t="s">
        <v>719</v>
      </c>
      <c r="C1165" s="23" t="s">
        <v>3515</v>
      </c>
      <c r="D1165" s="21" t="s">
        <v>3517</v>
      </c>
      <c r="E1165" s="24">
        <v>45142</v>
      </c>
      <c r="F1165" s="24">
        <v>45154</v>
      </c>
      <c r="G1165" s="22" t="s">
        <v>11</v>
      </c>
      <c r="H1165" s="25">
        <v>50689</v>
      </c>
      <c r="I1165" s="25">
        <v>1760</v>
      </c>
      <c r="J1165" s="26">
        <v>1404.02</v>
      </c>
      <c r="K1165" s="25">
        <v>0</v>
      </c>
      <c r="L1165" s="21" t="s">
        <v>17</v>
      </c>
      <c r="M1165" s="22" t="s">
        <v>11</v>
      </c>
      <c r="N1165" s="27">
        <f t="shared" si="144"/>
        <v>12</v>
      </c>
      <c r="O1165" s="28">
        <f t="shared" si="145"/>
        <v>3.4721537217147706E-2</v>
      </c>
      <c r="P1165" s="28">
        <f t="shared" si="146"/>
        <v>0</v>
      </c>
      <c r="Q1165" s="26">
        <f t="shared" si="147"/>
        <v>0.7977386363636364</v>
      </c>
      <c r="R1165" s="29" t="str">
        <f t="shared" si="148"/>
        <v>0</v>
      </c>
      <c r="S1165" s="30">
        <f t="shared" si="149"/>
        <v>8</v>
      </c>
      <c r="T1165" s="30">
        <f t="shared" si="150"/>
        <v>2023</v>
      </c>
      <c r="U1165" s="29" t="str">
        <f t="shared" si="151"/>
        <v>August</v>
      </c>
    </row>
    <row r="1166" spans="1:21" ht="17.399999999999999" x14ac:dyDescent="0.3">
      <c r="A1166" s="21" t="s">
        <v>2832</v>
      </c>
      <c r="B1166" s="22" t="s">
        <v>3844</v>
      </c>
      <c r="C1166" s="23" t="s">
        <v>3519</v>
      </c>
      <c r="D1166" s="22" t="s">
        <v>3545</v>
      </c>
      <c r="E1166" s="24">
        <v>45143</v>
      </c>
      <c r="F1166" s="24">
        <v>45151</v>
      </c>
      <c r="G1166" s="22" t="s">
        <v>11</v>
      </c>
      <c r="H1166" s="25">
        <v>33413</v>
      </c>
      <c r="I1166" s="25">
        <v>693</v>
      </c>
      <c r="J1166" s="26">
        <v>1299.95</v>
      </c>
      <c r="K1166" s="25">
        <v>39</v>
      </c>
      <c r="L1166" s="21" t="s">
        <v>21</v>
      </c>
      <c r="M1166" s="22" t="s">
        <v>11</v>
      </c>
      <c r="N1166" s="27">
        <f t="shared" si="144"/>
        <v>8</v>
      </c>
      <c r="O1166" s="28">
        <f t="shared" si="145"/>
        <v>2.0740430371412325E-2</v>
      </c>
      <c r="P1166" s="28">
        <f t="shared" si="146"/>
        <v>5.627705627705628E-2</v>
      </c>
      <c r="Q1166" s="26">
        <f t="shared" si="147"/>
        <v>1.8758297258297258</v>
      </c>
      <c r="R1166" s="29">
        <f t="shared" si="148"/>
        <v>33.332051282051282</v>
      </c>
      <c r="S1166" s="30">
        <f t="shared" si="149"/>
        <v>8</v>
      </c>
      <c r="T1166" s="30">
        <f t="shared" si="150"/>
        <v>2023</v>
      </c>
      <c r="U1166" s="29" t="str">
        <f t="shared" si="151"/>
        <v>August</v>
      </c>
    </row>
    <row r="1167" spans="1:21" ht="17.399999999999999" x14ac:dyDescent="0.3">
      <c r="A1167" s="21" t="s">
        <v>764</v>
      </c>
      <c r="B1167" s="21" t="s">
        <v>765</v>
      </c>
      <c r="C1167" s="23" t="s">
        <v>3516</v>
      </c>
      <c r="D1167" s="21" t="s">
        <v>3521</v>
      </c>
      <c r="E1167" s="24">
        <v>45143</v>
      </c>
      <c r="F1167" s="24">
        <v>45156</v>
      </c>
      <c r="G1167" s="22" t="s">
        <v>31</v>
      </c>
      <c r="H1167" s="25">
        <v>56609</v>
      </c>
      <c r="I1167" s="25">
        <v>1298</v>
      </c>
      <c r="J1167" s="26">
        <v>1223.51</v>
      </c>
      <c r="K1167" s="25">
        <v>118</v>
      </c>
      <c r="L1167" s="21" t="s">
        <v>21</v>
      </c>
      <c r="M1167" s="22" t="s">
        <v>31</v>
      </c>
      <c r="N1167" s="27">
        <f t="shared" si="144"/>
        <v>13</v>
      </c>
      <c r="O1167" s="28">
        <f t="shared" si="145"/>
        <v>2.2929216202370647E-2</v>
      </c>
      <c r="P1167" s="28">
        <f t="shared" si="146"/>
        <v>9.0909090909090912E-2</v>
      </c>
      <c r="Q1167" s="26">
        <f t="shared" si="147"/>
        <v>0.94261171032357471</v>
      </c>
      <c r="R1167" s="29">
        <f t="shared" si="148"/>
        <v>10.368728813559322</v>
      </c>
      <c r="S1167" s="30">
        <f t="shared" si="149"/>
        <v>8</v>
      </c>
      <c r="T1167" s="30">
        <f t="shared" si="150"/>
        <v>2023</v>
      </c>
      <c r="U1167" s="29" t="str">
        <f t="shared" si="151"/>
        <v>August</v>
      </c>
    </row>
    <row r="1168" spans="1:21" ht="17.399999999999999" x14ac:dyDescent="0.3">
      <c r="A1168" s="21" t="s">
        <v>1762</v>
      </c>
      <c r="B1168" s="21" t="s">
        <v>1763</v>
      </c>
      <c r="C1168" s="23" t="s">
        <v>3516</v>
      </c>
      <c r="D1168" s="21" t="s">
        <v>3520</v>
      </c>
      <c r="E1168" s="24">
        <v>45143</v>
      </c>
      <c r="F1168" s="24">
        <v>45147</v>
      </c>
      <c r="G1168" s="22" t="s">
        <v>11</v>
      </c>
      <c r="H1168" s="25">
        <v>85659</v>
      </c>
      <c r="I1168" s="25">
        <v>3879</v>
      </c>
      <c r="J1168" s="26">
        <v>4398.72</v>
      </c>
      <c r="K1168" s="25">
        <v>592</v>
      </c>
      <c r="L1168" s="21" t="s">
        <v>21</v>
      </c>
      <c r="M1168" s="22" t="s">
        <v>11</v>
      </c>
      <c r="N1168" s="27">
        <f t="shared" si="144"/>
        <v>4</v>
      </c>
      <c r="O1168" s="28">
        <f t="shared" si="145"/>
        <v>4.5284208314362764E-2</v>
      </c>
      <c r="P1168" s="28">
        <f t="shared" si="146"/>
        <v>0.15261665377674657</v>
      </c>
      <c r="Q1168" s="26">
        <f t="shared" si="147"/>
        <v>1.1339829853054912</v>
      </c>
      <c r="R1168" s="29">
        <f t="shared" si="148"/>
        <v>7.4302702702702703</v>
      </c>
      <c r="S1168" s="30">
        <f t="shared" si="149"/>
        <v>8</v>
      </c>
      <c r="T1168" s="30">
        <f t="shared" si="150"/>
        <v>2023</v>
      </c>
      <c r="U1168" s="29" t="str">
        <f t="shared" si="151"/>
        <v>August</v>
      </c>
    </row>
    <row r="1169" spans="1:21" ht="17.399999999999999" x14ac:dyDescent="0.3">
      <c r="A1169" s="21" t="s">
        <v>1027</v>
      </c>
      <c r="B1169" s="21" t="s">
        <v>1028</v>
      </c>
      <c r="C1169" s="23" t="s">
        <v>3519</v>
      </c>
      <c r="D1169" s="21" t="s">
        <v>3517</v>
      </c>
      <c r="E1169" s="24">
        <v>45144</v>
      </c>
      <c r="F1169" s="24">
        <v>45147</v>
      </c>
      <c r="G1169" s="22" t="s">
        <v>14</v>
      </c>
      <c r="H1169" s="25">
        <v>27092</v>
      </c>
      <c r="I1169" s="25">
        <v>677</v>
      </c>
      <c r="J1169" s="26">
        <v>1296.29</v>
      </c>
      <c r="K1169" s="25">
        <v>83</v>
      </c>
      <c r="L1169" s="21" t="s">
        <v>21</v>
      </c>
      <c r="M1169" s="22" t="s">
        <v>3537</v>
      </c>
      <c r="N1169" s="27">
        <f t="shared" si="144"/>
        <v>3</v>
      </c>
      <c r="O1169" s="28">
        <f t="shared" si="145"/>
        <v>2.4988926620404549E-2</v>
      </c>
      <c r="P1169" s="28">
        <f t="shared" si="146"/>
        <v>0.12259970457902511</v>
      </c>
      <c r="Q1169" s="26">
        <f t="shared" si="147"/>
        <v>1.9147562776957163</v>
      </c>
      <c r="R1169" s="29">
        <f t="shared" si="148"/>
        <v>15.617951807228915</v>
      </c>
      <c r="S1169" s="30">
        <f t="shared" si="149"/>
        <v>8</v>
      </c>
      <c r="T1169" s="30">
        <f t="shared" si="150"/>
        <v>2023</v>
      </c>
      <c r="U1169" s="29" t="str">
        <f t="shared" si="151"/>
        <v>August</v>
      </c>
    </row>
    <row r="1170" spans="1:21" ht="17.399999999999999" x14ac:dyDescent="0.3">
      <c r="A1170" s="21" t="s">
        <v>1359</v>
      </c>
      <c r="B1170" s="21" t="s">
        <v>1360</v>
      </c>
      <c r="C1170" s="23" t="s">
        <v>3519</v>
      </c>
      <c r="D1170" s="21" t="s">
        <v>3521</v>
      </c>
      <c r="E1170" s="24">
        <v>45144</v>
      </c>
      <c r="F1170" s="24">
        <v>45165</v>
      </c>
      <c r="G1170" s="22" t="s">
        <v>24</v>
      </c>
      <c r="H1170" s="25">
        <v>58043</v>
      </c>
      <c r="I1170" s="25">
        <v>1443</v>
      </c>
      <c r="J1170" s="26">
        <v>1181.0999999999999</v>
      </c>
      <c r="K1170" s="25">
        <v>230</v>
      </c>
      <c r="L1170" s="21" t="s">
        <v>17</v>
      </c>
      <c r="M1170" s="22" t="s">
        <v>3536</v>
      </c>
      <c r="N1170" s="27">
        <f t="shared" si="144"/>
        <v>21</v>
      </c>
      <c r="O1170" s="28">
        <f t="shared" si="145"/>
        <v>2.4860879003497406E-2</v>
      </c>
      <c r="P1170" s="28">
        <f t="shared" si="146"/>
        <v>0.15939015939015938</v>
      </c>
      <c r="Q1170" s="26">
        <f t="shared" si="147"/>
        <v>0.81850311850311841</v>
      </c>
      <c r="R1170" s="29">
        <f t="shared" si="148"/>
        <v>5.1352173913043471</v>
      </c>
      <c r="S1170" s="30">
        <f t="shared" si="149"/>
        <v>8</v>
      </c>
      <c r="T1170" s="30">
        <f t="shared" si="150"/>
        <v>2023</v>
      </c>
      <c r="U1170" s="29" t="str">
        <f t="shared" si="151"/>
        <v>August</v>
      </c>
    </row>
    <row r="1171" spans="1:21" ht="17.399999999999999" x14ac:dyDescent="0.3">
      <c r="A1171" s="21" t="s">
        <v>615</v>
      </c>
      <c r="B1171" s="21" t="s">
        <v>616</v>
      </c>
      <c r="C1171" s="23" t="s">
        <v>3518</v>
      </c>
      <c r="D1171" s="21" t="s">
        <v>3520</v>
      </c>
      <c r="E1171" s="24">
        <v>45144</v>
      </c>
      <c r="F1171" s="24">
        <v>45146</v>
      </c>
      <c r="G1171" s="22" t="s">
        <v>24</v>
      </c>
      <c r="H1171" s="25">
        <v>31746</v>
      </c>
      <c r="I1171" s="25">
        <v>821</v>
      </c>
      <c r="J1171" s="26">
        <v>1390.78</v>
      </c>
      <c r="K1171" s="25">
        <v>140</v>
      </c>
      <c r="L1171" s="21" t="s">
        <v>21</v>
      </c>
      <c r="M1171" s="22" t="s">
        <v>3536</v>
      </c>
      <c r="N1171" s="27">
        <f t="shared" si="144"/>
        <v>2</v>
      </c>
      <c r="O1171" s="28">
        <f t="shared" si="145"/>
        <v>2.5861525861525861E-2</v>
      </c>
      <c r="P1171" s="28">
        <f t="shared" si="146"/>
        <v>0.17052375152253349</v>
      </c>
      <c r="Q1171" s="26">
        <f t="shared" si="147"/>
        <v>1.6940073081607796</v>
      </c>
      <c r="R1171" s="29">
        <f t="shared" si="148"/>
        <v>9.9341428571428576</v>
      </c>
      <c r="S1171" s="30">
        <f t="shared" si="149"/>
        <v>8</v>
      </c>
      <c r="T1171" s="30">
        <f t="shared" si="150"/>
        <v>2023</v>
      </c>
      <c r="U1171" s="29" t="str">
        <f t="shared" si="151"/>
        <v>August</v>
      </c>
    </row>
    <row r="1172" spans="1:21" ht="17.399999999999999" x14ac:dyDescent="0.3">
      <c r="A1172" s="21" t="s">
        <v>586</v>
      </c>
      <c r="B1172" s="22" t="s">
        <v>3845</v>
      </c>
      <c r="C1172" s="23" t="s">
        <v>3519</v>
      </c>
      <c r="D1172" s="22" t="s">
        <v>3545</v>
      </c>
      <c r="E1172" s="24">
        <v>45144</v>
      </c>
      <c r="F1172" s="24">
        <v>45176</v>
      </c>
      <c r="G1172" s="22" t="s">
        <v>16</v>
      </c>
      <c r="H1172" s="25">
        <v>87416</v>
      </c>
      <c r="I1172" s="25">
        <v>1669</v>
      </c>
      <c r="J1172" s="26">
        <v>2607.2800000000002</v>
      </c>
      <c r="K1172" s="25">
        <v>307</v>
      </c>
      <c r="L1172" s="21" t="s">
        <v>21</v>
      </c>
      <c r="M1172" s="22" t="s">
        <v>16</v>
      </c>
      <c r="N1172" s="27">
        <f t="shared" si="144"/>
        <v>32</v>
      </c>
      <c r="O1172" s="28">
        <f t="shared" si="145"/>
        <v>1.9092614624325065E-2</v>
      </c>
      <c r="P1172" s="28">
        <f t="shared" si="146"/>
        <v>0.18394248052726184</v>
      </c>
      <c r="Q1172" s="26">
        <f t="shared" si="147"/>
        <v>1.5621809466746557</v>
      </c>
      <c r="R1172" s="29">
        <f t="shared" si="148"/>
        <v>8.4927687296416945</v>
      </c>
      <c r="S1172" s="30">
        <f t="shared" si="149"/>
        <v>8</v>
      </c>
      <c r="T1172" s="30">
        <f t="shared" si="150"/>
        <v>2023</v>
      </c>
      <c r="U1172" s="29" t="str">
        <f t="shared" si="151"/>
        <v>August</v>
      </c>
    </row>
    <row r="1173" spans="1:21" ht="17.399999999999999" x14ac:dyDescent="0.3">
      <c r="A1173" s="21" t="s">
        <v>1034</v>
      </c>
      <c r="B1173" s="22" t="s">
        <v>3846</v>
      </c>
      <c r="C1173" s="23" t="s">
        <v>3516</v>
      </c>
      <c r="D1173" s="22" t="s">
        <v>3545</v>
      </c>
      <c r="E1173" s="24">
        <v>45145</v>
      </c>
      <c r="F1173" s="24">
        <v>45152</v>
      </c>
      <c r="G1173" s="22" t="s">
        <v>14</v>
      </c>
      <c r="H1173" s="25">
        <v>34496</v>
      </c>
      <c r="I1173" s="25">
        <v>1503</v>
      </c>
      <c r="J1173" s="26">
        <v>1879.83</v>
      </c>
      <c r="K1173" s="25">
        <v>178</v>
      </c>
      <c r="L1173" s="21" t="s">
        <v>17</v>
      </c>
      <c r="M1173" s="22" t="s">
        <v>3537</v>
      </c>
      <c r="N1173" s="27">
        <f t="shared" si="144"/>
        <v>7</v>
      </c>
      <c r="O1173" s="28">
        <f t="shared" si="145"/>
        <v>4.357026901669759E-2</v>
      </c>
      <c r="P1173" s="28">
        <f t="shared" si="146"/>
        <v>0.11842980705256155</v>
      </c>
      <c r="Q1173" s="26">
        <f t="shared" si="147"/>
        <v>1.2507185628742514</v>
      </c>
      <c r="R1173" s="29">
        <f t="shared" si="148"/>
        <v>10.560842696629214</v>
      </c>
      <c r="S1173" s="30">
        <f t="shared" si="149"/>
        <v>8</v>
      </c>
      <c r="T1173" s="30">
        <f t="shared" si="150"/>
        <v>2023</v>
      </c>
      <c r="U1173" s="29" t="str">
        <f t="shared" si="151"/>
        <v>August</v>
      </c>
    </row>
    <row r="1174" spans="1:21" ht="17.399999999999999" x14ac:dyDescent="0.3">
      <c r="A1174" s="21" t="s">
        <v>1946</v>
      </c>
      <c r="B1174" s="22" t="s">
        <v>3847</v>
      </c>
      <c r="C1174" s="23" t="s">
        <v>3516</v>
      </c>
      <c r="D1174" s="22" t="s">
        <v>3545</v>
      </c>
      <c r="E1174" s="24">
        <v>45145</v>
      </c>
      <c r="F1174" s="24">
        <v>45161</v>
      </c>
      <c r="G1174" s="22" t="s">
        <v>31</v>
      </c>
      <c r="H1174" s="25">
        <v>1077</v>
      </c>
      <c r="I1174" s="25">
        <v>46</v>
      </c>
      <c r="J1174" s="26">
        <v>56.84</v>
      </c>
      <c r="K1174" s="25">
        <v>0</v>
      </c>
      <c r="L1174" s="21" t="s">
        <v>17</v>
      </c>
      <c r="M1174" s="22" t="s">
        <v>31</v>
      </c>
      <c r="N1174" s="27">
        <f t="shared" si="144"/>
        <v>16</v>
      </c>
      <c r="O1174" s="28">
        <f t="shared" si="145"/>
        <v>4.2711234911792018E-2</v>
      </c>
      <c r="P1174" s="28">
        <f t="shared" si="146"/>
        <v>0</v>
      </c>
      <c r="Q1174" s="26">
        <f t="shared" si="147"/>
        <v>1.2356521739130435</v>
      </c>
      <c r="R1174" s="29" t="str">
        <f t="shared" si="148"/>
        <v>0</v>
      </c>
      <c r="S1174" s="30">
        <f t="shared" si="149"/>
        <v>8</v>
      </c>
      <c r="T1174" s="30">
        <f t="shared" si="150"/>
        <v>2023</v>
      </c>
      <c r="U1174" s="29" t="str">
        <f t="shared" si="151"/>
        <v>August</v>
      </c>
    </row>
    <row r="1175" spans="1:21" ht="17.399999999999999" x14ac:dyDescent="0.3">
      <c r="A1175" s="21" t="s">
        <v>2728</v>
      </c>
      <c r="B1175" s="22" t="s">
        <v>3848</v>
      </c>
      <c r="C1175" s="23" t="s">
        <v>3516</v>
      </c>
      <c r="D1175" s="22" t="s">
        <v>3545</v>
      </c>
      <c r="E1175" s="24">
        <v>45145</v>
      </c>
      <c r="F1175" s="24">
        <v>45165</v>
      </c>
      <c r="G1175" s="22" t="s">
        <v>14</v>
      </c>
      <c r="H1175" s="25">
        <v>53375</v>
      </c>
      <c r="I1175" s="25">
        <v>2431</v>
      </c>
      <c r="J1175" s="26">
        <v>4617.53</v>
      </c>
      <c r="K1175" s="25">
        <v>295</v>
      </c>
      <c r="L1175" s="21" t="s">
        <v>17</v>
      </c>
      <c r="M1175" s="22" t="s">
        <v>3537</v>
      </c>
      <c r="N1175" s="27">
        <f t="shared" si="144"/>
        <v>20</v>
      </c>
      <c r="O1175" s="28">
        <f t="shared" si="145"/>
        <v>4.5545667447306794E-2</v>
      </c>
      <c r="P1175" s="28">
        <f t="shared" si="146"/>
        <v>0.12134923899629782</v>
      </c>
      <c r="Q1175" s="26">
        <f t="shared" si="147"/>
        <v>1.8994364459070341</v>
      </c>
      <c r="R1175" s="29">
        <f t="shared" si="148"/>
        <v>15.65264406779661</v>
      </c>
      <c r="S1175" s="30">
        <f t="shared" si="149"/>
        <v>8</v>
      </c>
      <c r="T1175" s="30">
        <f t="shared" si="150"/>
        <v>2023</v>
      </c>
      <c r="U1175" s="29" t="str">
        <f t="shared" si="151"/>
        <v>August</v>
      </c>
    </row>
    <row r="1176" spans="1:21" ht="17.399999999999999" x14ac:dyDescent="0.3">
      <c r="A1176" s="21" t="s">
        <v>390</v>
      </c>
      <c r="B1176" s="21" t="s">
        <v>391</v>
      </c>
      <c r="C1176" s="23" t="s">
        <v>3518</v>
      </c>
      <c r="D1176" s="21" t="s">
        <v>3520</v>
      </c>
      <c r="E1176" s="24">
        <v>45146</v>
      </c>
      <c r="F1176" s="24">
        <v>45149</v>
      </c>
      <c r="G1176" s="22" t="s">
        <v>14</v>
      </c>
      <c r="H1176" s="25">
        <v>86616</v>
      </c>
      <c r="I1176" s="25">
        <v>1889</v>
      </c>
      <c r="J1176" s="26">
        <v>1426.52</v>
      </c>
      <c r="K1176" s="25">
        <v>0</v>
      </c>
      <c r="L1176" s="21" t="s">
        <v>21</v>
      </c>
      <c r="M1176" s="22" t="s">
        <v>3537</v>
      </c>
      <c r="N1176" s="27">
        <f t="shared" si="144"/>
        <v>3</v>
      </c>
      <c r="O1176" s="28">
        <f t="shared" si="145"/>
        <v>2.1808903666759027E-2</v>
      </c>
      <c r="P1176" s="28">
        <f t="shared" si="146"/>
        <v>0</v>
      </c>
      <c r="Q1176" s="26">
        <f t="shared" si="147"/>
        <v>0.75517204870301746</v>
      </c>
      <c r="R1176" s="29" t="str">
        <f t="shared" si="148"/>
        <v>0</v>
      </c>
      <c r="S1176" s="30">
        <f t="shared" si="149"/>
        <v>8</v>
      </c>
      <c r="T1176" s="30">
        <f t="shared" si="150"/>
        <v>2023</v>
      </c>
      <c r="U1176" s="29" t="str">
        <f t="shared" si="151"/>
        <v>August</v>
      </c>
    </row>
    <row r="1177" spans="1:21" ht="17.399999999999999" x14ac:dyDescent="0.3">
      <c r="A1177" s="21" t="s">
        <v>1634</v>
      </c>
      <c r="B1177" s="21" t="s">
        <v>1635</v>
      </c>
      <c r="C1177" s="23" t="s">
        <v>3518</v>
      </c>
      <c r="D1177" s="21" t="s">
        <v>3521</v>
      </c>
      <c r="E1177" s="24">
        <v>45146</v>
      </c>
      <c r="F1177" s="24">
        <v>45165</v>
      </c>
      <c r="G1177" s="22" t="s">
        <v>11</v>
      </c>
      <c r="H1177" s="25">
        <v>94229</v>
      </c>
      <c r="I1177" s="25">
        <v>3425</v>
      </c>
      <c r="J1177" s="26">
        <v>4540.55</v>
      </c>
      <c r="K1177" s="25">
        <v>258</v>
      </c>
      <c r="L1177" s="21" t="s">
        <v>21</v>
      </c>
      <c r="M1177" s="22" t="s">
        <v>11</v>
      </c>
      <c r="N1177" s="27">
        <f t="shared" si="144"/>
        <v>19</v>
      </c>
      <c r="O1177" s="28">
        <f t="shared" si="145"/>
        <v>3.6347621220643327E-2</v>
      </c>
      <c r="P1177" s="28">
        <f t="shared" si="146"/>
        <v>7.5328467153284673E-2</v>
      </c>
      <c r="Q1177" s="26">
        <f t="shared" si="147"/>
        <v>1.3257080291970804</v>
      </c>
      <c r="R1177" s="29">
        <f t="shared" si="148"/>
        <v>17.59903100775194</v>
      </c>
      <c r="S1177" s="30">
        <f t="shared" si="149"/>
        <v>8</v>
      </c>
      <c r="T1177" s="30">
        <f t="shared" si="150"/>
        <v>2023</v>
      </c>
      <c r="U1177" s="29" t="str">
        <f t="shared" si="151"/>
        <v>August</v>
      </c>
    </row>
    <row r="1178" spans="1:21" ht="17.399999999999999" x14ac:dyDescent="0.3">
      <c r="A1178" s="21" t="s">
        <v>1752</v>
      </c>
      <c r="B1178" s="21" t="s">
        <v>1753</v>
      </c>
      <c r="C1178" s="23" t="s">
        <v>3518</v>
      </c>
      <c r="D1178" s="21" t="s">
        <v>3521</v>
      </c>
      <c r="E1178" s="24">
        <v>45146</v>
      </c>
      <c r="F1178" s="24">
        <v>45175</v>
      </c>
      <c r="G1178" s="22" t="s">
        <v>14</v>
      </c>
      <c r="H1178" s="25">
        <v>24275</v>
      </c>
      <c r="I1178" s="25">
        <v>680</v>
      </c>
      <c r="J1178" s="26">
        <v>672.2</v>
      </c>
      <c r="K1178" s="25">
        <v>68</v>
      </c>
      <c r="L1178" s="21" t="s">
        <v>21</v>
      </c>
      <c r="M1178" s="22" t="s">
        <v>3537</v>
      </c>
      <c r="N1178" s="27">
        <f t="shared" si="144"/>
        <v>29</v>
      </c>
      <c r="O1178" s="28">
        <f t="shared" si="145"/>
        <v>2.8012358393408855E-2</v>
      </c>
      <c r="P1178" s="28">
        <f t="shared" si="146"/>
        <v>0.1</v>
      </c>
      <c r="Q1178" s="26">
        <f t="shared" si="147"/>
        <v>0.98852941176470599</v>
      </c>
      <c r="R1178" s="29">
        <f t="shared" si="148"/>
        <v>9.8852941176470601</v>
      </c>
      <c r="S1178" s="30">
        <f t="shared" si="149"/>
        <v>8</v>
      </c>
      <c r="T1178" s="30">
        <f t="shared" si="150"/>
        <v>2023</v>
      </c>
      <c r="U1178" s="29" t="str">
        <f t="shared" si="151"/>
        <v>August</v>
      </c>
    </row>
    <row r="1179" spans="1:21" ht="17.399999999999999" x14ac:dyDescent="0.3">
      <c r="A1179" s="21" t="s">
        <v>2260</v>
      </c>
      <c r="B1179" s="21" t="s">
        <v>2261</v>
      </c>
      <c r="C1179" s="23" t="s">
        <v>3516</v>
      </c>
      <c r="D1179" s="21" t="s">
        <v>3517</v>
      </c>
      <c r="E1179" s="24">
        <v>45146</v>
      </c>
      <c r="F1179" s="24">
        <v>45167</v>
      </c>
      <c r="G1179" s="22" t="s">
        <v>16</v>
      </c>
      <c r="H1179" s="25">
        <v>59066</v>
      </c>
      <c r="I1179" s="25">
        <v>1037</v>
      </c>
      <c r="J1179" s="26">
        <v>1022.06</v>
      </c>
      <c r="K1179" s="25">
        <v>125</v>
      </c>
      <c r="L1179" s="21" t="s">
        <v>21</v>
      </c>
      <c r="M1179" s="22" t="s">
        <v>16</v>
      </c>
      <c r="N1179" s="27">
        <f t="shared" si="144"/>
        <v>21</v>
      </c>
      <c r="O1179" s="28">
        <f t="shared" si="145"/>
        <v>1.7556631564690346E-2</v>
      </c>
      <c r="P1179" s="28">
        <f t="shared" si="146"/>
        <v>0.12054001928640308</v>
      </c>
      <c r="Q1179" s="26">
        <f t="shared" si="147"/>
        <v>0.98559305689488907</v>
      </c>
      <c r="R1179" s="29">
        <f t="shared" si="148"/>
        <v>8.1764799999999997</v>
      </c>
      <c r="S1179" s="30">
        <f t="shared" si="149"/>
        <v>8</v>
      </c>
      <c r="T1179" s="30">
        <f t="shared" si="150"/>
        <v>2023</v>
      </c>
      <c r="U1179" s="29" t="str">
        <f t="shared" si="151"/>
        <v>August</v>
      </c>
    </row>
    <row r="1180" spans="1:21" ht="17.399999999999999" x14ac:dyDescent="0.3">
      <c r="A1180" s="21" t="s">
        <v>2716</v>
      </c>
      <c r="B1180" s="21" t="s">
        <v>2717</v>
      </c>
      <c r="C1180" s="23" t="s">
        <v>3516</v>
      </c>
      <c r="D1180" s="21" t="s">
        <v>3517</v>
      </c>
      <c r="E1180" s="24">
        <v>45146</v>
      </c>
      <c r="F1180" s="24">
        <v>45155</v>
      </c>
      <c r="G1180" s="22" t="s">
        <v>11</v>
      </c>
      <c r="H1180" s="25">
        <v>52571</v>
      </c>
      <c r="I1180" s="25">
        <v>1211</v>
      </c>
      <c r="J1180" s="26">
        <v>1730.22</v>
      </c>
      <c r="K1180" s="25">
        <v>117</v>
      </c>
      <c r="L1180" s="21" t="s">
        <v>17</v>
      </c>
      <c r="M1180" s="22" t="s">
        <v>11</v>
      </c>
      <c r="N1180" s="27">
        <f t="shared" si="144"/>
        <v>9</v>
      </c>
      <c r="O1180" s="28">
        <f t="shared" si="145"/>
        <v>2.3035513876471819E-2</v>
      </c>
      <c r="P1180" s="28">
        <f t="shared" si="146"/>
        <v>9.661436829066887E-2</v>
      </c>
      <c r="Q1180" s="26">
        <f t="shared" si="147"/>
        <v>1.4287530966143682</v>
      </c>
      <c r="R1180" s="29">
        <f t="shared" si="148"/>
        <v>14.788205128205128</v>
      </c>
      <c r="S1180" s="30">
        <f t="shared" si="149"/>
        <v>8</v>
      </c>
      <c r="T1180" s="30">
        <f t="shared" si="150"/>
        <v>2023</v>
      </c>
      <c r="U1180" s="29" t="str">
        <f t="shared" si="151"/>
        <v>August</v>
      </c>
    </row>
    <row r="1181" spans="1:21" ht="17.399999999999999" x14ac:dyDescent="0.3">
      <c r="A1181" s="21" t="s">
        <v>1743</v>
      </c>
      <c r="B1181" s="21" t="s">
        <v>1744</v>
      </c>
      <c r="C1181" s="23" t="s">
        <v>3515</v>
      </c>
      <c r="D1181" s="21" t="s">
        <v>3517</v>
      </c>
      <c r="E1181" s="24">
        <v>45146</v>
      </c>
      <c r="F1181" s="24">
        <v>45172</v>
      </c>
      <c r="G1181" s="22" t="s">
        <v>11</v>
      </c>
      <c r="H1181" s="25">
        <v>27069</v>
      </c>
      <c r="I1181" s="25">
        <v>846</v>
      </c>
      <c r="J1181" s="26">
        <v>879.58</v>
      </c>
      <c r="K1181" s="25">
        <v>118</v>
      </c>
      <c r="L1181" s="21" t="s">
        <v>17</v>
      </c>
      <c r="M1181" s="22" t="s">
        <v>11</v>
      </c>
      <c r="N1181" s="27">
        <f t="shared" si="144"/>
        <v>26</v>
      </c>
      <c r="O1181" s="28">
        <f t="shared" si="145"/>
        <v>3.1253463371384238E-2</v>
      </c>
      <c r="P1181" s="28">
        <f t="shared" si="146"/>
        <v>0.13947990543735225</v>
      </c>
      <c r="Q1181" s="26">
        <f t="shared" si="147"/>
        <v>1.0396926713947992</v>
      </c>
      <c r="R1181" s="29">
        <f t="shared" si="148"/>
        <v>7.45406779661017</v>
      </c>
      <c r="S1181" s="30">
        <f t="shared" si="149"/>
        <v>8</v>
      </c>
      <c r="T1181" s="30">
        <f t="shared" si="150"/>
        <v>2023</v>
      </c>
      <c r="U1181" s="29" t="str">
        <f t="shared" si="151"/>
        <v>August</v>
      </c>
    </row>
    <row r="1182" spans="1:21" ht="17.399999999999999" x14ac:dyDescent="0.3">
      <c r="A1182" s="21" t="s">
        <v>3154</v>
      </c>
      <c r="B1182" s="21" t="s">
        <v>3155</v>
      </c>
      <c r="C1182" s="23" t="s">
        <v>3518</v>
      </c>
      <c r="D1182" s="21" t="s">
        <v>3521</v>
      </c>
      <c r="E1182" s="24">
        <v>45147</v>
      </c>
      <c r="F1182" s="24">
        <v>45157</v>
      </c>
      <c r="G1182" s="22" t="s">
        <v>14</v>
      </c>
      <c r="H1182" s="25">
        <v>68889</v>
      </c>
      <c r="I1182" s="25">
        <v>1859</v>
      </c>
      <c r="J1182" s="26">
        <v>1408.88</v>
      </c>
      <c r="K1182" s="25">
        <v>255</v>
      </c>
      <c r="L1182" s="21" t="s">
        <v>17</v>
      </c>
      <c r="M1182" s="22" t="s">
        <v>3537</v>
      </c>
      <c r="N1182" s="27">
        <f t="shared" si="144"/>
        <v>10</v>
      </c>
      <c r="O1182" s="28">
        <f t="shared" si="145"/>
        <v>2.6985440346063958E-2</v>
      </c>
      <c r="P1182" s="28">
        <f t="shared" si="146"/>
        <v>0.13717052178590641</v>
      </c>
      <c r="Q1182" s="26">
        <f t="shared" si="147"/>
        <v>0.75786982248520718</v>
      </c>
      <c r="R1182" s="29">
        <f t="shared" si="148"/>
        <v>5.5250196078431379</v>
      </c>
      <c r="S1182" s="30">
        <f t="shared" si="149"/>
        <v>8</v>
      </c>
      <c r="T1182" s="30">
        <f t="shared" si="150"/>
        <v>2023</v>
      </c>
      <c r="U1182" s="29" t="str">
        <f t="shared" si="151"/>
        <v>August</v>
      </c>
    </row>
    <row r="1183" spans="1:21" ht="17.399999999999999" x14ac:dyDescent="0.3">
      <c r="A1183" s="21" t="s">
        <v>740</v>
      </c>
      <c r="B1183" s="21" t="s">
        <v>741</v>
      </c>
      <c r="C1183" s="23" t="s">
        <v>3515</v>
      </c>
      <c r="D1183" s="21" t="s">
        <v>3521</v>
      </c>
      <c r="E1183" s="24">
        <v>45147</v>
      </c>
      <c r="F1183" s="24">
        <v>45156</v>
      </c>
      <c r="G1183" s="22" t="s">
        <v>3535</v>
      </c>
      <c r="H1183" s="25">
        <v>77429</v>
      </c>
      <c r="I1183" s="25">
        <v>2401</v>
      </c>
      <c r="J1183" s="26">
        <v>2183.86</v>
      </c>
      <c r="K1183" s="25">
        <v>182</v>
      </c>
      <c r="L1183" s="21" t="s">
        <v>17</v>
      </c>
      <c r="M1183" s="22" t="s">
        <v>3535</v>
      </c>
      <c r="N1183" s="27">
        <f t="shared" si="144"/>
        <v>9</v>
      </c>
      <c r="O1183" s="28">
        <f t="shared" si="145"/>
        <v>3.100905345542368E-2</v>
      </c>
      <c r="P1183" s="28">
        <f t="shared" si="146"/>
        <v>7.5801749271137031E-2</v>
      </c>
      <c r="Q1183" s="26">
        <f t="shared" si="147"/>
        <v>0.90956268221574355</v>
      </c>
      <c r="R1183" s="29">
        <f t="shared" si="148"/>
        <v>11.99923076923077</v>
      </c>
      <c r="S1183" s="30">
        <f t="shared" si="149"/>
        <v>8</v>
      </c>
      <c r="T1183" s="30">
        <f t="shared" si="150"/>
        <v>2023</v>
      </c>
      <c r="U1183" s="29" t="str">
        <f t="shared" si="151"/>
        <v>August</v>
      </c>
    </row>
    <row r="1184" spans="1:21" ht="17.399999999999999" x14ac:dyDescent="0.3">
      <c r="A1184" s="21" t="s">
        <v>817</v>
      </c>
      <c r="B1184" s="21" t="s">
        <v>818</v>
      </c>
      <c r="C1184" s="23" t="s">
        <v>3515</v>
      </c>
      <c r="D1184" s="21" t="s">
        <v>3517</v>
      </c>
      <c r="E1184" s="24">
        <v>45147</v>
      </c>
      <c r="F1184" s="24">
        <v>45168</v>
      </c>
      <c r="G1184" s="22" t="s">
        <v>24</v>
      </c>
      <c r="H1184" s="25">
        <v>92794</v>
      </c>
      <c r="I1184" s="25">
        <v>1867</v>
      </c>
      <c r="J1184" s="26">
        <v>2503.4</v>
      </c>
      <c r="K1184" s="25">
        <v>367</v>
      </c>
      <c r="L1184" s="21" t="s">
        <v>21</v>
      </c>
      <c r="M1184" s="22" t="s">
        <v>3536</v>
      </c>
      <c r="N1184" s="27">
        <f t="shared" si="144"/>
        <v>21</v>
      </c>
      <c r="O1184" s="28">
        <f t="shared" si="145"/>
        <v>2.0119835334181088E-2</v>
      </c>
      <c r="P1184" s="28">
        <f t="shared" si="146"/>
        <v>0.19657204070701662</v>
      </c>
      <c r="Q1184" s="26">
        <f t="shared" si="147"/>
        <v>1.3408677021960365</v>
      </c>
      <c r="R1184" s="29">
        <f t="shared" si="148"/>
        <v>6.8212534059945504</v>
      </c>
      <c r="S1184" s="30">
        <f t="shared" si="149"/>
        <v>8</v>
      </c>
      <c r="T1184" s="30">
        <f t="shared" si="150"/>
        <v>2023</v>
      </c>
      <c r="U1184" s="29" t="str">
        <f t="shared" si="151"/>
        <v>August</v>
      </c>
    </row>
    <row r="1185" spans="1:21" ht="17.399999999999999" x14ac:dyDescent="0.3">
      <c r="A1185" s="21" t="s">
        <v>3494</v>
      </c>
      <c r="B1185" s="21" t="s">
        <v>3495</v>
      </c>
      <c r="C1185" s="23" t="s">
        <v>3515</v>
      </c>
      <c r="D1185" s="21" t="s">
        <v>3521</v>
      </c>
      <c r="E1185" s="24">
        <v>45147</v>
      </c>
      <c r="F1185" s="24">
        <v>45165</v>
      </c>
      <c r="G1185" s="22" t="s">
        <v>11</v>
      </c>
      <c r="H1185" s="25">
        <v>53579</v>
      </c>
      <c r="I1185" s="25">
        <v>1448</v>
      </c>
      <c r="J1185" s="26">
        <v>2263.9499999999998</v>
      </c>
      <c r="K1185" s="25">
        <v>159</v>
      </c>
      <c r="L1185" s="21" t="s">
        <v>21</v>
      </c>
      <c r="M1185" s="22" t="s">
        <v>11</v>
      </c>
      <c r="N1185" s="27">
        <f t="shared" si="144"/>
        <v>18</v>
      </c>
      <c r="O1185" s="28">
        <f t="shared" si="145"/>
        <v>2.7025513727393195E-2</v>
      </c>
      <c r="P1185" s="28">
        <f t="shared" si="146"/>
        <v>0.10980662983425414</v>
      </c>
      <c r="Q1185" s="26">
        <f t="shared" si="147"/>
        <v>1.5635013812154694</v>
      </c>
      <c r="R1185" s="29">
        <f t="shared" si="148"/>
        <v>14.238679245283018</v>
      </c>
      <c r="S1185" s="30">
        <f t="shared" si="149"/>
        <v>8</v>
      </c>
      <c r="T1185" s="30">
        <f t="shared" si="150"/>
        <v>2023</v>
      </c>
      <c r="U1185" s="29" t="str">
        <f t="shared" si="151"/>
        <v>August</v>
      </c>
    </row>
    <row r="1186" spans="1:21" ht="17.399999999999999" x14ac:dyDescent="0.3">
      <c r="A1186" s="21" t="s">
        <v>2420</v>
      </c>
      <c r="B1186" s="21" t="s">
        <v>2421</v>
      </c>
      <c r="C1186" s="23" t="s">
        <v>3516</v>
      </c>
      <c r="D1186" s="21" t="s">
        <v>3517</v>
      </c>
      <c r="E1186" s="24">
        <v>45148</v>
      </c>
      <c r="F1186" s="24">
        <v>45159</v>
      </c>
      <c r="G1186" s="22" t="s">
        <v>11</v>
      </c>
      <c r="H1186" s="25">
        <v>30975</v>
      </c>
      <c r="I1186" s="25">
        <v>640</v>
      </c>
      <c r="J1186" s="26">
        <v>380.6</v>
      </c>
      <c r="K1186" s="25">
        <v>68</v>
      </c>
      <c r="L1186" s="21" t="s">
        <v>17</v>
      </c>
      <c r="M1186" s="22" t="s">
        <v>11</v>
      </c>
      <c r="N1186" s="27">
        <f t="shared" si="144"/>
        <v>11</v>
      </c>
      <c r="O1186" s="28">
        <f t="shared" si="145"/>
        <v>2.0661824051654561E-2</v>
      </c>
      <c r="P1186" s="28">
        <f t="shared" si="146"/>
        <v>0.10625</v>
      </c>
      <c r="Q1186" s="26">
        <f t="shared" si="147"/>
        <v>0.59468750000000004</v>
      </c>
      <c r="R1186" s="29">
        <f t="shared" si="148"/>
        <v>5.5970588235294123</v>
      </c>
      <c r="S1186" s="30">
        <f t="shared" si="149"/>
        <v>8</v>
      </c>
      <c r="T1186" s="30">
        <f t="shared" si="150"/>
        <v>2023</v>
      </c>
      <c r="U1186" s="29" t="str">
        <f t="shared" si="151"/>
        <v>August</v>
      </c>
    </row>
    <row r="1187" spans="1:21" ht="17.399999999999999" x14ac:dyDescent="0.3">
      <c r="A1187" s="21" t="s">
        <v>1488</v>
      </c>
      <c r="B1187" s="22" t="s">
        <v>3849</v>
      </c>
      <c r="C1187" s="23" t="s">
        <v>3519</v>
      </c>
      <c r="D1187" s="22" t="s">
        <v>3545</v>
      </c>
      <c r="E1187" s="24">
        <v>45149</v>
      </c>
      <c r="F1187" s="24">
        <v>45161</v>
      </c>
      <c r="G1187" s="22" t="s">
        <v>31</v>
      </c>
      <c r="H1187" s="25">
        <v>50922</v>
      </c>
      <c r="I1187" s="25">
        <v>1685</v>
      </c>
      <c r="J1187" s="26">
        <v>2895.48</v>
      </c>
      <c r="K1187" s="25">
        <v>88</v>
      </c>
      <c r="L1187" s="21" t="s">
        <v>17</v>
      </c>
      <c r="M1187" s="22" t="s">
        <v>31</v>
      </c>
      <c r="N1187" s="27">
        <f t="shared" si="144"/>
        <v>12</v>
      </c>
      <c r="O1187" s="28">
        <f t="shared" si="145"/>
        <v>3.3089823651859709E-2</v>
      </c>
      <c r="P1187" s="28">
        <f t="shared" si="146"/>
        <v>5.2225519287833831E-2</v>
      </c>
      <c r="Q1187" s="26">
        <f t="shared" si="147"/>
        <v>1.7183857566765579</v>
      </c>
      <c r="R1187" s="29">
        <f t="shared" si="148"/>
        <v>32.903181818181821</v>
      </c>
      <c r="S1187" s="30">
        <f t="shared" si="149"/>
        <v>8</v>
      </c>
      <c r="T1187" s="30">
        <f t="shared" si="150"/>
        <v>2023</v>
      </c>
      <c r="U1187" s="29" t="str">
        <f t="shared" si="151"/>
        <v>August</v>
      </c>
    </row>
    <row r="1188" spans="1:21" ht="17.399999999999999" x14ac:dyDescent="0.3">
      <c r="A1188" s="21" t="s">
        <v>590</v>
      </c>
      <c r="B1188" s="21" t="s">
        <v>591</v>
      </c>
      <c r="C1188" s="23" t="s">
        <v>3518</v>
      </c>
      <c r="D1188" s="21" t="s">
        <v>3521</v>
      </c>
      <c r="E1188" s="24">
        <v>45149</v>
      </c>
      <c r="F1188" s="24">
        <v>45157</v>
      </c>
      <c r="G1188" s="22" t="s">
        <v>3535</v>
      </c>
      <c r="H1188" s="25">
        <v>71091</v>
      </c>
      <c r="I1188" s="25">
        <v>1695</v>
      </c>
      <c r="J1188" s="26">
        <v>2787.16</v>
      </c>
      <c r="K1188" s="25">
        <v>261</v>
      </c>
      <c r="L1188" s="21" t="s">
        <v>17</v>
      </c>
      <c r="M1188" s="22" t="s">
        <v>3535</v>
      </c>
      <c r="N1188" s="27">
        <f t="shared" si="144"/>
        <v>8</v>
      </c>
      <c r="O1188" s="28">
        <f t="shared" si="145"/>
        <v>2.3842680508081193E-2</v>
      </c>
      <c r="P1188" s="28">
        <f t="shared" si="146"/>
        <v>0.15398230088495576</v>
      </c>
      <c r="Q1188" s="26">
        <f t="shared" si="147"/>
        <v>1.6443421828908553</v>
      </c>
      <c r="R1188" s="29">
        <f t="shared" si="148"/>
        <v>10.678773946360153</v>
      </c>
      <c r="S1188" s="30">
        <f t="shared" si="149"/>
        <v>8</v>
      </c>
      <c r="T1188" s="30">
        <f t="shared" si="150"/>
        <v>2023</v>
      </c>
      <c r="U1188" s="29" t="str">
        <f t="shared" si="151"/>
        <v>August</v>
      </c>
    </row>
    <row r="1189" spans="1:21" ht="17.399999999999999" x14ac:dyDescent="0.3">
      <c r="A1189" s="21" t="s">
        <v>2539</v>
      </c>
      <c r="B1189" s="22" t="s">
        <v>3850</v>
      </c>
      <c r="C1189" s="23" t="s">
        <v>3516</v>
      </c>
      <c r="D1189" s="22" t="s">
        <v>3545</v>
      </c>
      <c r="E1189" s="24">
        <v>45149</v>
      </c>
      <c r="F1189" s="24">
        <v>45177</v>
      </c>
      <c r="G1189" s="22" t="s">
        <v>24</v>
      </c>
      <c r="H1189" s="25">
        <v>58492</v>
      </c>
      <c r="I1189" s="25">
        <v>1557</v>
      </c>
      <c r="J1189" s="26">
        <v>2848.93</v>
      </c>
      <c r="K1189" s="25">
        <v>204</v>
      </c>
      <c r="L1189" s="21" t="s">
        <v>21</v>
      </c>
      <c r="M1189" s="22" t="s">
        <v>3536</v>
      </c>
      <c r="N1189" s="27">
        <f t="shared" si="144"/>
        <v>28</v>
      </c>
      <c r="O1189" s="28">
        <f t="shared" si="145"/>
        <v>2.6619024823907544E-2</v>
      </c>
      <c r="P1189" s="28">
        <f t="shared" si="146"/>
        <v>0.13102119460500963</v>
      </c>
      <c r="Q1189" s="26">
        <f t="shared" si="147"/>
        <v>1.8297559409120101</v>
      </c>
      <c r="R1189" s="29">
        <f t="shared" si="148"/>
        <v>13.965343137254902</v>
      </c>
      <c r="S1189" s="30">
        <f t="shared" si="149"/>
        <v>8</v>
      </c>
      <c r="T1189" s="30">
        <f t="shared" si="150"/>
        <v>2023</v>
      </c>
      <c r="U1189" s="29" t="str">
        <f t="shared" si="151"/>
        <v>August</v>
      </c>
    </row>
    <row r="1190" spans="1:21" ht="17.399999999999999" x14ac:dyDescent="0.3">
      <c r="A1190" s="21" t="s">
        <v>259</v>
      </c>
      <c r="B1190" s="21" t="s">
        <v>260</v>
      </c>
      <c r="C1190" s="23" t="s">
        <v>3519</v>
      </c>
      <c r="D1190" s="21" t="s">
        <v>3520</v>
      </c>
      <c r="E1190" s="24">
        <v>45150</v>
      </c>
      <c r="F1190" s="24">
        <v>45165</v>
      </c>
      <c r="G1190" s="22" t="s">
        <v>11</v>
      </c>
      <c r="H1190" s="25">
        <v>88054</v>
      </c>
      <c r="I1190" s="25">
        <v>1199</v>
      </c>
      <c r="J1190" s="26">
        <v>708.5</v>
      </c>
      <c r="K1190" s="25">
        <v>175</v>
      </c>
      <c r="L1190" s="21" t="s">
        <v>21</v>
      </c>
      <c r="M1190" s="22" t="s">
        <v>11</v>
      </c>
      <c r="N1190" s="27">
        <f t="shared" si="144"/>
        <v>15</v>
      </c>
      <c r="O1190" s="28">
        <f t="shared" si="145"/>
        <v>1.3616644331887251E-2</v>
      </c>
      <c r="P1190" s="28">
        <f t="shared" si="146"/>
        <v>0.14595496246872394</v>
      </c>
      <c r="Q1190" s="26">
        <f t="shared" si="147"/>
        <v>0.59090909090909094</v>
      </c>
      <c r="R1190" s="29">
        <f t="shared" si="148"/>
        <v>4.0485714285714289</v>
      </c>
      <c r="S1190" s="30">
        <f t="shared" si="149"/>
        <v>8</v>
      </c>
      <c r="T1190" s="30">
        <f t="shared" si="150"/>
        <v>2023</v>
      </c>
      <c r="U1190" s="29" t="str">
        <f t="shared" si="151"/>
        <v>August</v>
      </c>
    </row>
    <row r="1191" spans="1:21" ht="17.399999999999999" x14ac:dyDescent="0.3">
      <c r="A1191" s="21" t="s">
        <v>835</v>
      </c>
      <c r="B1191" s="21" t="s">
        <v>836</v>
      </c>
      <c r="C1191" s="23" t="s">
        <v>3518</v>
      </c>
      <c r="D1191" s="21" t="s">
        <v>3520</v>
      </c>
      <c r="E1191" s="24">
        <v>45150</v>
      </c>
      <c r="F1191" s="24">
        <v>45151</v>
      </c>
      <c r="G1191" s="22" t="s">
        <v>16</v>
      </c>
      <c r="H1191" s="25">
        <v>6949</v>
      </c>
      <c r="I1191" s="25">
        <v>98</v>
      </c>
      <c r="J1191" s="26">
        <v>82.26</v>
      </c>
      <c r="K1191" s="25">
        <v>10</v>
      </c>
      <c r="L1191" s="21" t="s">
        <v>21</v>
      </c>
      <c r="M1191" s="22" t="s">
        <v>16</v>
      </c>
      <c r="N1191" s="27">
        <f t="shared" si="144"/>
        <v>1</v>
      </c>
      <c r="O1191" s="28">
        <f t="shared" si="145"/>
        <v>1.4102748596920419E-2</v>
      </c>
      <c r="P1191" s="28">
        <f t="shared" si="146"/>
        <v>0.10204081632653061</v>
      </c>
      <c r="Q1191" s="26">
        <f t="shared" si="147"/>
        <v>0.83938775510204089</v>
      </c>
      <c r="R1191" s="29">
        <f t="shared" si="148"/>
        <v>8.2260000000000009</v>
      </c>
      <c r="S1191" s="30">
        <f t="shared" si="149"/>
        <v>8</v>
      </c>
      <c r="T1191" s="30">
        <f t="shared" si="150"/>
        <v>2023</v>
      </c>
      <c r="U1191" s="29" t="str">
        <f t="shared" si="151"/>
        <v>August</v>
      </c>
    </row>
    <row r="1192" spans="1:21" ht="17.399999999999999" x14ac:dyDescent="0.3">
      <c r="A1192" s="21" t="s">
        <v>1512</v>
      </c>
      <c r="B1192" s="21" t="s">
        <v>1513</v>
      </c>
      <c r="C1192" s="23" t="s">
        <v>3516</v>
      </c>
      <c r="D1192" s="21" t="s">
        <v>3520</v>
      </c>
      <c r="E1192" s="24">
        <v>45150</v>
      </c>
      <c r="F1192" s="24">
        <v>45287</v>
      </c>
      <c r="G1192" s="22" t="s">
        <v>14</v>
      </c>
      <c r="H1192" s="25">
        <v>45238</v>
      </c>
      <c r="I1192" s="25">
        <v>583</v>
      </c>
      <c r="J1192" s="26">
        <v>1070.96</v>
      </c>
      <c r="K1192" s="25">
        <v>30</v>
      </c>
      <c r="L1192" s="21" t="s">
        <v>17</v>
      </c>
      <c r="M1192" s="22" t="s">
        <v>3537</v>
      </c>
      <c r="N1192" s="27">
        <f t="shared" si="144"/>
        <v>137</v>
      </c>
      <c r="O1192" s="28">
        <f t="shared" si="145"/>
        <v>1.2887395552411689E-2</v>
      </c>
      <c r="P1192" s="28">
        <f t="shared" si="146"/>
        <v>5.1457975986277875E-2</v>
      </c>
      <c r="Q1192" s="26">
        <f t="shared" si="147"/>
        <v>1.8369811320754719</v>
      </c>
      <c r="R1192" s="29">
        <f t="shared" si="148"/>
        <v>35.698666666666668</v>
      </c>
      <c r="S1192" s="30">
        <f t="shared" si="149"/>
        <v>8</v>
      </c>
      <c r="T1192" s="30">
        <f t="shared" si="150"/>
        <v>2023</v>
      </c>
      <c r="U1192" s="29" t="str">
        <f t="shared" si="151"/>
        <v>August</v>
      </c>
    </row>
    <row r="1193" spans="1:21" ht="17.399999999999999" x14ac:dyDescent="0.3">
      <c r="A1193" s="21" t="s">
        <v>949</v>
      </c>
      <c r="B1193" s="21" t="s">
        <v>950</v>
      </c>
      <c r="C1193" s="23" t="s">
        <v>3515</v>
      </c>
      <c r="D1193" s="21" t="s">
        <v>3521</v>
      </c>
      <c r="E1193" s="24">
        <v>45150</v>
      </c>
      <c r="F1193" s="24">
        <v>45160</v>
      </c>
      <c r="G1193" s="22" t="s">
        <v>16</v>
      </c>
      <c r="H1193" s="25">
        <v>58679</v>
      </c>
      <c r="I1193" s="25">
        <v>1863</v>
      </c>
      <c r="J1193" s="26">
        <v>2869.03</v>
      </c>
      <c r="K1193" s="25">
        <v>189</v>
      </c>
      <c r="L1193" s="21" t="s">
        <v>21</v>
      </c>
      <c r="M1193" s="22" t="s">
        <v>16</v>
      </c>
      <c r="N1193" s="27">
        <f t="shared" si="144"/>
        <v>10</v>
      </c>
      <c r="O1193" s="28">
        <f t="shared" si="145"/>
        <v>3.1749007310963036E-2</v>
      </c>
      <c r="P1193" s="28">
        <f t="shared" si="146"/>
        <v>0.10144927536231885</v>
      </c>
      <c r="Q1193" s="26">
        <f t="shared" si="147"/>
        <v>1.5400053676865273</v>
      </c>
      <c r="R1193" s="29">
        <f t="shared" si="148"/>
        <v>15.180052910052911</v>
      </c>
      <c r="S1193" s="30">
        <f t="shared" si="149"/>
        <v>8</v>
      </c>
      <c r="T1193" s="30">
        <f t="shared" si="150"/>
        <v>2023</v>
      </c>
      <c r="U1193" s="29" t="str">
        <f t="shared" si="151"/>
        <v>August</v>
      </c>
    </row>
    <row r="1194" spans="1:21" ht="17.399999999999999" x14ac:dyDescent="0.3">
      <c r="A1194" s="21" t="s">
        <v>2006</v>
      </c>
      <c r="B1194" s="21" t="s">
        <v>2007</v>
      </c>
      <c r="C1194" s="23" t="s">
        <v>3515</v>
      </c>
      <c r="D1194" s="21" t="s">
        <v>3520</v>
      </c>
      <c r="E1194" s="24">
        <v>45150</v>
      </c>
      <c r="F1194" s="24">
        <v>45174</v>
      </c>
      <c r="G1194" s="22" t="s">
        <v>16</v>
      </c>
      <c r="H1194" s="25">
        <v>97809</v>
      </c>
      <c r="I1194" s="25">
        <v>2153</v>
      </c>
      <c r="J1194" s="26">
        <v>2912.64</v>
      </c>
      <c r="K1194" s="25">
        <v>392</v>
      </c>
      <c r="L1194" s="21" t="s">
        <v>21</v>
      </c>
      <c r="M1194" s="22" t="s">
        <v>16</v>
      </c>
      <c r="N1194" s="27">
        <f t="shared" si="144"/>
        <v>24</v>
      </c>
      <c r="O1194" s="28">
        <f t="shared" si="145"/>
        <v>2.2012289257634779E-2</v>
      </c>
      <c r="P1194" s="28">
        <f t="shared" si="146"/>
        <v>0.18207152810032512</v>
      </c>
      <c r="Q1194" s="26">
        <f t="shared" si="147"/>
        <v>1.35282861124013</v>
      </c>
      <c r="R1194" s="29">
        <f t="shared" si="148"/>
        <v>7.4302040816326524</v>
      </c>
      <c r="S1194" s="30">
        <f t="shared" si="149"/>
        <v>8</v>
      </c>
      <c r="T1194" s="30">
        <f t="shared" si="150"/>
        <v>2023</v>
      </c>
      <c r="U1194" s="29" t="str">
        <f t="shared" si="151"/>
        <v>August</v>
      </c>
    </row>
    <row r="1195" spans="1:21" ht="17.399999999999999" x14ac:dyDescent="0.3">
      <c r="A1195" s="21" t="s">
        <v>924</v>
      </c>
      <c r="B1195" s="21" t="s">
        <v>925</v>
      </c>
      <c r="C1195" s="23" t="s">
        <v>3519</v>
      </c>
      <c r="D1195" s="21" t="s">
        <v>3520</v>
      </c>
      <c r="E1195" s="24">
        <v>45151</v>
      </c>
      <c r="F1195" s="24">
        <v>45153</v>
      </c>
      <c r="G1195" s="22" t="s">
        <v>14</v>
      </c>
      <c r="H1195" s="25">
        <v>99116</v>
      </c>
      <c r="I1195" s="25">
        <v>2481</v>
      </c>
      <c r="J1195" s="26">
        <v>3479.66</v>
      </c>
      <c r="K1195" s="25">
        <v>181</v>
      </c>
      <c r="L1195" s="21" t="s">
        <v>17</v>
      </c>
      <c r="M1195" s="22" t="s">
        <v>3537</v>
      </c>
      <c r="N1195" s="27">
        <f t="shared" si="144"/>
        <v>2</v>
      </c>
      <c r="O1195" s="28">
        <f t="shared" si="145"/>
        <v>2.5031276484119618E-2</v>
      </c>
      <c r="P1195" s="28">
        <f t="shared" si="146"/>
        <v>7.2954453849254336E-2</v>
      </c>
      <c r="Q1195" s="26">
        <f t="shared" si="147"/>
        <v>1.4025231761386536</v>
      </c>
      <c r="R1195" s="29">
        <f t="shared" si="148"/>
        <v>19.224640883977901</v>
      </c>
      <c r="S1195" s="30">
        <f t="shared" si="149"/>
        <v>8</v>
      </c>
      <c r="T1195" s="30">
        <f t="shared" si="150"/>
        <v>2023</v>
      </c>
      <c r="U1195" s="29" t="str">
        <f t="shared" si="151"/>
        <v>August</v>
      </c>
    </row>
    <row r="1196" spans="1:21" ht="17.399999999999999" x14ac:dyDescent="0.3">
      <c r="A1196" s="21" t="s">
        <v>1046</v>
      </c>
      <c r="B1196" s="21" t="s">
        <v>1047</v>
      </c>
      <c r="C1196" s="23" t="s">
        <v>3519</v>
      </c>
      <c r="D1196" s="21" t="s">
        <v>3517</v>
      </c>
      <c r="E1196" s="24">
        <v>45151</v>
      </c>
      <c r="F1196" s="24">
        <v>45167</v>
      </c>
      <c r="G1196" s="22" t="s">
        <v>11</v>
      </c>
      <c r="H1196" s="25">
        <v>36735</v>
      </c>
      <c r="I1196" s="25">
        <v>1604</v>
      </c>
      <c r="J1196" s="26">
        <v>2929.76</v>
      </c>
      <c r="K1196" s="25">
        <v>192</v>
      </c>
      <c r="L1196" s="21" t="s">
        <v>21</v>
      </c>
      <c r="M1196" s="22" t="s">
        <v>11</v>
      </c>
      <c r="N1196" s="27">
        <f t="shared" si="144"/>
        <v>16</v>
      </c>
      <c r="O1196" s="28">
        <f t="shared" si="145"/>
        <v>4.3664080577106301E-2</v>
      </c>
      <c r="P1196" s="28">
        <f t="shared" si="146"/>
        <v>0.11970074812967581</v>
      </c>
      <c r="Q1196" s="26">
        <f t="shared" si="147"/>
        <v>1.8265336658354117</v>
      </c>
      <c r="R1196" s="29">
        <f t="shared" si="148"/>
        <v>15.259166666666667</v>
      </c>
      <c r="S1196" s="30">
        <f t="shared" si="149"/>
        <v>8</v>
      </c>
      <c r="T1196" s="30">
        <f t="shared" si="150"/>
        <v>2023</v>
      </c>
      <c r="U1196" s="29" t="str">
        <f t="shared" si="151"/>
        <v>August</v>
      </c>
    </row>
    <row r="1197" spans="1:21" ht="17.399999999999999" x14ac:dyDescent="0.3">
      <c r="A1197" s="21" t="s">
        <v>2038</v>
      </c>
      <c r="B1197" s="21" t="s">
        <v>2039</v>
      </c>
      <c r="C1197" s="23" t="s">
        <v>3519</v>
      </c>
      <c r="D1197" s="21" t="s">
        <v>3521</v>
      </c>
      <c r="E1197" s="24">
        <v>45151</v>
      </c>
      <c r="F1197" s="24">
        <v>45161</v>
      </c>
      <c r="G1197" s="22" t="s">
        <v>16</v>
      </c>
      <c r="H1197" s="25">
        <v>33154</v>
      </c>
      <c r="I1197" s="25">
        <v>408</v>
      </c>
      <c r="J1197" s="26">
        <v>418.11</v>
      </c>
      <c r="K1197" s="25">
        <v>0</v>
      </c>
      <c r="L1197" s="21" t="s">
        <v>21</v>
      </c>
      <c r="M1197" s="22" t="s">
        <v>16</v>
      </c>
      <c r="N1197" s="27">
        <f t="shared" si="144"/>
        <v>10</v>
      </c>
      <c r="O1197" s="28">
        <f t="shared" si="145"/>
        <v>1.2306207395789347E-2</v>
      </c>
      <c r="P1197" s="28">
        <f t="shared" si="146"/>
        <v>0</v>
      </c>
      <c r="Q1197" s="26">
        <f t="shared" si="147"/>
        <v>1.024779411764706</v>
      </c>
      <c r="R1197" s="29" t="str">
        <f t="shared" si="148"/>
        <v>0</v>
      </c>
      <c r="S1197" s="30">
        <f t="shared" si="149"/>
        <v>8</v>
      </c>
      <c r="T1197" s="30">
        <f t="shared" si="150"/>
        <v>2023</v>
      </c>
      <c r="U1197" s="29" t="str">
        <f t="shared" si="151"/>
        <v>August</v>
      </c>
    </row>
    <row r="1198" spans="1:21" ht="17.399999999999999" x14ac:dyDescent="0.3">
      <c r="A1198" s="21" t="s">
        <v>3021</v>
      </c>
      <c r="B1198" s="22" t="s">
        <v>3851</v>
      </c>
      <c r="C1198" s="23" t="s">
        <v>3518</v>
      </c>
      <c r="D1198" s="22" t="s">
        <v>3545</v>
      </c>
      <c r="E1198" s="24">
        <v>45151</v>
      </c>
      <c r="F1198" s="24">
        <v>45167</v>
      </c>
      <c r="G1198" s="22" t="s">
        <v>14</v>
      </c>
      <c r="H1198" s="25">
        <v>31561</v>
      </c>
      <c r="I1198" s="25">
        <v>1016</v>
      </c>
      <c r="J1198" s="26">
        <v>1250.51</v>
      </c>
      <c r="K1198" s="25">
        <v>0</v>
      </c>
      <c r="L1198" s="21" t="s">
        <v>17</v>
      </c>
      <c r="M1198" s="22" t="s">
        <v>3537</v>
      </c>
      <c r="N1198" s="27">
        <f t="shared" si="144"/>
        <v>16</v>
      </c>
      <c r="O1198" s="28">
        <f t="shared" si="145"/>
        <v>3.2191628909096673E-2</v>
      </c>
      <c r="P1198" s="28">
        <f t="shared" si="146"/>
        <v>0</v>
      </c>
      <c r="Q1198" s="26">
        <f t="shared" si="147"/>
        <v>1.2308169291338582</v>
      </c>
      <c r="R1198" s="29" t="str">
        <f t="shared" si="148"/>
        <v>0</v>
      </c>
      <c r="S1198" s="30">
        <f t="shared" si="149"/>
        <v>8</v>
      </c>
      <c r="T1198" s="30">
        <f t="shared" si="150"/>
        <v>2023</v>
      </c>
      <c r="U1198" s="29" t="str">
        <f t="shared" si="151"/>
        <v>August</v>
      </c>
    </row>
    <row r="1199" spans="1:21" ht="17.399999999999999" x14ac:dyDescent="0.3">
      <c r="A1199" s="21" t="s">
        <v>527</v>
      </c>
      <c r="B1199" s="22" t="s">
        <v>3852</v>
      </c>
      <c r="C1199" s="23" t="s">
        <v>3516</v>
      </c>
      <c r="D1199" s="22" t="s">
        <v>3545</v>
      </c>
      <c r="E1199" s="24">
        <v>45151</v>
      </c>
      <c r="F1199" s="24">
        <v>45159</v>
      </c>
      <c r="G1199" s="22" t="s">
        <v>11</v>
      </c>
      <c r="H1199" s="25">
        <v>5499</v>
      </c>
      <c r="I1199" s="25">
        <v>153</v>
      </c>
      <c r="J1199" s="26">
        <v>303.37</v>
      </c>
      <c r="K1199" s="25">
        <v>15</v>
      </c>
      <c r="L1199" s="21" t="s">
        <v>21</v>
      </c>
      <c r="M1199" s="22" t="s">
        <v>11</v>
      </c>
      <c r="N1199" s="27">
        <f t="shared" si="144"/>
        <v>8</v>
      </c>
      <c r="O1199" s="28">
        <f t="shared" si="145"/>
        <v>2.7823240589198037E-2</v>
      </c>
      <c r="P1199" s="28">
        <f t="shared" si="146"/>
        <v>9.8039215686274508E-2</v>
      </c>
      <c r="Q1199" s="26">
        <f t="shared" si="147"/>
        <v>1.9828104575163399</v>
      </c>
      <c r="R1199" s="29">
        <f t="shared" si="148"/>
        <v>20.224666666666668</v>
      </c>
      <c r="S1199" s="30">
        <f t="shared" si="149"/>
        <v>8</v>
      </c>
      <c r="T1199" s="30">
        <f t="shared" si="150"/>
        <v>2023</v>
      </c>
      <c r="U1199" s="29" t="str">
        <f t="shared" si="151"/>
        <v>August</v>
      </c>
    </row>
    <row r="1200" spans="1:21" ht="17.399999999999999" x14ac:dyDescent="0.3">
      <c r="A1200" s="21" t="s">
        <v>2970</v>
      </c>
      <c r="B1200" s="21" t="s">
        <v>2971</v>
      </c>
      <c r="C1200" s="23" t="s">
        <v>3516</v>
      </c>
      <c r="D1200" s="21" t="s">
        <v>3521</v>
      </c>
      <c r="E1200" s="24">
        <v>45151</v>
      </c>
      <c r="F1200" s="24">
        <v>45167</v>
      </c>
      <c r="G1200" s="22" t="s">
        <v>3535</v>
      </c>
      <c r="H1200" s="25">
        <v>95377</v>
      </c>
      <c r="I1200" s="25">
        <v>4520</v>
      </c>
      <c r="J1200" s="26">
        <v>4202.29</v>
      </c>
      <c r="K1200" s="25">
        <v>240</v>
      </c>
      <c r="L1200" s="21" t="s">
        <v>21</v>
      </c>
      <c r="M1200" s="22" t="s">
        <v>3535</v>
      </c>
      <c r="N1200" s="27">
        <f t="shared" si="144"/>
        <v>16</v>
      </c>
      <c r="O1200" s="28">
        <f t="shared" si="145"/>
        <v>4.7390880400935233E-2</v>
      </c>
      <c r="P1200" s="28">
        <f t="shared" si="146"/>
        <v>5.3097345132743362E-2</v>
      </c>
      <c r="Q1200" s="26">
        <f t="shared" si="147"/>
        <v>0.92971017699115044</v>
      </c>
      <c r="R1200" s="29">
        <f t="shared" si="148"/>
        <v>17.509541666666667</v>
      </c>
      <c r="S1200" s="30">
        <f t="shared" si="149"/>
        <v>8</v>
      </c>
      <c r="T1200" s="30">
        <f t="shared" si="150"/>
        <v>2023</v>
      </c>
      <c r="U1200" s="29" t="str">
        <f t="shared" si="151"/>
        <v>August</v>
      </c>
    </row>
    <row r="1201" spans="1:21" ht="17.399999999999999" x14ac:dyDescent="0.3">
      <c r="A1201" s="21" t="s">
        <v>882</v>
      </c>
      <c r="B1201" s="21" t="s">
        <v>883</v>
      </c>
      <c r="C1201" s="23" t="s">
        <v>3515</v>
      </c>
      <c r="D1201" s="21" t="s">
        <v>3520</v>
      </c>
      <c r="E1201" s="24">
        <v>45151</v>
      </c>
      <c r="F1201" s="24">
        <v>45173</v>
      </c>
      <c r="G1201" s="22" t="s">
        <v>16</v>
      </c>
      <c r="H1201" s="25">
        <v>73789</v>
      </c>
      <c r="I1201" s="25">
        <v>3047</v>
      </c>
      <c r="J1201" s="26">
        <v>5626.64</v>
      </c>
      <c r="K1201" s="25">
        <v>484</v>
      </c>
      <c r="L1201" s="21" t="s">
        <v>17</v>
      </c>
      <c r="M1201" s="22" t="s">
        <v>16</v>
      </c>
      <c r="N1201" s="27">
        <f t="shared" si="144"/>
        <v>22</v>
      </c>
      <c r="O1201" s="28">
        <f t="shared" si="145"/>
        <v>4.129341771808806E-2</v>
      </c>
      <c r="P1201" s="28">
        <f t="shared" si="146"/>
        <v>0.1588447653429603</v>
      </c>
      <c r="Q1201" s="26">
        <f t="shared" si="147"/>
        <v>1.846616343944864</v>
      </c>
      <c r="R1201" s="29">
        <f t="shared" si="148"/>
        <v>11.625289256198348</v>
      </c>
      <c r="S1201" s="30">
        <f t="shared" si="149"/>
        <v>8</v>
      </c>
      <c r="T1201" s="30">
        <f t="shared" si="150"/>
        <v>2023</v>
      </c>
      <c r="U1201" s="29" t="str">
        <f t="shared" si="151"/>
        <v>August</v>
      </c>
    </row>
    <row r="1202" spans="1:21" ht="17.399999999999999" x14ac:dyDescent="0.3">
      <c r="A1202" s="21" t="s">
        <v>3259</v>
      </c>
      <c r="B1202" s="21" t="s">
        <v>3260</v>
      </c>
      <c r="C1202" s="23" t="s">
        <v>3515</v>
      </c>
      <c r="D1202" s="21" t="s">
        <v>3517</v>
      </c>
      <c r="E1202" s="24">
        <v>45151</v>
      </c>
      <c r="F1202" s="24">
        <v>45170</v>
      </c>
      <c r="G1202" s="22" t="s">
        <v>14</v>
      </c>
      <c r="H1202" s="25">
        <v>27385</v>
      </c>
      <c r="I1202" s="25">
        <v>1087</v>
      </c>
      <c r="J1202" s="26">
        <v>1869.2</v>
      </c>
      <c r="K1202" s="25">
        <v>83</v>
      </c>
      <c r="L1202" s="21" t="s">
        <v>21</v>
      </c>
      <c r="M1202" s="22" t="s">
        <v>3537</v>
      </c>
      <c r="N1202" s="27">
        <f t="shared" si="144"/>
        <v>19</v>
      </c>
      <c r="O1202" s="28">
        <f t="shared" si="145"/>
        <v>3.9693262735073946E-2</v>
      </c>
      <c r="P1202" s="28">
        <f t="shared" si="146"/>
        <v>7.635694572217111E-2</v>
      </c>
      <c r="Q1202" s="26">
        <f t="shared" si="147"/>
        <v>1.7195952161913524</v>
      </c>
      <c r="R1202" s="29">
        <f t="shared" si="148"/>
        <v>22.520481927710843</v>
      </c>
      <c r="S1202" s="30">
        <f t="shared" si="149"/>
        <v>8</v>
      </c>
      <c r="T1202" s="30">
        <f t="shared" si="150"/>
        <v>2023</v>
      </c>
      <c r="U1202" s="29" t="str">
        <f t="shared" si="151"/>
        <v>August</v>
      </c>
    </row>
    <row r="1203" spans="1:21" ht="17.399999999999999" x14ac:dyDescent="0.3">
      <c r="A1203" s="21" t="s">
        <v>3275</v>
      </c>
      <c r="B1203" s="22" t="s">
        <v>3853</v>
      </c>
      <c r="C1203" s="23" t="s">
        <v>3519</v>
      </c>
      <c r="D1203" s="22" t="s">
        <v>3545</v>
      </c>
      <c r="E1203" s="24">
        <v>45152</v>
      </c>
      <c r="F1203" s="24">
        <v>45167</v>
      </c>
      <c r="G1203" s="22" t="s">
        <v>14</v>
      </c>
      <c r="H1203" s="25">
        <v>9711</v>
      </c>
      <c r="I1203" s="25">
        <v>187</v>
      </c>
      <c r="J1203" s="26">
        <v>180.54</v>
      </c>
      <c r="K1203" s="25">
        <v>15</v>
      </c>
      <c r="L1203" s="21" t="s">
        <v>21</v>
      </c>
      <c r="M1203" s="22" t="s">
        <v>3537</v>
      </c>
      <c r="N1203" s="27">
        <f t="shared" si="144"/>
        <v>15</v>
      </c>
      <c r="O1203" s="28">
        <f t="shared" si="145"/>
        <v>1.9256513232416846E-2</v>
      </c>
      <c r="P1203" s="28">
        <f t="shared" si="146"/>
        <v>8.0213903743315509E-2</v>
      </c>
      <c r="Q1203" s="26">
        <f t="shared" si="147"/>
        <v>0.96545454545454545</v>
      </c>
      <c r="R1203" s="29">
        <f t="shared" si="148"/>
        <v>12.036</v>
      </c>
      <c r="S1203" s="30">
        <f t="shared" si="149"/>
        <v>8</v>
      </c>
      <c r="T1203" s="30">
        <f t="shared" si="150"/>
        <v>2023</v>
      </c>
      <c r="U1203" s="29" t="str">
        <f t="shared" si="151"/>
        <v>August</v>
      </c>
    </row>
    <row r="1204" spans="1:21" ht="17.399999999999999" x14ac:dyDescent="0.3">
      <c r="A1204" s="21" t="s">
        <v>1129</v>
      </c>
      <c r="B1204" s="21" t="s">
        <v>1130</v>
      </c>
      <c r="C1204" s="23" t="s">
        <v>3518</v>
      </c>
      <c r="D1204" s="21" t="s">
        <v>3520</v>
      </c>
      <c r="E1204" s="24">
        <v>45152</v>
      </c>
      <c r="F1204" s="24">
        <v>45162</v>
      </c>
      <c r="G1204" s="22" t="s">
        <v>31</v>
      </c>
      <c r="H1204" s="25">
        <v>90112</v>
      </c>
      <c r="I1204" s="25">
        <v>3199</v>
      </c>
      <c r="J1204" s="26">
        <v>6047.31</v>
      </c>
      <c r="K1204" s="25">
        <v>459</v>
      </c>
      <c r="L1204" s="21" t="s">
        <v>21</v>
      </c>
      <c r="M1204" s="22" t="s">
        <v>31</v>
      </c>
      <c r="N1204" s="27">
        <f t="shared" si="144"/>
        <v>10</v>
      </c>
      <c r="O1204" s="28">
        <f t="shared" si="145"/>
        <v>3.5500266335227272E-2</v>
      </c>
      <c r="P1204" s="28">
        <f t="shared" si="146"/>
        <v>0.14348233823069709</v>
      </c>
      <c r="Q1204" s="26">
        <f t="shared" si="147"/>
        <v>1.8903751172241328</v>
      </c>
      <c r="R1204" s="29">
        <f t="shared" si="148"/>
        <v>13.174967320261439</v>
      </c>
      <c r="S1204" s="30">
        <f t="shared" si="149"/>
        <v>8</v>
      </c>
      <c r="T1204" s="30">
        <f t="shared" si="150"/>
        <v>2023</v>
      </c>
      <c r="U1204" s="29" t="str">
        <f t="shared" si="151"/>
        <v>August</v>
      </c>
    </row>
    <row r="1205" spans="1:21" ht="17.399999999999999" x14ac:dyDescent="0.3">
      <c r="A1205" s="21" t="s">
        <v>570</v>
      </c>
      <c r="B1205" s="21" t="s">
        <v>571</v>
      </c>
      <c r="C1205" s="23" t="s">
        <v>3516</v>
      </c>
      <c r="D1205" s="21" t="s">
        <v>3520</v>
      </c>
      <c r="E1205" s="24">
        <v>45152</v>
      </c>
      <c r="F1205" s="24">
        <v>45155</v>
      </c>
      <c r="G1205" s="22" t="s">
        <v>24</v>
      </c>
      <c r="H1205" s="25">
        <v>39467</v>
      </c>
      <c r="I1205" s="25">
        <v>800</v>
      </c>
      <c r="J1205" s="26">
        <v>1327.02</v>
      </c>
      <c r="K1205" s="25">
        <v>0</v>
      </c>
      <c r="L1205" s="21" t="s">
        <v>17</v>
      </c>
      <c r="M1205" s="22" t="s">
        <v>3536</v>
      </c>
      <c r="N1205" s="27">
        <f t="shared" si="144"/>
        <v>3</v>
      </c>
      <c r="O1205" s="28">
        <f t="shared" si="145"/>
        <v>2.0270099070109206E-2</v>
      </c>
      <c r="P1205" s="28">
        <f t="shared" si="146"/>
        <v>0</v>
      </c>
      <c r="Q1205" s="26">
        <f t="shared" si="147"/>
        <v>1.6587749999999999</v>
      </c>
      <c r="R1205" s="29" t="str">
        <f t="shared" si="148"/>
        <v>0</v>
      </c>
      <c r="S1205" s="30">
        <f t="shared" si="149"/>
        <v>8</v>
      </c>
      <c r="T1205" s="30">
        <f t="shared" si="150"/>
        <v>2023</v>
      </c>
      <c r="U1205" s="29" t="str">
        <f t="shared" si="151"/>
        <v>August</v>
      </c>
    </row>
    <row r="1206" spans="1:21" ht="17.399999999999999" x14ac:dyDescent="0.3">
      <c r="A1206" s="21" t="s">
        <v>1683</v>
      </c>
      <c r="B1206" s="21" t="s">
        <v>1684</v>
      </c>
      <c r="C1206" s="23" t="s">
        <v>3516</v>
      </c>
      <c r="D1206" s="21" t="s">
        <v>3521</v>
      </c>
      <c r="E1206" s="24">
        <v>45152</v>
      </c>
      <c r="F1206" s="24">
        <v>45178</v>
      </c>
      <c r="G1206" s="22" t="s">
        <v>11</v>
      </c>
      <c r="H1206" s="25">
        <v>45247</v>
      </c>
      <c r="I1206" s="25">
        <v>943</v>
      </c>
      <c r="J1206" s="26">
        <v>1214.48</v>
      </c>
      <c r="K1206" s="25">
        <v>183</v>
      </c>
      <c r="L1206" s="21" t="s">
        <v>21</v>
      </c>
      <c r="M1206" s="22" t="s">
        <v>11</v>
      </c>
      <c r="N1206" s="27">
        <f t="shared" si="144"/>
        <v>26</v>
      </c>
      <c r="O1206" s="28">
        <f t="shared" si="145"/>
        <v>2.0841160739938559E-2</v>
      </c>
      <c r="P1206" s="28">
        <f t="shared" si="146"/>
        <v>0.19406150583244963</v>
      </c>
      <c r="Q1206" s="26">
        <f t="shared" si="147"/>
        <v>1.2878897136797456</v>
      </c>
      <c r="R1206" s="29">
        <f t="shared" si="148"/>
        <v>6.6365027322404373</v>
      </c>
      <c r="S1206" s="30">
        <f t="shared" si="149"/>
        <v>8</v>
      </c>
      <c r="T1206" s="30">
        <f t="shared" si="150"/>
        <v>2023</v>
      </c>
      <c r="U1206" s="29" t="str">
        <f t="shared" si="151"/>
        <v>August</v>
      </c>
    </row>
    <row r="1207" spans="1:21" ht="17.399999999999999" x14ac:dyDescent="0.3">
      <c r="A1207" s="21" t="s">
        <v>209</v>
      </c>
      <c r="B1207" s="21" t="s">
        <v>210</v>
      </c>
      <c r="C1207" s="23" t="s">
        <v>3519</v>
      </c>
      <c r="D1207" s="21" t="s">
        <v>3520</v>
      </c>
      <c r="E1207" s="24">
        <v>45153</v>
      </c>
      <c r="F1207" s="24">
        <v>45161</v>
      </c>
      <c r="G1207" s="22" t="s">
        <v>14</v>
      </c>
      <c r="H1207" s="25">
        <v>27854</v>
      </c>
      <c r="I1207" s="25">
        <v>1092</v>
      </c>
      <c r="J1207" s="26">
        <v>1582.97</v>
      </c>
      <c r="K1207" s="25">
        <v>208</v>
      </c>
      <c r="L1207" s="21" t="s">
        <v>21</v>
      </c>
      <c r="M1207" s="22" t="s">
        <v>3537</v>
      </c>
      <c r="N1207" s="27">
        <f t="shared" si="144"/>
        <v>8</v>
      </c>
      <c r="O1207" s="28">
        <f t="shared" si="145"/>
        <v>3.9204423063114814E-2</v>
      </c>
      <c r="P1207" s="28">
        <f t="shared" si="146"/>
        <v>0.19047619047619047</v>
      </c>
      <c r="Q1207" s="26">
        <f t="shared" si="147"/>
        <v>1.4496062271062271</v>
      </c>
      <c r="R1207" s="29">
        <f t="shared" si="148"/>
        <v>7.6104326923076924</v>
      </c>
      <c r="S1207" s="30">
        <f t="shared" si="149"/>
        <v>8</v>
      </c>
      <c r="T1207" s="30">
        <f t="shared" si="150"/>
        <v>2023</v>
      </c>
      <c r="U1207" s="29" t="str">
        <f t="shared" si="151"/>
        <v>August</v>
      </c>
    </row>
    <row r="1208" spans="1:21" ht="17.399999999999999" x14ac:dyDescent="0.3">
      <c r="A1208" s="21" t="s">
        <v>3163</v>
      </c>
      <c r="B1208" s="21" t="s">
        <v>3164</v>
      </c>
      <c r="C1208" s="23" t="s">
        <v>3519</v>
      </c>
      <c r="D1208" s="21" t="s">
        <v>3521</v>
      </c>
      <c r="E1208" s="24">
        <v>45153</v>
      </c>
      <c r="F1208" s="24">
        <v>45169</v>
      </c>
      <c r="G1208" s="22" t="s">
        <v>16</v>
      </c>
      <c r="H1208" s="25">
        <v>78475</v>
      </c>
      <c r="I1208" s="25">
        <v>1830</v>
      </c>
      <c r="J1208" s="26">
        <v>1519.78</v>
      </c>
      <c r="K1208" s="25">
        <v>138</v>
      </c>
      <c r="L1208" s="21" t="s">
        <v>21</v>
      </c>
      <c r="M1208" s="22" t="s">
        <v>16</v>
      </c>
      <c r="N1208" s="27">
        <f t="shared" si="144"/>
        <v>16</v>
      </c>
      <c r="O1208" s="28">
        <f t="shared" si="145"/>
        <v>2.3319528512265052E-2</v>
      </c>
      <c r="P1208" s="28">
        <f t="shared" si="146"/>
        <v>7.5409836065573776E-2</v>
      </c>
      <c r="Q1208" s="26">
        <f t="shared" si="147"/>
        <v>0.83048087431693984</v>
      </c>
      <c r="R1208" s="29">
        <f t="shared" si="148"/>
        <v>11.012898550724637</v>
      </c>
      <c r="S1208" s="30">
        <f t="shared" si="149"/>
        <v>8</v>
      </c>
      <c r="T1208" s="30">
        <f t="shared" si="150"/>
        <v>2023</v>
      </c>
      <c r="U1208" s="29" t="str">
        <f t="shared" si="151"/>
        <v>August</v>
      </c>
    </row>
    <row r="1209" spans="1:21" ht="17.399999999999999" x14ac:dyDescent="0.3">
      <c r="A1209" s="21" t="s">
        <v>308</v>
      </c>
      <c r="B1209" s="21" t="s">
        <v>309</v>
      </c>
      <c r="C1209" s="23" t="s">
        <v>3518</v>
      </c>
      <c r="D1209" s="21" t="s">
        <v>3520</v>
      </c>
      <c r="E1209" s="24">
        <v>45153</v>
      </c>
      <c r="F1209" s="24">
        <v>45169</v>
      </c>
      <c r="G1209" s="22" t="s">
        <v>11</v>
      </c>
      <c r="H1209" s="25">
        <v>49925</v>
      </c>
      <c r="I1209" s="25">
        <v>1498</v>
      </c>
      <c r="J1209" s="26">
        <v>2284.7199999999998</v>
      </c>
      <c r="K1209" s="25">
        <v>114</v>
      </c>
      <c r="L1209" s="21" t="s">
        <v>21</v>
      </c>
      <c r="M1209" s="22" t="s">
        <v>11</v>
      </c>
      <c r="N1209" s="27">
        <f t="shared" si="144"/>
        <v>16</v>
      </c>
      <c r="O1209" s="28">
        <f t="shared" si="145"/>
        <v>3.0005007511266901E-2</v>
      </c>
      <c r="P1209" s="28">
        <f t="shared" si="146"/>
        <v>7.6101468624833107E-2</v>
      </c>
      <c r="Q1209" s="26">
        <f t="shared" si="147"/>
        <v>1.5251802403204271</v>
      </c>
      <c r="R1209" s="29">
        <f t="shared" si="148"/>
        <v>20.041403508771928</v>
      </c>
      <c r="S1209" s="30">
        <f t="shared" si="149"/>
        <v>8</v>
      </c>
      <c r="T1209" s="30">
        <f t="shared" si="150"/>
        <v>2023</v>
      </c>
      <c r="U1209" s="29" t="str">
        <f t="shared" si="151"/>
        <v>August</v>
      </c>
    </row>
    <row r="1210" spans="1:21" ht="17.399999999999999" x14ac:dyDescent="0.3">
      <c r="A1210" s="21" t="s">
        <v>800</v>
      </c>
      <c r="B1210" s="21" t="s">
        <v>801</v>
      </c>
      <c r="C1210" s="23" t="s">
        <v>3518</v>
      </c>
      <c r="D1210" s="21" t="s">
        <v>3517</v>
      </c>
      <c r="E1210" s="24">
        <v>45153</v>
      </c>
      <c r="F1210" s="24">
        <v>45175</v>
      </c>
      <c r="G1210" s="22" t="s">
        <v>31</v>
      </c>
      <c r="H1210" s="25">
        <v>33093</v>
      </c>
      <c r="I1210" s="25">
        <v>1596</v>
      </c>
      <c r="J1210" s="26">
        <v>906.33</v>
      </c>
      <c r="K1210" s="25">
        <v>163</v>
      </c>
      <c r="L1210" s="21" t="s">
        <v>21</v>
      </c>
      <c r="M1210" s="22" t="s">
        <v>31</v>
      </c>
      <c r="N1210" s="27">
        <f t="shared" si="144"/>
        <v>22</v>
      </c>
      <c r="O1210" s="28">
        <f t="shared" si="145"/>
        <v>4.822772187471671E-2</v>
      </c>
      <c r="P1210" s="28">
        <f t="shared" si="146"/>
        <v>0.10213032581453634</v>
      </c>
      <c r="Q1210" s="26">
        <f t="shared" si="147"/>
        <v>0.56787593984962403</v>
      </c>
      <c r="R1210" s="29">
        <f t="shared" si="148"/>
        <v>5.5603067484662576</v>
      </c>
      <c r="S1210" s="30">
        <f t="shared" si="149"/>
        <v>8</v>
      </c>
      <c r="T1210" s="30">
        <f t="shared" si="150"/>
        <v>2023</v>
      </c>
      <c r="U1210" s="29" t="str">
        <f t="shared" si="151"/>
        <v>August</v>
      </c>
    </row>
    <row r="1211" spans="1:21" ht="17.399999999999999" x14ac:dyDescent="0.3">
      <c r="A1211" s="21" t="s">
        <v>802</v>
      </c>
      <c r="B1211" s="21" t="s">
        <v>803</v>
      </c>
      <c r="C1211" s="23" t="s">
        <v>3518</v>
      </c>
      <c r="D1211" s="21" t="s">
        <v>3517</v>
      </c>
      <c r="E1211" s="24">
        <v>45153</v>
      </c>
      <c r="F1211" s="24">
        <v>45160</v>
      </c>
      <c r="G1211" s="22" t="s">
        <v>31</v>
      </c>
      <c r="H1211" s="25">
        <v>70678</v>
      </c>
      <c r="I1211" s="25">
        <v>1083</v>
      </c>
      <c r="J1211" s="26">
        <v>895.49</v>
      </c>
      <c r="K1211" s="25">
        <v>105</v>
      </c>
      <c r="L1211" s="21" t="s">
        <v>21</v>
      </c>
      <c r="M1211" s="22" t="s">
        <v>31</v>
      </c>
      <c r="N1211" s="27">
        <f t="shared" si="144"/>
        <v>7</v>
      </c>
      <c r="O1211" s="28">
        <f t="shared" si="145"/>
        <v>1.5323014233566315E-2</v>
      </c>
      <c r="P1211" s="28">
        <f t="shared" si="146"/>
        <v>9.6952908587257622E-2</v>
      </c>
      <c r="Q1211" s="26">
        <f t="shared" si="147"/>
        <v>0.82686057248384115</v>
      </c>
      <c r="R1211" s="29">
        <f t="shared" si="148"/>
        <v>8.5284761904761908</v>
      </c>
      <c r="S1211" s="30">
        <f t="shared" si="149"/>
        <v>8</v>
      </c>
      <c r="T1211" s="30">
        <f t="shared" si="150"/>
        <v>2023</v>
      </c>
      <c r="U1211" s="29" t="str">
        <f t="shared" si="151"/>
        <v>August</v>
      </c>
    </row>
    <row r="1212" spans="1:21" ht="17.399999999999999" x14ac:dyDescent="0.3">
      <c r="A1212" s="21" t="s">
        <v>282</v>
      </c>
      <c r="B1212" s="21" t="s">
        <v>283</v>
      </c>
      <c r="C1212" s="23" t="s">
        <v>3516</v>
      </c>
      <c r="D1212" s="21" t="s">
        <v>3520</v>
      </c>
      <c r="E1212" s="24">
        <v>45153</v>
      </c>
      <c r="F1212" s="24">
        <v>45155</v>
      </c>
      <c r="G1212" s="22" t="s">
        <v>11</v>
      </c>
      <c r="H1212" s="25">
        <v>34827</v>
      </c>
      <c r="I1212" s="25">
        <v>761</v>
      </c>
      <c r="J1212" s="26">
        <v>1332.27</v>
      </c>
      <c r="K1212" s="25">
        <v>131</v>
      </c>
      <c r="L1212" s="21" t="s">
        <v>17</v>
      </c>
      <c r="M1212" s="22" t="s">
        <v>11</v>
      </c>
      <c r="N1212" s="27">
        <f t="shared" si="144"/>
        <v>2</v>
      </c>
      <c r="O1212" s="28">
        <f t="shared" si="145"/>
        <v>2.1850862836305166E-2</v>
      </c>
      <c r="P1212" s="28">
        <f t="shared" si="146"/>
        <v>0.17214191852825231</v>
      </c>
      <c r="Q1212" s="26">
        <f t="shared" si="147"/>
        <v>1.7506833114323259</v>
      </c>
      <c r="R1212" s="29">
        <f t="shared" si="148"/>
        <v>10.17</v>
      </c>
      <c r="S1212" s="30">
        <f t="shared" si="149"/>
        <v>8</v>
      </c>
      <c r="T1212" s="30">
        <f t="shared" si="150"/>
        <v>2023</v>
      </c>
      <c r="U1212" s="29" t="str">
        <f t="shared" si="151"/>
        <v>August</v>
      </c>
    </row>
    <row r="1213" spans="1:21" ht="17.399999999999999" x14ac:dyDescent="0.3">
      <c r="A1213" s="21" t="s">
        <v>2154</v>
      </c>
      <c r="B1213" s="21" t="s">
        <v>2155</v>
      </c>
      <c r="C1213" s="23" t="s">
        <v>3516</v>
      </c>
      <c r="D1213" s="21" t="s">
        <v>3517</v>
      </c>
      <c r="E1213" s="24">
        <v>45153</v>
      </c>
      <c r="F1213" s="24">
        <v>45162</v>
      </c>
      <c r="G1213" s="22" t="s">
        <v>11</v>
      </c>
      <c r="H1213" s="25">
        <v>2645</v>
      </c>
      <c r="I1213" s="25">
        <v>37</v>
      </c>
      <c r="J1213" s="26">
        <v>19.309999999999999</v>
      </c>
      <c r="K1213" s="25">
        <v>0</v>
      </c>
      <c r="L1213" s="21" t="s">
        <v>21</v>
      </c>
      <c r="M1213" s="22" t="s">
        <v>11</v>
      </c>
      <c r="N1213" s="27">
        <f t="shared" si="144"/>
        <v>9</v>
      </c>
      <c r="O1213" s="28">
        <f t="shared" si="145"/>
        <v>1.3988657844990548E-2</v>
      </c>
      <c r="P1213" s="28">
        <f t="shared" si="146"/>
        <v>0</v>
      </c>
      <c r="Q1213" s="26">
        <f t="shared" si="147"/>
        <v>0.52189189189189189</v>
      </c>
      <c r="R1213" s="29" t="str">
        <f t="shared" si="148"/>
        <v>0</v>
      </c>
      <c r="S1213" s="30">
        <f t="shared" si="149"/>
        <v>8</v>
      </c>
      <c r="T1213" s="30">
        <f t="shared" si="150"/>
        <v>2023</v>
      </c>
      <c r="U1213" s="29" t="str">
        <f t="shared" si="151"/>
        <v>August</v>
      </c>
    </row>
    <row r="1214" spans="1:21" ht="17.399999999999999" x14ac:dyDescent="0.3">
      <c r="A1214" s="21" t="s">
        <v>2477</v>
      </c>
      <c r="B1214" s="21" t="s">
        <v>2478</v>
      </c>
      <c r="C1214" s="23" t="s">
        <v>3516</v>
      </c>
      <c r="D1214" s="21" t="s">
        <v>3521</v>
      </c>
      <c r="E1214" s="24">
        <v>45153</v>
      </c>
      <c r="F1214" s="24">
        <v>45173</v>
      </c>
      <c r="G1214" s="22" t="s">
        <v>11</v>
      </c>
      <c r="H1214" s="25">
        <v>40952</v>
      </c>
      <c r="I1214" s="25">
        <v>507</v>
      </c>
      <c r="J1214" s="26">
        <v>810.84</v>
      </c>
      <c r="K1214" s="25">
        <v>25</v>
      </c>
      <c r="L1214" s="21" t="s">
        <v>21</v>
      </c>
      <c r="M1214" s="22" t="s">
        <v>11</v>
      </c>
      <c r="N1214" s="27">
        <f t="shared" si="144"/>
        <v>20</v>
      </c>
      <c r="O1214" s="28">
        <f t="shared" si="145"/>
        <v>1.2380347724164876E-2</v>
      </c>
      <c r="P1214" s="28">
        <f t="shared" si="146"/>
        <v>4.9309664694280081E-2</v>
      </c>
      <c r="Q1214" s="26">
        <f t="shared" si="147"/>
        <v>1.5992899408284025</v>
      </c>
      <c r="R1214" s="29">
        <f t="shared" si="148"/>
        <v>32.433599999999998</v>
      </c>
      <c r="S1214" s="30">
        <f t="shared" si="149"/>
        <v>8</v>
      </c>
      <c r="T1214" s="30">
        <f t="shared" si="150"/>
        <v>2023</v>
      </c>
      <c r="U1214" s="29" t="str">
        <f t="shared" si="151"/>
        <v>August</v>
      </c>
    </row>
    <row r="1215" spans="1:21" ht="17.399999999999999" x14ac:dyDescent="0.3">
      <c r="A1215" s="21" t="s">
        <v>145</v>
      </c>
      <c r="B1215" s="22" t="s">
        <v>3854</v>
      </c>
      <c r="C1215" s="23" t="s">
        <v>3515</v>
      </c>
      <c r="D1215" s="22" t="s">
        <v>3545</v>
      </c>
      <c r="E1215" s="24">
        <v>45153</v>
      </c>
      <c r="F1215" s="24">
        <v>45156</v>
      </c>
      <c r="G1215" s="22" t="s">
        <v>16</v>
      </c>
      <c r="H1215" s="25">
        <v>12534</v>
      </c>
      <c r="I1215" s="25">
        <v>304</v>
      </c>
      <c r="J1215" s="26">
        <v>577.71</v>
      </c>
      <c r="K1215" s="25">
        <v>38</v>
      </c>
      <c r="L1215" s="21" t="s">
        <v>21</v>
      </c>
      <c r="M1215" s="22" t="s">
        <v>16</v>
      </c>
      <c r="N1215" s="27">
        <f t="shared" si="144"/>
        <v>3</v>
      </c>
      <c r="O1215" s="28">
        <f t="shared" si="145"/>
        <v>2.4254029041008457E-2</v>
      </c>
      <c r="P1215" s="28">
        <f t="shared" si="146"/>
        <v>0.125</v>
      </c>
      <c r="Q1215" s="26">
        <f t="shared" si="147"/>
        <v>1.9003618421052633</v>
      </c>
      <c r="R1215" s="29">
        <f t="shared" si="148"/>
        <v>15.202894736842106</v>
      </c>
      <c r="S1215" s="30">
        <f t="shared" si="149"/>
        <v>8</v>
      </c>
      <c r="T1215" s="30">
        <f t="shared" si="150"/>
        <v>2023</v>
      </c>
      <c r="U1215" s="29" t="str">
        <f t="shared" si="151"/>
        <v>August</v>
      </c>
    </row>
    <row r="1216" spans="1:21" ht="17.399999999999999" x14ac:dyDescent="0.3">
      <c r="A1216" s="21" t="s">
        <v>1244</v>
      </c>
      <c r="B1216" s="22" t="s">
        <v>3855</v>
      </c>
      <c r="C1216" s="23" t="s">
        <v>3515</v>
      </c>
      <c r="D1216" s="22" t="s">
        <v>3545</v>
      </c>
      <c r="E1216" s="24">
        <v>45153</v>
      </c>
      <c r="F1216" s="24">
        <v>45183</v>
      </c>
      <c r="G1216" s="22" t="s">
        <v>24</v>
      </c>
      <c r="H1216" s="25">
        <v>45482</v>
      </c>
      <c r="I1216" s="25">
        <v>1452</v>
      </c>
      <c r="J1216" s="26">
        <v>968.06</v>
      </c>
      <c r="K1216" s="25">
        <v>129</v>
      </c>
      <c r="L1216" s="21" t="s">
        <v>21</v>
      </c>
      <c r="M1216" s="22" t="s">
        <v>3536</v>
      </c>
      <c r="N1216" s="27">
        <f t="shared" si="144"/>
        <v>30</v>
      </c>
      <c r="O1216" s="28">
        <f t="shared" si="145"/>
        <v>3.1924717470647727E-2</v>
      </c>
      <c r="P1216" s="28">
        <f t="shared" si="146"/>
        <v>8.8842975206611566E-2</v>
      </c>
      <c r="Q1216" s="26">
        <f t="shared" si="147"/>
        <v>0.66670798898071626</v>
      </c>
      <c r="R1216" s="29">
        <f t="shared" si="148"/>
        <v>7.5043410852713173</v>
      </c>
      <c r="S1216" s="30">
        <f t="shared" si="149"/>
        <v>8</v>
      </c>
      <c r="T1216" s="30">
        <f t="shared" si="150"/>
        <v>2023</v>
      </c>
      <c r="U1216" s="29" t="str">
        <f t="shared" si="151"/>
        <v>August</v>
      </c>
    </row>
    <row r="1217" spans="1:21" ht="17.399999999999999" x14ac:dyDescent="0.3">
      <c r="A1217" s="21" t="s">
        <v>2150</v>
      </c>
      <c r="B1217" s="21" t="s">
        <v>2151</v>
      </c>
      <c r="C1217" s="23" t="s">
        <v>3515</v>
      </c>
      <c r="D1217" s="21" t="s">
        <v>3517</v>
      </c>
      <c r="E1217" s="24">
        <v>45153</v>
      </c>
      <c r="F1217" s="24">
        <v>45174</v>
      </c>
      <c r="G1217" s="22" t="s">
        <v>3535</v>
      </c>
      <c r="H1217" s="25">
        <v>23116</v>
      </c>
      <c r="I1217" s="25">
        <v>1048</v>
      </c>
      <c r="J1217" s="26">
        <v>1647.82</v>
      </c>
      <c r="K1217" s="25">
        <v>140</v>
      </c>
      <c r="L1217" s="21" t="s">
        <v>17</v>
      </c>
      <c r="M1217" s="22" t="s">
        <v>3535</v>
      </c>
      <c r="N1217" s="27">
        <f t="shared" si="144"/>
        <v>21</v>
      </c>
      <c r="O1217" s="28">
        <f t="shared" si="145"/>
        <v>4.5336563419276693E-2</v>
      </c>
      <c r="P1217" s="28">
        <f t="shared" si="146"/>
        <v>0.13358778625954199</v>
      </c>
      <c r="Q1217" s="26">
        <f t="shared" si="147"/>
        <v>1.5723473282442748</v>
      </c>
      <c r="R1217" s="29">
        <f t="shared" si="148"/>
        <v>11.770142857142856</v>
      </c>
      <c r="S1217" s="30">
        <f t="shared" si="149"/>
        <v>8</v>
      </c>
      <c r="T1217" s="30">
        <f t="shared" si="150"/>
        <v>2023</v>
      </c>
      <c r="U1217" s="29" t="str">
        <f t="shared" si="151"/>
        <v>August</v>
      </c>
    </row>
    <row r="1218" spans="1:21" ht="17.399999999999999" x14ac:dyDescent="0.3">
      <c r="A1218" s="21" t="s">
        <v>928</v>
      </c>
      <c r="B1218" s="22" t="s">
        <v>3856</v>
      </c>
      <c r="C1218" s="23" t="s">
        <v>3518</v>
      </c>
      <c r="D1218" s="22" t="s">
        <v>3545</v>
      </c>
      <c r="E1218" s="24">
        <v>45154</v>
      </c>
      <c r="F1218" s="24">
        <v>45161</v>
      </c>
      <c r="G1218" s="22" t="s">
        <v>31</v>
      </c>
      <c r="H1218" s="25">
        <v>69385</v>
      </c>
      <c r="I1218" s="25">
        <v>1772</v>
      </c>
      <c r="J1218" s="26">
        <v>1714.77</v>
      </c>
      <c r="K1218" s="25">
        <v>96</v>
      </c>
      <c r="L1218" s="21" t="s">
        <v>21</v>
      </c>
      <c r="M1218" s="22" t="s">
        <v>31</v>
      </c>
      <c r="N1218" s="27">
        <f t="shared" ref="N1218:N1281" si="152">F1218-E1218</f>
        <v>7</v>
      </c>
      <c r="O1218" s="28">
        <f t="shared" ref="O1218:O1281" si="153">I1218/H1218</f>
        <v>2.5538661093896374E-2</v>
      </c>
      <c r="P1218" s="28">
        <f t="shared" ref="P1218:P1281" si="154">K1218/I1218</f>
        <v>5.4176072234762979E-2</v>
      </c>
      <c r="Q1218" s="26">
        <f t="shared" ref="Q1218:Q1281" si="155">J1218/I1218</f>
        <v>0.96770316027088032</v>
      </c>
      <c r="R1218" s="29">
        <f t="shared" ref="R1218:R1281" si="156">IFERROR(J1218/K1218,"0")</f>
        <v>17.862187500000001</v>
      </c>
      <c r="S1218" s="30">
        <f t="shared" ref="S1218:S1281" si="157">MONTH(E1218)</f>
        <v>8</v>
      </c>
      <c r="T1218" s="30">
        <f t="shared" ref="T1218:T1281" si="158">YEAR(E1218)</f>
        <v>2023</v>
      </c>
      <c r="U1218" s="29" t="str">
        <f t="shared" ref="U1218:U1281" si="159">TEXT(E1218,"mmmm")</f>
        <v>August</v>
      </c>
    </row>
    <row r="1219" spans="1:21" ht="17.399999999999999" x14ac:dyDescent="0.3">
      <c r="A1219" s="21" t="s">
        <v>2380</v>
      </c>
      <c r="B1219" s="21" t="s">
        <v>2381</v>
      </c>
      <c r="C1219" s="23" t="s">
        <v>3516</v>
      </c>
      <c r="D1219" s="21" t="s">
        <v>3517</v>
      </c>
      <c r="E1219" s="24">
        <v>45154</v>
      </c>
      <c r="F1219" s="24">
        <v>45156</v>
      </c>
      <c r="G1219" s="22" t="s">
        <v>16</v>
      </c>
      <c r="H1219" s="25">
        <v>54394</v>
      </c>
      <c r="I1219" s="25">
        <v>637</v>
      </c>
      <c r="J1219" s="26">
        <v>630.1</v>
      </c>
      <c r="K1219" s="25">
        <v>89</v>
      </c>
      <c r="L1219" s="21" t="s">
        <v>17</v>
      </c>
      <c r="M1219" s="22" t="s">
        <v>16</v>
      </c>
      <c r="N1219" s="27">
        <f t="shared" si="152"/>
        <v>2</v>
      </c>
      <c r="O1219" s="28">
        <f t="shared" si="153"/>
        <v>1.1710850461447955E-2</v>
      </c>
      <c r="P1219" s="28">
        <f t="shared" si="154"/>
        <v>0.13971742543171115</v>
      </c>
      <c r="Q1219" s="26">
        <f t="shared" si="155"/>
        <v>0.9891679748822606</v>
      </c>
      <c r="R1219" s="29">
        <f t="shared" si="156"/>
        <v>7.0797752808988763</v>
      </c>
      <c r="S1219" s="30">
        <f t="shared" si="157"/>
        <v>8</v>
      </c>
      <c r="T1219" s="30">
        <f t="shared" si="158"/>
        <v>2023</v>
      </c>
      <c r="U1219" s="29" t="str">
        <f t="shared" si="159"/>
        <v>August</v>
      </c>
    </row>
    <row r="1220" spans="1:21" ht="17.399999999999999" x14ac:dyDescent="0.3">
      <c r="A1220" s="21" t="s">
        <v>3450</v>
      </c>
      <c r="B1220" s="21" t="s">
        <v>3451</v>
      </c>
      <c r="C1220" s="23" t="s">
        <v>3515</v>
      </c>
      <c r="D1220" s="21" t="s">
        <v>3517</v>
      </c>
      <c r="E1220" s="24">
        <v>45154</v>
      </c>
      <c r="F1220" s="24">
        <v>45178</v>
      </c>
      <c r="G1220" s="22" t="s">
        <v>24</v>
      </c>
      <c r="H1220" s="25">
        <v>99762</v>
      </c>
      <c r="I1220" s="25">
        <v>3046</v>
      </c>
      <c r="J1220" s="26">
        <v>3611.31</v>
      </c>
      <c r="K1220" s="25">
        <v>593</v>
      </c>
      <c r="L1220" s="21" t="s">
        <v>17</v>
      </c>
      <c r="M1220" s="22" t="s">
        <v>3536</v>
      </c>
      <c r="N1220" s="27">
        <f t="shared" si="152"/>
        <v>24</v>
      </c>
      <c r="O1220" s="28">
        <f t="shared" si="153"/>
        <v>3.0532667749243198E-2</v>
      </c>
      <c r="P1220" s="28">
        <f t="shared" si="154"/>
        <v>0.19468154957321077</v>
      </c>
      <c r="Q1220" s="26">
        <f t="shared" si="155"/>
        <v>1.18559093893631</v>
      </c>
      <c r="R1220" s="29">
        <f t="shared" si="156"/>
        <v>6.0898988195615518</v>
      </c>
      <c r="S1220" s="30">
        <f t="shared" si="157"/>
        <v>8</v>
      </c>
      <c r="T1220" s="30">
        <f t="shared" si="158"/>
        <v>2023</v>
      </c>
      <c r="U1220" s="29" t="str">
        <f t="shared" si="159"/>
        <v>August</v>
      </c>
    </row>
    <row r="1221" spans="1:21" ht="17.399999999999999" x14ac:dyDescent="0.3">
      <c r="A1221" s="21" t="s">
        <v>1035</v>
      </c>
      <c r="B1221" s="21" t="s">
        <v>1036</v>
      </c>
      <c r="C1221" s="23" t="s">
        <v>3519</v>
      </c>
      <c r="D1221" s="21" t="s">
        <v>3520</v>
      </c>
      <c r="E1221" s="24">
        <v>45155</v>
      </c>
      <c r="F1221" s="24">
        <v>45158</v>
      </c>
      <c r="G1221" s="22" t="s">
        <v>14</v>
      </c>
      <c r="H1221" s="25">
        <v>61692</v>
      </c>
      <c r="I1221" s="25">
        <v>2671</v>
      </c>
      <c r="J1221" s="26">
        <v>3073.4</v>
      </c>
      <c r="K1221" s="25">
        <v>193</v>
      </c>
      <c r="L1221" s="21" t="s">
        <v>17</v>
      </c>
      <c r="M1221" s="22" t="s">
        <v>3537</v>
      </c>
      <c r="N1221" s="27">
        <f t="shared" si="152"/>
        <v>3</v>
      </c>
      <c r="O1221" s="28">
        <f t="shared" si="153"/>
        <v>4.3295727160733967E-2</v>
      </c>
      <c r="P1221" s="28">
        <f t="shared" si="154"/>
        <v>7.2257581430175966E-2</v>
      </c>
      <c r="Q1221" s="26">
        <f t="shared" si="155"/>
        <v>1.1506551853238487</v>
      </c>
      <c r="R1221" s="29">
        <f t="shared" si="156"/>
        <v>15.924352331606219</v>
      </c>
      <c r="S1221" s="30">
        <f t="shared" si="157"/>
        <v>8</v>
      </c>
      <c r="T1221" s="30">
        <f t="shared" si="158"/>
        <v>2023</v>
      </c>
      <c r="U1221" s="29" t="str">
        <f t="shared" si="159"/>
        <v>August</v>
      </c>
    </row>
    <row r="1222" spans="1:21" ht="17.399999999999999" x14ac:dyDescent="0.3">
      <c r="A1222" s="21" t="s">
        <v>1321</v>
      </c>
      <c r="B1222" s="21" t="s">
        <v>1322</v>
      </c>
      <c r="C1222" s="23" t="s">
        <v>3519</v>
      </c>
      <c r="D1222" s="21" t="s">
        <v>3517</v>
      </c>
      <c r="E1222" s="24">
        <v>45155</v>
      </c>
      <c r="F1222" s="24">
        <v>45166</v>
      </c>
      <c r="G1222" s="22" t="s">
        <v>16</v>
      </c>
      <c r="H1222" s="25">
        <v>42430</v>
      </c>
      <c r="I1222" s="25">
        <v>1028</v>
      </c>
      <c r="J1222" s="26">
        <v>1734.44</v>
      </c>
      <c r="K1222" s="25">
        <v>163</v>
      </c>
      <c r="L1222" s="21" t="s">
        <v>21</v>
      </c>
      <c r="M1222" s="22" t="s">
        <v>16</v>
      </c>
      <c r="N1222" s="27">
        <f t="shared" si="152"/>
        <v>11</v>
      </c>
      <c r="O1222" s="28">
        <f t="shared" si="153"/>
        <v>2.4228140466650956E-2</v>
      </c>
      <c r="P1222" s="28">
        <f t="shared" si="154"/>
        <v>0.15856031128404668</v>
      </c>
      <c r="Q1222" s="26">
        <f t="shared" si="155"/>
        <v>1.6871984435797667</v>
      </c>
      <c r="R1222" s="29">
        <f t="shared" si="156"/>
        <v>10.640736196319018</v>
      </c>
      <c r="S1222" s="30">
        <f t="shared" si="157"/>
        <v>8</v>
      </c>
      <c r="T1222" s="30">
        <f t="shared" si="158"/>
        <v>2023</v>
      </c>
      <c r="U1222" s="29" t="str">
        <f t="shared" si="159"/>
        <v>August</v>
      </c>
    </row>
    <row r="1223" spans="1:21" ht="17.399999999999999" x14ac:dyDescent="0.3">
      <c r="A1223" s="21" t="s">
        <v>2883</v>
      </c>
      <c r="B1223" s="22" t="s">
        <v>3857</v>
      </c>
      <c r="C1223" s="23" t="s">
        <v>3519</v>
      </c>
      <c r="D1223" s="22" t="s">
        <v>3545</v>
      </c>
      <c r="E1223" s="24">
        <v>45155</v>
      </c>
      <c r="F1223" s="24">
        <v>45156</v>
      </c>
      <c r="G1223" s="22" t="s">
        <v>24</v>
      </c>
      <c r="H1223" s="25">
        <v>57979</v>
      </c>
      <c r="I1223" s="25">
        <v>855</v>
      </c>
      <c r="J1223" s="26">
        <v>915.47</v>
      </c>
      <c r="K1223" s="25">
        <v>96</v>
      </c>
      <c r="L1223" s="21" t="s">
        <v>21</v>
      </c>
      <c r="M1223" s="22" t="s">
        <v>3536</v>
      </c>
      <c r="N1223" s="27">
        <f t="shared" si="152"/>
        <v>1</v>
      </c>
      <c r="O1223" s="28">
        <f t="shared" si="153"/>
        <v>1.4746718639507408E-2</v>
      </c>
      <c r="P1223" s="28">
        <f t="shared" si="154"/>
        <v>0.11228070175438597</v>
      </c>
      <c r="Q1223" s="26">
        <f t="shared" si="155"/>
        <v>1.0707251461988305</v>
      </c>
      <c r="R1223" s="29">
        <f t="shared" si="156"/>
        <v>9.5361458333333342</v>
      </c>
      <c r="S1223" s="30">
        <f t="shared" si="157"/>
        <v>8</v>
      </c>
      <c r="T1223" s="30">
        <f t="shared" si="158"/>
        <v>2023</v>
      </c>
      <c r="U1223" s="29" t="str">
        <f t="shared" si="159"/>
        <v>August</v>
      </c>
    </row>
    <row r="1224" spans="1:21" ht="17.399999999999999" x14ac:dyDescent="0.3">
      <c r="A1224" s="21" t="s">
        <v>3307</v>
      </c>
      <c r="B1224" s="22" t="s">
        <v>3858</v>
      </c>
      <c r="C1224" s="23" t="s">
        <v>3519</v>
      </c>
      <c r="D1224" s="22" t="s">
        <v>3545</v>
      </c>
      <c r="E1224" s="24">
        <v>45155</v>
      </c>
      <c r="F1224" s="24">
        <v>45160</v>
      </c>
      <c r="G1224" s="22" t="s">
        <v>16</v>
      </c>
      <c r="H1224" s="25">
        <v>52027</v>
      </c>
      <c r="I1224" s="25">
        <v>2061</v>
      </c>
      <c r="J1224" s="26">
        <v>1780.33</v>
      </c>
      <c r="K1224" s="25">
        <v>136</v>
      </c>
      <c r="L1224" s="21" t="s">
        <v>17</v>
      </c>
      <c r="M1224" s="22" t="s">
        <v>16</v>
      </c>
      <c r="N1224" s="27">
        <f t="shared" si="152"/>
        <v>5</v>
      </c>
      <c r="O1224" s="28">
        <f t="shared" si="153"/>
        <v>3.9614046552751456E-2</v>
      </c>
      <c r="P1224" s="28">
        <f t="shared" si="154"/>
        <v>6.5987384764677345E-2</v>
      </c>
      <c r="Q1224" s="26">
        <f t="shared" si="155"/>
        <v>0.86381853469189707</v>
      </c>
      <c r="R1224" s="29">
        <f t="shared" si="156"/>
        <v>13.090661764705882</v>
      </c>
      <c r="S1224" s="30">
        <f t="shared" si="157"/>
        <v>8</v>
      </c>
      <c r="T1224" s="30">
        <f t="shared" si="158"/>
        <v>2023</v>
      </c>
      <c r="U1224" s="29" t="str">
        <f t="shared" si="159"/>
        <v>August</v>
      </c>
    </row>
    <row r="1225" spans="1:21" ht="17.399999999999999" x14ac:dyDescent="0.3">
      <c r="A1225" s="21" t="s">
        <v>3458</v>
      </c>
      <c r="B1225" s="21" t="s">
        <v>3459</v>
      </c>
      <c r="C1225" s="23" t="s">
        <v>3519</v>
      </c>
      <c r="D1225" s="21" t="s">
        <v>3520</v>
      </c>
      <c r="E1225" s="24">
        <v>45155</v>
      </c>
      <c r="F1225" s="24">
        <v>45181</v>
      </c>
      <c r="G1225" s="22" t="s">
        <v>11</v>
      </c>
      <c r="H1225" s="25">
        <v>28961</v>
      </c>
      <c r="I1225" s="25">
        <v>806</v>
      </c>
      <c r="J1225" s="26">
        <v>1090.23</v>
      </c>
      <c r="K1225" s="25">
        <v>121</v>
      </c>
      <c r="L1225" s="21" t="s">
        <v>17</v>
      </c>
      <c r="M1225" s="22" t="s">
        <v>11</v>
      </c>
      <c r="N1225" s="27">
        <f t="shared" si="152"/>
        <v>26</v>
      </c>
      <c r="O1225" s="28">
        <f t="shared" si="153"/>
        <v>2.7830530713718448E-2</v>
      </c>
      <c r="P1225" s="28">
        <f t="shared" si="154"/>
        <v>0.15012406947890819</v>
      </c>
      <c r="Q1225" s="26">
        <f t="shared" si="155"/>
        <v>1.3526426799007445</v>
      </c>
      <c r="R1225" s="29">
        <f t="shared" si="156"/>
        <v>9.0101652892561983</v>
      </c>
      <c r="S1225" s="30">
        <f t="shared" si="157"/>
        <v>8</v>
      </c>
      <c r="T1225" s="30">
        <f t="shared" si="158"/>
        <v>2023</v>
      </c>
      <c r="U1225" s="29" t="str">
        <f t="shared" si="159"/>
        <v>August</v>
      </c>
    </row>
    <row r="1226" spans="1:21" ht="17.399999999999999" x14ac:dyDescent="0.3">
      <c r="A1226" s="21" t="s">
        <v>312</v>
      </c>
      <c r="B1226" s="22" t="s">
        <v>3859</v>
      </c>
      <c r="C1226" s="23" t="s">
        <v>3518</v>
      </c>
      <c r="D1226" s="22" t="s">
        <v>3545</v>
      </c>
      <c r="E1226" s="24">
        <v>45155</v>
      </c>
      <c r="F1226" s="24">
        <v>45175</v>
      </c>
      <c r="G1226" s="22" t="s">
        <v>14</v>
      </c>
      <c r="H1226" s="25">
        <v>22834</v>
      </c>
      <c r="I1226" s="25">
        <v>1097</v>
      </c>
      <c r="J1226" s="26">
        <v>1865.02</v>
      </c>
      <c r="K1226" s="25">
        <v>172</v>
      </c>
      <c r="L1226" s="21" t="s">
        <v>17</v>
      </c>
      <c r="M1226" s="22" t="s">
        <v>3537</v>
      </c>
      <c r="N1226" s="27">
        <f t="shared" si="152"/>
        <v>20</v>
      </c>
      <c r="O1226" s="28">
        <f t="shared" si="153"/>
        <v>4.8042392922834368E-2</v>
      </c>
      <c r="P1226" s="28">
        <f t="shared" si="154"/>
        <v>0.15679124886052873</v>
      </c>
      <c r="Q1226" s="26">
        <f t="shared" si="155"/>
        <v>1.7001093892433909</v>
      </c>
      <c r="R1226" s="29">
        <f t="shared" si="156"/>
        <v>10.84313953488372</v>
      </c>
      <c r="S1226" s="30">
        <f t="shared" si="157"/>
        <v>8</v>
      </c>
      <c r="T1226" s="30">
        <f t="shared" si="158"/>
        <v>2023</v>
      </c>
      <c r="U1226" s="29" t="str">
        <f t="shared" si="159"/>
        <v>August</v>
      </c>
    </row>
    <row r="1227" spans="1:21" ht="17.399999999999999" x14ac:dyDescent="0.3">
      <c r="A1227" s="21" t="s">
        <v>1349</v>
      </c>
      <c r="B1227" s="22" t="s">
        <v>3860</v>
      </c>
      <c r="C1227" s="23" t="s">
        <v>3519</v>
      </c>
      <c r="D1227" s="22" t="s">
        <v>3545</v>
      </c>
      <c r="E1227" s="24">
        <v>45156</v>
      </c>
      <c r="F1227" s="24">
        <v>45168</v>
      </c>
      <c r="G1227" s="22" t="s">
        <v>31</v>
      </c>
      <c r="H1227" s="25">
        <v>28355</v>
      </c>
      <c r="I1227" s="25">
        <v>916</v>
      </c>
      <c r="J1227" s="26">
        <v>1095.6300000000001</v>
      </c>
      <c r="K1227" s="25">
        <v>86</v>
      </c>
      <c r="L1227" s="21" t="s">
        <v>21</v>
      </c>
      <c r="M1227" s="22" t="s">
        <v>31</v>
      </c>
      <c r="N1227" s="27">
        <f t="shared" si="152"/>
        <v>12</v>
      </c>
      <c r="O1227" s="28">
        <f t="shared" si="153"/>
        <v>3.2304708164344914E-2</v>
      </c>
      <c r="P1227" s="28">
        <f t="shared" si="154"/>
        <v>9.3886462882096067E-2</v>
      </c>
      <c r="Q1227" s="26">
        <f t="shared" si="155"/>
        <v>1.1961026200873364</v>
      </c>
      <c r="R1227" s="29">
        <f t="shared" si="156"/>
        <v>12.739883720930234</v>
      </c>
      <c r="S1227" s="30">
        <f t="shared" si="157"/>
        <v>8</v>
      </c>
      <c r="T1227" s="30">
        <f t="shared" si="158"/>
        <v>2023</v>
      </c>
      <c r="U1227" s="29" t="str">
        <f t="shared" si="159"/>
        <v>August</v>
      </c>
    </row>
    <row r="1228" spans="1:21" ht="17.399999999999999" x14ac:dyDescent="0.3">
      <c r="A1228" s="21" t="s">
        <v>929</v>
      </c>
      <c r="B1228" s="22" t="s">
        <v>3861</v>
      </c>
      <c r="C1228" s="23" t="s">
        <v>3518</v>
      </c>
      <c r="D1228" s="22" t="s">
        <v>3545</v>
      </c>
      <c r="E1228" s="24">
        <v>45156</v>
      </c>
      <c r="F1228" s="24">
        <v>45177</v>
      </c>
      <c r="G1228" s="22" t="s">
        <v>11</v>
      </c>
      <c r="H1228" s="25">
        <v>41158</v>
      </c>
      <c r="I1228" s="25">
        <v>681</v>
      </c>
      <c r="J1228" s="26">
        <v>595.64</v>
      </c>
      <c r="K1228" s="25">
        <v>0</v>
      </c>
      <c r="L1228" s="21" t="s">
        <v>21</v>
      </c>
      <c r="M1228" s="22" t="s">
        <v>11</v>
      </c>
      <c r="N1228" s="27">
        <f t="shared" si="152"/>
        <v>21</v>
      </c>
      <c r="O1228" s="28">
        <f t="shared" si="153"/>
        <v>1.6545993488507701E-2</v>
      </c>
      <c r="P1228" s="28">
        <f t="shared" si="154"/>
        <v>0</v>
      </c>
      <c r="Q1228" s="26">
        <f t="shared" si="155"/>
        <v>0.87465491923641703</v>
      </c>
      <c r="R1228" s="29" t="str">
        <f t="shared" si="156"/>
        <v>0</v>
      </c>
      <c r="S1228" s="30">
        <f t="shared" si="157"/>
        <v>8</v>
      </c>
      <c r="T1228" s="30">
        <f t="shared" si="158"/>
        <v>2023</v>
      </c>
      <c r="U1228" s="29" t="str">
        <f t="shared" si="159"/>
        <v>August</v>
      </c>
    </row>
    <row r="1229" spans="1:21" ht="17.399999999999999" x14ac:dyDescent="0.3">
      <c r="A1229" s="21" t="s">
        <v>141</v>
      </c>
      <c r="B1229" s="21" t="s">
        <v>142</v>
      </c>
      <c r="C1229" s="23" t="s">
        <v>3516</v>
      </c>
      <c r="D1229" s="21" t="s">
        <v>3521</v>
      </c>
      <c r="E1229" s="24">
        <v>45156</v>
      </c>
      <c r="F1229" s="24">
        <v>45175</v>
      </c>
      <c r="G1229" s="22" t="s">
        <v>16</v>
      </c>
      <c r="H1229" s="25">
        <v>93093</v>
      </c>
      <c r="I1229" s="25">
        <v>2343</v>
      </c>
      <c r="J1229" s="26">
        <v>4076.77</v>
      </c>
      <c r="K1229" s="25">
        <v>327</v>
      </c>
      <c r="L1229" s="21" t="s">
        <v>17</v>
      </c>
      <c r="M1229" s="22" t="s">
        <v>16</v>
      </c>
      <c r="N1229" s="27">
        <f t="shared" si="152"/>
        <v>19</v>
      </c>
      <c r="O1229" s="28">
        <f t="shared" si="153"/>
        <v>2.5168380007089684E-2</v>
      </c>
      <c r="P1229" s="28">
        <f t="shared" si="154"/>
        <v>0.13956466069142126</v>
      </c>
      <c r="Q1229" s="26">
        <f t="shared" si="155"/>
        <v>1.7399786598378149</v>
      </c>
      <c r="R1229" s="29">
        <f t="shared" si="156"/>
        <v>12.467186544342507</v>
      </c>
      <c r="S1229" s="30">
        <f t="shared" si="157"/>
        <v>8</v>
      </c>
      <c r="T1229" s="30">
        <f t="shared" si="158"/>
        <v>2023</v>
      </c>
      <c r="U1229" s="29" t="str">
        <f t="shared" si="159"/>
        <v>August</v>
      </c>
    </row>
    <row r="1230" spans="1:21" ht="17.399999999999999" x14ac:dyDescent="0.3">
      <c r="A1230" s="21" t="s">
        <v>415</v>
      </c>
      <c r="B1230" s="21" t="s">
        <v>416</v>
      </c>
      <c r="C1230" s="23" t="s">
        <v>3516</v>
      </c>
      <c r="D1230" s="21" t="s">
        <v>3521</v>
      </c>
      <c r="E1230" s="24">
        <v>45156</v>
      </c>
      <c r="F1230" s="24">
        <v>45165</v>
      </c>
      <c r="G1230" s="22" t="s">
        <v>11</v>
      </c>
      <c r="H1230" s="25">
        <v>99506</v>
      </c>
      <c r="I1230" s="25">
        <v>2431</v>
      </c>
      <c r="J1230" s="26">
        <v>4407.67</v>
      </c>
      <c r="K1230" s="25">
        <v>461</v>
      </c>
      <c r="L1230" s="21" t="s">
        <v>21</v>
      </c>
      <c r="M1230" s="22" t="s">
        <v>11</v>
      </c>
      <c r="N1230" s="27">
        <f t="shared" si="152"/>
        <v>9</v>
      </c>
      <c r="O1230" s="28">
        <f t="shared" si="153"/>
        <v>2.4430687596727837E-2</v>
      </c>
      <c r="P1230" s="28">
        <f t="shared" si="154"/>
        <v>0.18963389551624846</v>
      </c>
      <c r="Q1230" s="26">
        <f t="shared" si="155"/>
        <v>1.8131098313451255</v>
      </c>
      <c r="R1230" s="29">
        <f t="shared" si="156"/>
        <v>9.561106290672452</v>
      </c>
      <c r="S1230" s="30">
        <f t="shared" si="157"/>
        <v>8</v>
      </c>
      <c r="T1230" s="30">
        <f t="shared" si="158"/>
        <v>2023</v>
      </c>
      <c r="U1230" s="29" t="str">
        <f t="shared" si="159"/>
        <v>August</v>
      </c>
    </row>
    <row r="1231" spans="1:21" ht="17.399999999999999" x14ac:dyDescent="0.3">
      <c r="A1231" s="21" t="s">
        <v>854</v>
      </c>
      <c r="B1231" s="21" t="s">
        <v>855</v>
      </c>
      <c r="C1231" s="23" t="s">
        <v>3516</v>
      </c>
      <c r="D1231" s="21" t="s">
        <v>3520</v>
      </c>
      <c r="E1231" s="24">
        <v>45156</v>
      </c>
      <c r="F1231" s="24">
        <v>45180</v>
      </c>
      <c r="G1231" s="22" t="s">
        <v>14</v>
      </c>
      <c r="H1231" s="25">
        <v>6237</v>
      </c>
      <c r="I1231" s="25">
        <v>189</v>
      </c>
      <c r="J1231" s="26">
        <v>253.62</v>
      </c>
      <c r="K1231" s="25">
        <v>24</v>
      </c>
      <c r="L1231" s="21" t="s">
        <v>21</v>
      </c>
      <c r="M1231" s="22" t="s">
        <v>3537</v>
      </c>
      <c r="N1231" s="27">
        <f t="shared" si="152"/>
        <v>24</v>
      </c>
      <c r="O1231" s="28">
        <f t="shared" si="153"/>
        <v>3.0303030303030304E-2</v>
      </c>
      <c r="P1231" s="28">
        <f t="shared" si="154"/>
        <v>0.12698412698412698</v>
      </c>
      <c r="Q1231" s="26">
        <f t="shared" si="155"/>
        <v>1.3419047619047619</v>
      </c>
      <c r="R1231" s="29">
        <f t="shared" si="156"/>
        <v>10.567500000000001</v>
      </c>
      <c r="S1231" s="30">
        <f t="shared" si="157"/>
        <v>8</v>
      </c>
      <c r="T1231" s="30">
        <f t="shared" si="158"/>
        <v>2023</v>
      </c>
      <c r="U1231" s="29" t="str">
        <f t="shared" si="159"/>
        <v>August</v>
      </c>
    </row>
    <row r="1232" spans="1:21" ht="17.399999999999999" x14ac:dyDescent="0.3">
      <c r="A1232" s="21" t="s">
        <v>1535</v>
      </c>
      <c r="B1232" s="22" t="s">
        <v>3862</v>
      </c>
      <c r="C1232" s="23" t="s">
        <v>3515</v>
      </c>
      <c r="D1232" s="22" t="s">
        <v>3545</v>
      </c>
      <c r="E1232" s="24">
        <v>45156</v>
      </c>
      <c r="F1232" s="24">
        <v>45172</v>
      </c>
      <c r="G1232" s="22" t="s">
        <v>11</v>
      </c>
      <c r="H1232" s="25">
        <v>74553</v>
      </c>
      <c r="I1232" s="25">
        <v>921</v>
      </c>
      <c r="J1232" s="26">
        <v>1251.6099999999999</v>
      </c>
      <c r="K1232" s="25">
        <v>81</v>
      </c>
      <c r="L1232" s="21" t="s">
        <v>17</v>
      </c>
      <c r="M1232" s="22" t="s">
        <v>11</v>
      </c>
      <c r="N1232" s="27">
        <f t="shared" si="152"/>
        <v>16</v>
      </c>
      <c r="O1232" s="28">
        <f t="shared" si="153"/>
        <v>1.2353627620618889E-2</v>
      </c>
      <c r="P1232" s="28">
        <f t="shared" si="154"/>
        <v>8.7947882736156349E-2</v>
      </c>
      <c r="Q1232" s="26">
        <f t="shared" si="155"/>
        <v>1.3589685124864277</v>
      </c>
      <c r="R1232" s="29">
        <f t="shared" si="156"/>
        <v>15.451975308641973</v>
      </c>
      <c r="S1232" s="30">
        <f t="shared" si="157"/>
        <v>8</v>
      </c>
      <c r="T1232" s="30">
        <f t="shared" si="158"/>
        <v>2023</v>
      </c>
      <c r="U1232" s="29" t="str">
        <f t="shared" si="159"/>
        <v>August</v>
      </c>
    </row>
    <row r="1233" spans="1:21" ht="17.399999999999999" x14ac:dyDescent="0.3">
      <c r="A1233" s="21" t="s">
        <v>2900</v>
      </c>
      <c r="B1233" s="22" t="s">
        <v>3863</v>
      </c>
      <c r="C1233" s="23" t="s">
        <v>3519</v>
      </c>
      <c r="D1233" s="22" t="s">
        <v>3545</v>
      </c>
      <c r="E1233" s="24">
        <v>45157</v>
      </c>
      <c r="F1233" s="24">
        <v>45174</v>
      </c>
      <c r="G1233" s="22" t="s">
        <v>3535</v>
      </c>
      <c r="H1233" s="25">
        <v>83856</v>
      </c>
      <c r="I1233" s="25">
        <v>3879</v>
      </c>
      <c r="J1233" s="26">
        <v>5537.03</v>
      </c>
      <c r="K1233" s="25">
        <v>688</v>
      </c>
      <c r="L1233" s="21" t="s">
        <v>17</v>
      </c>
      <c r="M1233" s="22" t="s">
        <v>3535</v>
      </c>
      <c r="N1233" s="27">
        <f t="shared" si="152"/>
        <v>17</v>
      </c>
      <c r="O1233" s="28">
        <f t="shared" si="153"/>
        <v>4.6257870635374926E-2</v>
      </c>
      <c r="P1233" s="28">
        <f t="shared" si="154"/>
        <v>0.17736530033513792</v>
      </c>
      <c r="Q1233" s="26">
        <f t="shared" si="155"/>
        <v>1.4274374838875998</v>
      </c>
      <c r="R1233" s="29">
        <f t="shared" si="156"/>
        <v>8.0480087209302322</v>
      </c>
      <c r="S1233" s="30">
        <f t="shared" si="157"/>
        <v>8</v>
      </c>
      <c r="T1233" s="30">
        <f t="shared" si="158"/>
        <v>2023</v>
      </c>
      <c r="U1233" s="29" t="str">
        <f t="shared" si="159"/>
        <v>August</v>
      </c>
    </row>
    <row r="1234" spans="1:21" ht="17.399999999999999" x14ac:dyDescent="0.3">
      <c r="A1234" s="21" t="s">
        <v>3030</v>
      </c>
      <c r="B1234" s="21" t="s">
        <v>3031</v>
      </c>
      <c r="C1234" s="23" t="s">
        <v>3519</v>
      </c>
      <c r="D1234" s="21" t="s">
        <v>3521</v>
      </c>
      <c r="E1234" s="24">
        <v>45157</v>
      </c>
      <c r="F1234" s="24">
        <v>45169</v>
      </c>
      <c r="G1234" s="22" t="s">
        <v>31</v>
      </c>
      <c r="H1234" s="25">
        <v>97826</v>
      </c>
      <c r="I1234" s="25">
        <v>3000</v>
      </c>
      <c r="J1234" s="26">
        <v>5159.16</v>
      </c>
      <c r="K1234" s="25">
        <v>523</v>
      </c>
      <c r="L1234" s="21" t="s">
        <v>17</v>
      </c>
      <c r="M1234" s="22" t="s">
        <v>31</v>
      </c>
      <c r="N1234" s="27">
        <f t="shared" si="152"/>
        <v>12</v>
      </c>
      <c r="O1234" s="28">
        <f t="shared" si="153"/>
        <v>3.0666693925950155E-2</v>
      </c>
      <c r="P1234" s="28">
        <f t="shared" si="154"/>
        <v>0.17433333333333334</v>
      </c>
      <c r="Q1234" s="26">
        <f t="shared" si="155"/>
        <v>1.7197199999999999</v>
      </c>
      <c r="R1234" s="29">
        <f t="shared" si="156"/>
        <v>9.8645506692160616</v>
      </c>
      <c r="S1234" s="30">
        <f t="shared" si="157"/>
        <v>8</v>
      </c>
      <c r="T1234" s="30">
        <f t="shared" si="158"/>
        <v>2023</v>
      </c>
      <c r="U1234" s="29" t="str">
        <f t="shared" si="159"/>
        <v>August</v>
      </c>
    </row>
    <row r="1235" spans="1:21" ht="17.399999999999999" x14ac:dyDescent="0.3">
      <c r="A1235" s="21" t="s">
        <v>1407</v>
      </c>
      <c r="B1235" s="21" t="s">
        <v>1408</v>
      </c>
      <c r="C1235" s="23" t="s">
        <v>3518</v>
      </c>
      <c r="D1235" s="21" t="s">
        <v>3517</v>
      </c>
      <c r="E1235" s="24">
        <v>45157</v>
      </c>
      <c r="F1235" s="24">
        <v>45164</v>
      </c>
      <c r="G1235" s="22" t="s">
        <v>11</v>
      </c>
      <c r="H1235" s="25">
        <v>63680</v>
      </c>
      <c r="I1235" s="25">
        <v>2502</v>
      </c>
      <c r="J1235" s="26">
        <v>4402.8500000000004</v>
      </c>
      <c r="K1235" s="25">
        <v>172</v>
      </c>
      <c r="L1235" s="21" t="s">
        <v>21</v>
      </c>
      <c r="M1235" s="22" t="s">
        <v>11</v>
      </c>
      <c r="N1235" s="27">
        <f t="shared" si="152"/>
        <v>7</v>
      </c>
      <c r="O1235" s="28">
        <f t="shared" si="153"/>
        <v>3.9290201005025123E-2</v>
      </c>
      <c r="P1235" s="28">
        <f t="shared" si="154"/>
        <v>6.8745003996802556E-2</v>
      </c>
      <c r="Q1235" s="26">
        <f t="shared" si="155"/>
        <v>1.7597322142286171</v>
      </c>
      <c r="R1235" s="29">
        <f t="shared" si="156"/>
        <v>25.59796511627907</v>
      </c>
      <c r="S1235" s="30">
        <f t="shared" si="157"/>
        <v>8</v>
      </c>
      <c r="T1235" s="30">
        <f t="shared" si="158"/>
        <v>2023</v>
      </c>
      <c r="U1235" s="29" t="str">
        <f t="shared" si="159"/>
        <v>August</v>
      </c>
    </row>
    <row r="1236" spans="1:21" ht="17.399999999999999" x14ac:dyDescent="0.3">
      <c r="A1236" s="21" t="s">
        <v>2547</v>
      </c>
      <c r="B1236" s="21" t="s">
        <v>2548</v>
      </c>
      <c r="C1236" s="23" t="s">
        <v>3518</v>
      </c>
      <c r="D1236" s="21" t="s">
        <v>3520</v>
      </c>
      <c r="E1236" s="24">
        <v>45157</v>
      </c>
      <c r="F1236" s="24">
        <v>45185</v>
      </c>
      <c r="G1236" s="22" t="s">
        <v>24</v>
      </c>
      <c r="H1236" s="25">
        <v>12046</v>
      </c>
      <c r="I1236" s="25">
        <v>419</v>
      </c>
      <c r="J1236" s="26">
        <v>414.32</v>
      </c>
      <c r="K1236" s="25">
        <v>53</v>
      </c>
      <c r="L1236" s="21" t="s">
        <v>17</v>
      </c>
      <c r="M1236" s="22" t="s">
        <v>3536</v>
      </c>
      <c r="N1236" s="27">
        <f t="shared" si="152"/>
        <v>28</v>
      </c>
      <c r="O1236" s="28">
        <f t="shared" si="153"/>
        <v>3.4783330566163041E-2</v>
      </c>
      <c r="P1236" s="28">
        <f t="shared" si="154"/>
        <v>0.12649164677804295</v>
      </c>
      <c r="Q1236" s="26">
        <f t="shared" si="155"/>
        <v>0.9888305489260143</v>
      </c>
      <c r="R1236" s="29">
        <f t="shared" si="156"/>
        <v>7.817358490566038</v>
      </c>
      <c r="S1236" s="30">
        <f t="shared" si="157"/>
        <v>8</v>
      </c>
      <c r="T1236" s="30">
        <f t="shared" si="158"/>
        <v>2023</v>
      </c>
      <c r="U1236" s="29" t="str">
        <f t="shared" si="159"/>
        <v>August</v>
      </c>
    </row>
    <row r="1237" spans="1:21" ht="17.399999999999999" x14ac:dyDescent="0.3">
      <c r="A1237" s="21" t="s">
        <v>1166</v>
      </c>
      <c r="B1237" s="21" t="s">
        <v>1167</v>
      </c>
      <c r="C1237" s="23" t="s">
        <v>3516</v>
      </c>
      <c r="D1237" s="21" t="s">
        <v>3520</v>
      </c>
      <c r="E1237" s="24">
        <v>45157</v>
      </c>
      <c r="F1237" s="24">
        <v>45169</v>
      </c>
      <c r="G1237" s="22" t="s">
        <v>24</v>
      </c>
      <c r="H1237" s="25">
        <v>49136</v>
      </c>
      <c r="I1237" s="25">
        <v>1232</v>
      </c>
      <c r="J1237" s="26">
        <v>788.23</v>
      </c>
      <c r="K1237" s="25">
        <v>239</v>
      </c>
      <c r="L1237" s="21" t="s">
        <v>17</v>
      </c>
      <c r="M1237" s="22" t="s">
        <v>3536</v>
      </c>
      <c r="N1237" s="27">
        <f t="shared" si="152"/>
        <v>12</v>
      </c>
      <c r="O1237" s="28">
        <f t="shared" si="153"/>
        <v>2.5073266037121459E-2</v>
      </c>
      <c r="P1237" s="28">
        <f t="shared" si="154"/>
        <v>0.1939935064935065</v>
      </c>
      <c r="Q1237" s="26">
        <f t="shared" si="155"/>
        <v>0.63979707792207796</v>
      </c>
      <c r="R1237" s="29">
        <f t="shared" si="156"/>
        <v>3.2980334728033474</v>
      </c>
      <c r="S1237" s="30">
        <f t="shared" si="157"/>
        <v>8</v>
      </c>
      <c r="T1237" s="30">
        <f t="shared" si="158"/>
        <v>2023</v>
      </c>
      <c r="U1237" s="29" t="str">
        <f t="shared" si="159"/>
        <v>August</v>
      </c>
    </row>
    <row r="1238" spans="1:21" ht="17.399999999999999" x14ac:dyDescent="0.3">
      <c r="A1238" s="21" t="s">
        <v>1689</v>
      </c>
      <c r="B1238" s="21" t="s">
        <v>1690</v>
      </c>
      <c r="C1238" s="23" t="s">
        <v>3516</v>
      </c>
      <c r="D1238" s="21" t="s">
        <v>3517</v>
      </c>
      <c r="E1238" s="24">
        <v>45157</v>
      </c>
      <c r="F1238" s="24">
        <v>45163</v>
      </c>
      <c r="G1238" s="22" t="s">
        <v>14</v>
      </c>
      <c r="H1238" s="25">
        <v>16034</v>
      </c>
      <c r="I1238" s="25">
        <v>332</v>
      </c>
      <c r="J1238" s="26">
        <v>314.08999999999997</v>
      </c>
      <c r="K1238" s="25">
        <v>46</v>
      </c>
      <c r="L1238" s="21" t="s">
        <v>17</v>
      </c>
      <c r="M1238" s="22" t="s">
        <v>3537</v>
      </c>
      <c r="N1238" s="27">
        <f t="shared" si="152"/>
        <v>6</v>
      </c>
      <c r="O1238" s="28">
        <f t="shared" si="153"/>
        <v>2.0705999750530123E-2</v>
      </c>
      <c r="P1238" s="28">
        <f t="shared" si="154"/>
        <v>0.13855421686746988</v>
      </c>
      <c r="Q1238" s="26">
        <f t="shared" si="155"/>
        <v>0.94605421686746982</v>
      </c>
      <c r="R1238" s="29">
        <f t="shared" si="156"/>
        <v>6.8280434782608692</v>
      </c>
      <c r="S1238" s="30">
        <f t="shared" si="157"/>
        <v>8</v>
      </c>
      <c r="T1238" s="30">
        <f t="shared" si="158"/>
        <v>2023</v>
      </c>
      <c r="U1238" s="29" t="str">
        <f t="shared" si="159"/>
        <v>August</v>
      </c>
    </row>
    <row r="1239" spans="1:21" ht="17.399999999999999" x14ac:dyDescent="0.3">
      <c r="A1239" s="21" t="s">
        <v>2871</v>
      </c>
      <c r="B1239" s="21" t="s">
        <v>2872</v>
      </c>
      <c r="C1239" s="23" t="s">
        <v>3516</v>
      </c>
      <c r="D1239" s="21" t="s">
        <v>3517</v>
      </c>
      <c r="E1239" s="24">
        <v>45157</v>
      </c>
      <c r="F1239" s="24">
        <v>45163</v>
      </c>
      <c r="G1239" s="22" t="s">
        <v>31</v>
      </c>
      <c r="H1239" s="25">
        <v>35636</v>
      </c>
      <c r="I1239" s="25">
        <v>847</v>
      </c>
      <c r="J1239" s="26">
        <v>1033.71</v>
      </c>
      <c r="K1239" s="25">
        <v>79</v>
      </c>
      <c r="L1239" s="21" t="s">
        <v>21</v>
      </c>
      <c r="M1239" s="22" t="s">
        <v>31</v>
      </c>
      <c r="N1239" s="27">
        <f t="shared" si="152"/>
        <v>6</v>
      </c>
      <c r="O1239" s="28">
        <f t="shared" si="153"/>
        <v>2.3768099674486474E-2</v>
      </c>
      <c r="P1239" s="28">
        <f t="shared" si="154"/>
        <v>9.3270365997638729E-2</v>
      </c>
      <c r="Q1239" s="26">
        <f t="shared" si="155"/>
        <v>1.2204368358913813</v>
      </c>
      <c r="R1239" s="29">
        <f t="shared" si="156"/>
        <v>13.084936708860759</v>
      </c>
      <c r="S1239" s="30">
        <f t="shared" si="157"/>
        <v>8</v>
      </c>
      <c r="T1239" s="30">
        <f t="shared" si="158"/>
        <v>2023</v>
      </c>
      <c r="U1239" s="29" t="str">
        <f t="shared" si="159"/>
        <v>August</v>
      </c>
    </row>
    <row r="1240" spans="1:21" ht="17.399999999999999" x14ac:dyDescent="0.3">
      <c r="A1240" s="21" t="s">
        <v>2415</v>
      </c>
      <c r="B1240" s="21" t="s">
        <v>2416</v>
      </c>
      <c r="C1240" s="23" t="s">
        <v>3515</v>
      </c>
      <c r="D1240" s="21" t="s">
        <v>3517</v>
      </c>
      <c r="E1240" s="24">
        <v>45157</v>
      </c>
      <c r="F1240" s="24">
        <v>45159</v>
      </c>
      <c r="G1240" s="22" t="s">
        <v>16</v>
      </c>
      <c r="H1240" s="25">
        <v>63516</v>
      </c>
      <c r="I1240" s="25">
        <v>1645</v>
      </c>
      <c r="J1240" s="26">
        <v>904.59</v>
      </c>
      <c r="K1240" s="25">
        <v>259</v>
      </c>
      <c r="L1240" s="21" t="s">
        <v>17</v>
      </c>
      <c r="M1240" s="22" t="s">
        <v>16</v>
      </c>
      <c r="N1240" s="27">
        <f t="shared" si="152"/>
        <v>2</v>
      </c>
      <c r="O1240" s="28">
        <f t="shared" si="153"/>
        <v>2.5898986082246993E-2</v>
      </c>
      <c r="P1240" s="28">
        <f t="shared" si="154"/>
        <v>0.1574468085106383</v>
      </c>
      <c r="Q1240" s="26">
        <f t="shared" si="155"/>
        <v>0.54990273556231006</v>
      </c>
      <c r="R1240" s="29">
        <f t="shared" si="156"/>
        <v>3.4926254826254826</v>
      </c>
      <c r="S1240" s="30">
        <f t="shared" si="157"/>
        <v>8</v>
      </c>
      <c r="T1240" s="30">
        <f t="shared" si="158"/>
        <v>2023</v>
      </c>
      <c r="U1240" s="29" t="str">
        <f t="shared" si="159"/>
        <v>August</v>
      </c>
    </row>
    <row r="1241" spans="1:21" ht="17.399999999999999" x14ac:dyDescent="0.3">
      <c r="A1241" s="21" t="s">
        <v>1070</v>
      </c>
      <c r="B1241" s="22" t="s">
        <v>3864</v>
      </c>
      <c r="C1241" s="23" t="s">
        <v>3519</v>
      </c>
      <c r="D1241" s="22" t="s">
        <v>3545</v>
      </c>
      <c r="E1241" s="24">
        <v>45158</v>
      </c>
      <c r="F1241" s="24">
        <v>45187</v>
      </c>
      <c r="G1241" s="22" t="s">
        <v>14</v>
      </c>
      <c r="H1241" s="25">
        <v>62476</v>
      </c>
      <c r="I1241" s="25">
        <v>1041</v>
      </c>
      <c r="J1241" s="26">
        <v>1487.6</v>
      </c>
      <c r="K1241" s="25">
        <v>202</v>
      </c>
      <c r="L1241" s="21" t="s">
        <v>17</v>
      </c>
      <c r="M1241" s="22" t="s">
        <v>3537</v>
      </c>
      <c r="N1241" s="27">
        <f t="shared" si="152"/>
        <v>29</v>
      </c>
      <c r="O1241" s="28">
        <f t="shared" si="153"/>
        <v>1.6662398360970613E-2</v>
      </c>
      <c r="P1241" s="28">
        <f t="shared" si="154"/>
        <v>0.19404418828049952</v>
      </c>
      <c r="Q1241" s="26">
        <f t="shared" si="155"/>
        <v>1.429010566762728</v>
      </c>
      <c r="R1241" s="29">
        <f t="shared" si="156"/>
        <v>7.3643564356435638</v>
      </c>
      <c r="S1241" s="30">
        <f t="shared" si="157"/>
        <v>8</v>
      </c>
      <c r="T1241" s="30">
        <f t="shared" si="158"/>
        <v>2023</v>
      </c>
      <c r="U1241" s="29" t="str">
        <f t="shared" si="159"/>
        <v>August</v>
      </c>
    </row>
    <row r="1242" spans="1:21" ht="17.399999999999999" x14ac:dyDescent="0.3">
      <c r="A1242" s="21" t="s">
        <v>745</v>
      </c>
      <c r="B1242" s="22" t="s">
        <v>3865</v>
      </c>
      <c r="C1242" s="23" t="s">
        <v>3518</v>
      </c>
      <c r="D1242" s="22" t="s">
        <v>3545</v>
      </c>
      <c r="E1242" s="24">
        <v>45158</v>
      </c>
      <c r="F1242" s="24">
        <v>45179</v>
      </c>
      <c r="G1242" s="22" t="s">
        <v>11</v>
      </c>
      <c r="H1242" s="25">
        <v>56766</v>
      </c>
      <c r="I1242" s="25">
        <v>1446</v>
      </c>
      <c r="J1242" s="26">
        <v>971.99</v>
      </c>
      <c r="K1242" s="25">
        <v>102</v>
      </c>
      <c r="L1242" s="21" t="s">
        <v>17</v>
      </c>
      <c r="M1242" s="22" t="s">
        <v>11</v>
      </c>
      <c r="N1242" s="27">
        <f t="shared" si="152"/>
        <v>21</v>
      </c>
      <c r="O1242" s="28">
        <f t="shared" si="153"/>
        <v>2.5472994398055174E-2</v>
      </c>
      <c r="P1242" s="28">
        <f t="shared" si="154"/>
        <v>7.0539419087136929E-2</v>
      </c>
      <c r="Q1242" s="26">
        <f t="shared" si="155"/>
        <v>0.67219225449515907</v>
      </c>
      <c r="R1242" s="29">
        <f t="shared" si="156"/>
        <v>9.5293137254901961</v>
      </c>
      <c r="S1242" s="30">
        <f t="shared" si="157"/>
        <v>8</v>
      </c>
      <c r="T1242" s="30">
        <f t="shared" si="158"/>
        <v>2023</v>
      </c>
      <c r="U1242" s="29" t="str">
        <f t="shared" si="159"/>
        <v>August</v>
      </c>
    </row>
    <row r="1243" spans="1:21" ht="17.399999999999999" x14ac:dyDescent="0.3">
      <c r="A1243" s="21" t="s">
        <v>3269</v>
      </c>
      <c r="B1243" s="22" t="s">
        <v>3866</v>
      </c>
      <c r="C1243" s="23" t="s">
        <v>3518</v>
      </c>
      <c r="D1243" s="22" t="s">
        <v>3545</v>
      </c>
      <c r="E1243" s="24">
        <v>45158</v>
      </c>
      <c r="F1243" s="24">
        <v>45171</v>
      </c>
      <c r="G1243" s="22" t="s">
        <v>31</v>
      </c>
      <c r="H1243" s="25">
        <v>40341</v>
      </c>
      <c r="I1243" s="25">
        <v>1672</v>
      </c>
      <c r="J1243" s="26">
        <v>3152.55</v>
      </c>
      <c r="K1243" s="25">
        <v>273</v>
      </c>
      <c r="L1243" s="21" t="s">
        <v>21</v>
      </c>
      <c r="M1243" s="22" t="s">
        <v>31</v>
      </c>
      <c r="N1243" s="27">
        <f t="shared" si="152"/>
        <v>13</v>
      </c>
      <c r="O1243" s="28">
        <f t="shared" si="153"/>
        <v>4.14466671624402E-2</v>
      </c>
      <c r="P1243" s="28">
        <f t="shared" si="154"/>
        <v>0.16327751196172249</v>
      </c>
      <c r="Q1243" s="26">
        <f t="shared" si="155"/>
        <v>1.8854964114832538</v>
      </c>
      <c r="R1243" s="29">
        <f t="shared" si="156"/>
        <v>11.547802197802199</v>
      </c>
      <c r="S1243" s="30">
        <f t="shared" si="157"/>
        <v>8</v>
      </c>
      <c r="T1243" s="30">
        <f t="shared" si="158"/>
        <v>2023</v>
      </c>
      <c r="U1243" s="29" t="str">
        <f t="shared" si="159"/>
        <v>August</v>
      </c>
    </row>
    <row r="1244" spans="1:21" ht="17.399999999999999" x14ac:dyDescent="0.3">
      <c r="A1244" s="21" t="s">
        <v>49</v>
      </c>
      <c r="B1244" s="21" t="s">
        <v>50</v>
      </c>
      <c r="C1244" s="23" t="s">
        <v>3519</v>
      </c>
      <c r="D1244" s="21" t="s">
        <v>3521</v>
      </c>
      <c r="E1244" s="24">
        <v>45159</v>
      </c>
      <c r="F1244" s="24">
        <v>45168</v>
      </c>
      <c r="G1244" s="22" t="s">
        <v>3535</v>
      </c>
      <c r="H1244" s="25">
        <v>6311</v>
      </c>
      <c r="I1244" s="25">
        <v>256</v>
      </c>
      <c r="J1244" s="26">
        <v>353.99</v>
      </c>
      <c r="K1244" s="25">
        <v>0</v>
      </c>
      <c r="L1244" s="21" t="s">
        <v>21</v>
      </c>
      <c r="M1244" s="22" t="s">
        <v>3535</v>
      </c>
      <c r="N1244" s="27">
        <f t="shared" si="152"/>
        <v>9</v>
      </c>
      <c r="O1244" s="28">
        <f t="shared" si="153"/>
        <v>4.0564094438282364E-2</v>
      </c>
      <c r="P1244" s="28">
        <f t="shared" si="154"/>
        <v>0</v>
      </c>
      <c r="Q1244" s="26">
        <f t="shared" si="155"/>
        <v>1.3827734375</v>
      </c>
      <c r="R1244" s="29" t="str">
        <f t="shared" si="156"/>
        <v>0</v>
      </c>
      <c r="S1244" s="30">
        <f t="shared" si="157"/>
        <v>8</v>
      </c>
      <c r="T1244" s="30">
        <f t="shared" si="158"/>
        <v>2023</v>
      </c>
      <c r="U1244" s="29" t="str">
        <f t="shared" si="159"/>
        <v>August</v>
      </c>
    </row>
    <row r="1245" spans="1:21" ht="17.399999999999999" x14ac:dyDescent="0.3">
      <c r="A1245" s="21" t="s">
        <v>746</v>
      </c>
      <c r="B1245" s="21" t="s">
        <v>747</v>
      </c>
      <c r="C1245" s="23" t="s">
        <v>3519</v>
      </c>
      <c r="D1245" s="21" t="s">
        <v>3521</v>
      </c>
      <c r="E1245" s="24">
        <v>45159</v>
      </c>
      <c r="F1245" s="24">
        <v>45169</v>
      </c>
      <c r="G1245" s="22" t="s">
        <v>31</v>
      </c>
      <c r="H1245" s="25">
        <v>14403</v>
      </c>
      <c r="I1245" s="25">
        <v>699</v>
      </c>
      <c r="J1245" s="26">
        <v>1336.7</v>
      </c>
      <c r="K1245" s="25">
        <v>79</v>
      </c>
      <c r="L1245" s="21" t="s">
        <v>21</v>
      </c>
      <c r="M1245" s="22" t="s">
        <v>31</v>
      </c>
      <c r="N1245" s="27">
        <f t="shared" si="152"/>
        <v>10</v>
      </c>
      <c r="O1245" s="28">
        <f t="shared" si="153"/>
        <v>4.8531555925848784E-2</v>
      </c>
      <c r="P1245" s="28">
        <f t="shared" si="154"/>
        <v>0.11301859799713877</v>
      </c>
      <c r="Q1245" s="26">
        <f t="shared" si="155"/>
        <v>1.9123032904148785</v>
      </c>
      <c r="R1245" s="29">
        <f t="shared" si="156"/>
        <v>16.920253164556964</v>
      </c>
      <c r="S1245" s="30">
        <f t="shared" si="157"/>
        <v>8</v>
      </c>
      <c r="T1245" s="30">
        <f t="shared" si="158"/>
        <v>2023</v>
      </c>
      <c r="U1245" s="29" t="str">
        <f t="shared" si="159"/>
        <v>August</v>
      </c>
    </row>
    <row r="1246" spans="1:21" ht="17.399999999999999" x14ac:dyDescent="0.3">
      <c r="A1246" s="21" t="s">
        <v>2778</v>
      </c>
      <c r="B1246" s="21" t="s">
        <v>2779</v>
      </c>
      <c r="C1246" s="23" t="s">
        <v>3519</v>
      </c>
      <c r="D1246" s="21" t="s">
        <v>3517</v>
      </c>
      <c r="E1246" s="24">
        <v>45159</v>
      </c>
      <c r="F1246" s="24">
        <v>45168</v>
      </c>
      <c r="G1246" s="22" t="s">
        <v>14</v>
      </c>
      <c r="H1246" s="25">
        <v>96505</v>
      </c>
      <c r="I1246" s="25">
        <v>1739</v>
      </c>
      <c r="J1246" s="26">
        <v>2386.5100000000002</v>
      </c>
      <c r="K1246" s="25">
        <v>158</v>
      </c>
      <c r="L1246" s="21" t="s">
        <v>17</v>
      </c>
      <c r="M1246" s="22" t="s">
        <v>3537</v>
      </c>
      <c r="N1246" s="27">
        <f t="shared" si="152"/>
        <v>9</v>
      </c>
      <c r="O1246" s="28">
        <f t="shared" si="153"/>
        <v>1.8019791720636235E-2</v>
      </c>
      <c r="P1246" s="28">
        <f t="shared" si="154"/>
        <v>9.0856814261069577E-2</v>
      </c>
      <c r="Q1246" s="26">
        <f t="shared" si="155"/>
        <v>1.3723461759631974</v>
      </c>
      <c r="R1246" s="29">
        <f t="shared" si="156"/>
        <v>15.104493670886077</v>
      </c>
      <c r="S1246" s="30">
        <f t="shared" si="157"/>
        <v>8</v>
      </c>
      <c r="T1246" s="30">
        <f t="shared" si="158"/>
        <v>2023</v>
      </c>
      <c r="U1246" s="29" t="str">
        <f t="shared" si="159"/>
        <v>August</v>
      </c>
    </row>
    <row r="1247" spans="1:21" ht="17.399999999999999" x14ac:dyDescent="0.3">
      <c r="A1247" s="21" t="s">
        <v>88</v>
      </c>
      <c r="B1247" s="21" t="s">
        <v>89</v>
      </c>
      <c r="C1247" s="23" t="s">
        <v>3518</v>
      </c>
      <c r="D1247" s="21" t="s">
        <v>3521</v>
      </c>
      <c r="E1247" s="24">
        <v>45159</v>
      </c>
      <c r="F1247" s="24">
        <v>45167</v>
      </c>
      <c r="G1247" s="22" t="s">
        <v>24</v>
      </c>
      <c r="H1247" s="25">
        <v>97276</v>
      </c>
      <c r="I1247" s="25">
        <v>2967</v>
      </c>
      <c r="J1247" s="26">
        <v>4397.28</v>
      </c>
      <c r="K1247" s="25">
        <v>546</v>
      </c>
      <c r="L1247" s="21" t="s">
        <v>21</v>
      </c>
      <c r="M1247" s="22" t="s">
        <v>3536</v>
      </c>
      <c r="N1247" s="27">
        <f t="shared" si="152"/>
        <v>8</v>
      </c>
      <c r="O1247" s="28">
        <f t="shared" si="153"/>
        <v>3.0500842962292857E-2</v>
      </c>
      <c r="P1247" s="28">
        <f t="shared" si="154"/>
        <v>0.18402426693629928</v>
      </c>
      <c r="Q1247" s="26">
        <f t="shared" si="155"/>
        <v>1.4820626895854399</v>
      </c>
      <c r="R1247" s="29">
        <f t="shared" si="156"/>
        <v>8.0536263736263738</v>
      </c>
      <c r="S1247" s="30">
        <f t="shared" si="157"/>
        <v>8</v>
      </c>
      <c r="T1247" s="30">
        <f t="shared" si="158"/>
        <v>2023</v>
      </c>
      <c r="U1247" s="29" t="str">
        <f t="shared" si="159"/>
        <v>August</v>
      </c>
    </row>
    <row r="1248" spans="1:21" ht="17.399999999999999" x14ac:dyDescent="0.3">
      <c r="A1248" s="21" t="s">
        <v>512</v>
      </c>
      <c r="B1248" s="21" t="s">
        <v>513</v>
      </c>
      <c r="C1248" s="23" t="s">
        <v>3518</v>
      </c>
      <c r="D1248" s="21" t="s">
        <v>3517</v>
      </c>
      <c r="E1248" s="24">
        <v>45159</v>
      </c>
      <c r="F1248" s="24">
        <v>45189</v>
      </c>
      <c r="G1248" s="22" t="s">
        <v>3535</v>
      </c>
      <c r="H1248" s="25">
        <v>62434</v>
      </c>
      <c r="I1248" s="25">
        <v>2322</v>
      </c>
      <c r="J1248" s="26">
        <v>3897.39</v>
      </c>
      <c r="K1248" s="25">
        <v>372</v>
      </c>
      <c r="L1248" s="21" t="s">
        <v>21</v>
      </c>
      <c r="M1248" s="22" t="s">
        <v>3535</v>
      </c>
      <c r="N1248" s="27">
        <f t="shared" si="152"/>
        <v>30</v>
      </c>
      <c r="O1248" s="28">
        <f t="shared" si="153"/>
        <v>3.719127398532851E-2</v>
      </c>
      <c r="P1248" s="28">
        <f t="shared" si="154"/>
        <v>0.16020671834625322</v>
      </c>
      <c r="Q1248" s="26">
        <f t="shared" si="155"/>
        <v>1.6784625322997415</v>
      </c>
      <c r="R1248" s="29">
        <f t="shared" si="156"/>
        <v>10.476854838709677</v>
      </c>
      <c r="S1248" s="30">
        <f t="shared" si="157"/>
        <v>8</v>
      </c>
      <c r="T1248" s="30">
        <f t="shared" si="158"/>
        <v>2023</v>
      </c>
      <c r="U1248" s="29" t="str">
        <f t="shared" si="159"/>
        <v>August</v>
      </c>
    </row>
    <row r="1249" spans="1:21" ht="17.399999999999999" x14ac:dyDescent="0.3">
      <c r="A1249" s="21" t="s">
        <v>697</v>
      </c>
      <c r="B1249" s="21" t="s">
        <v>698</v>
      </c>
      <c r="C1249" s="23" t="s">
        <v>3518</v>
      </c>
      <c r="D1249" s="21" t="s">
        <v>3521</v>
      </c>
      <c r="E1249" s="24">
        <v>45159</v>
      </c>
      <c r="F1249" s="24">
        <v>45165</v>
      </c>
      <c r="G1249" s="22" t="s">
        <v>14</v>
      </c>
      <c r="H1249" s="25">
        <v>12093</v>
      </c>
      <c r="I1249" s="25">
        <v>213</v>
      </c>
      <c r="J1249" s="26">
        <v>217.33</v>
      </c>
      <c r="K1249" s="25">
        <v>0</v>
      </c>
      <c r="L1249" s="21" t="s">
        <v>21</v>
      </c>
      <c r="M1249" s="22" t="s">
        <v>3537</v>
      </c>
      <c r="N1249" s="27">
        <f t="shared" si="152"/>
        <v>6</v>
      </c>
      <c r="O1249" s="28">
        <f t="shared" si="153"/>
        <v>1.7613495410568097E-2</v>
      </c>
      <c r="P1249" s="28">
        <f t="shared" si="154"/>
        <v>0</v>
      </c>
      <c r="Q1249" s="26">
        <f t="shared" si="155"/>
        <v>1.0203286384976527</v>
      </c>
      <c r="R1249" s="29" t="str">
        <f t="shared" si="156"/>
        <v>0</v>
      </c>
      <c r="S1249" s="30">
        <f t="shared" si="157"/>
        <v>8</v>
      </c>
      <c r="T1249" s="30">
        <f t="shared" si="158"/>
        <v>2023</v>
      </c>
      <c r="U1249" s="29" t="str">
        <f t="shared" si="159"/>
        <v>August</v>
      </c>
    </row>
    <row r="1250" spans="1:21" ht="17.399999999999999" x14ac:dyDescent="0.3">
      <c r="A1250" s="21" t="s">
        <v>2695</v>
      </c>
      <c r="B1250" s="21" t="s">
        <v>2696</v>
      </c>
      <c r="C1250" s="23" t="s">
        <v>3516</v>
      </c>
      <c r="D1250" s="21" t="s">
        <v>3517</v>
      </c>
      <c r="E1250" s="24">
        <v>45159</v>
      </c>
      <c r="F1250" s="24">
        <v>45174</v>
      </c>
      <c r="G1250" s="22" t="s">
        <v>31</v>
      </c>
      <c r="H1250" s="25">
        <v>25070</v>
      </c>
      <c r="I1250" s="25">
        <v>1092</v>
      </c>
      <c r="J1250" s="26">
        <v>1583.29</v>
      </c>
      <c r="K1250" s="25">
        <v>137</v>
      </c>
      <c r="L1250" s="21" t="s">
        <v>21</v>
      </c>
      <c r="M1250" s="22" t="s">
        <v>31</v>
      </c>
      <c r="N1250" s="27">
        <f t="shared" si="152"/>
        <v>15</v>
      </c>
      <c r="O1250" s="28">
        <f t="shared" si="153"/>
        <v>4.3558037495013961E-2</v>
      </c>
      <c r="P1250" s="28">
        <f t="shared" si="154"/>
        <v>0.12545787545787546</v>
      </c>
      <c r="Q1250" s="26">
        <f t="shared" si="155"/>
        <v>1.4498992673992674</v>
      </c>
      <c r="R1250" s="29">
        <f t="shared" si="156"/>
        <v>11.556861313868612</v>
      </c>
      <c r="S1250" s="30">
        <f t="shared" si="157"/>
        <v>8</v>
      </c>
      <c r="T1250" s="30">
        <f t="shared" si="158"/>
        <v>2023</v>
      </c>
      <c r="U1250" s="29" t="str">
        <f t="shared" si="159"/>
        <v>August</v>
      </c>
    </row>
    <row r="1251" spans="1:21" ht="17.399999999999999" x14ac:dyDescent="0.3">
      <c r="A1251" s="21" t="s">
        <v>403</v>
      </c>
      <c r="B1251" s="22" t="s">
        <v>3867</v>
      </c>
      <c r="C1251" s="23" t="s">
        <v>3519</v>
      </c>
      <c r="D1251" s="22" t="s">
        <v>3545</v>
      </c>
      <c r="E1251" s="24">
        <v>45159</v>
      </c>
      <c r="F1251" s="24">
        <v>45164</v>
      </c>
      <c r="G1251" s="22" t="s">
        <v>11</v>
      </c>
      <c r="H1251" s="25">
        <v>47717</v>
      </c>
      <c r="I1251" s="25">
        <v>691</v>
      </c>
      <c r="J1251" s="26">
        <v>985.25</v>
      </c>
      <c r="K1251" s="25">
        <v>127</v>
      </c>
      <c r="L1251" s="21" t="s">
        <v>21</v>
      </c>
      <c r="M1251" s="22" t="s">
        <v>11</v>
      </c>
      <c r="N1251" s="27">
        <f t="shared" si="152"/>
        <v>5</v>
      </c>
      <c r="O1251" s="28">
        <f t="shared" si="153"/>
        <v>1.4481212146614414E-2</v>
      </c>
      <c r="P1251" s="28">
        <f t="shared" si="154"/>
        <v>0.18379160636758321</v>
      </c>
      <c r="Q1251" s="26">
        <f t="shared" si="155"/>
        <v>1.4258321273516643</v>
      </c>
      <c r="R1251" s="29">
        <f t="shared" si="156"/>
        <v>7.7578740157480315</v>
      </c>
      <c r="S1251" s="30">
        <f t="shared" si="157"/>
        <v>8</v>
      </c>
      <c r="T1251" s="30">
        <f t="shared" si="158"/>
        <v>2023</v>
      </c>
      <c r="U1251" s="29" t="str">
        <f t="shared" si="159"/>
        <v>August</v>
      </c>
    </row>
    <row r="1252" spans="1:21" ht="17.399999999999999" x14ac:dyDescent="0.3">
      <c r="A1252" s="21" t="s">
        <v>294</v>
      </c>
      <c r="B1252" s="22" t="s">
        <v>3868</v>
      </c>
      <c r="C1252" s="23" t="s">
        <v>3519</v>
      </c>
      <c r="D1252" s="22" t="s">
        <v>3545</v>
      </c>
      <c r="E1252" s="24">
        <v>45160</v>
      </c>
      <c r="F1252" s="24">
        <v>45172</v>
      </c>
      <c r="G1252" s="22" t="s">
        <v>3535</v>
      </c>
      <c r="H1252" s="25">
        <v>44585</v>
      </c>
      <c r="I1252" s="25">
        <v>1424</v>
      </c>
      <c r="J1252" s="26">
        <v>854.1</v>
      </c>
      <c r="K1252" s="25">
        <v>184</v>
      </c>
      <c r="L1252" s="21" t="s">
        <v>17</v>
      </c>
      <c r="M1252" s="22" t="s">
        <v>3535</v>
      </c>
      <c r="N1252" s="27">
        <f t="shared" si="152"/>
        <v>12</v>
      </c>
      <c r="O1252" s="28">
        <f t="shared" si="153"/>
        <v>3.1938992934843556E-2</v>
      </c>
      <c r="P1252" s="28">
        <f t="shared" si="154"/>
        <v>0.12921348314606743</v>
      </c>
      <c r="Q1252" s="26">
        <f t="shared" si="155"/>
        <v>0.59978932584269662</v>
      </c>
      <c r="R1252" s="29">
        <f t="shared" si="156"/>
        <v>4.6418478260869565</v>
      </c>
      <c r="S1252" s="30">
        <f t="shared" si="157"/>
        <v>8</v>
      </c>
      <c r="T1252" s="30">
        <f t="shared" si="158"/>
        <v>2023</v>
      </c>
      <c r="U1252" s="29" t="str">
        <f t="shared" si="159"/>
        <v>August</v>
      </c>
    </row>
    <row r="1253" spans="1:21" ht="17.399999999999999" x14ac:dyDescent="0.3">
      <c r="A1253" s="21" t="s">
        <v>572</v>
      </c>
      <c r="B1253" s="21" t="s">
        <v>573</v>
      </c>
      <c r="C1253" s="23" t="s">
        <v>3519</v>
      </c>
      <c r="D1253" s="21" t="s">
        <v>3517</v>
      </c>
      <c r="E1253" s="24">
        <v>45160</v>
      </c>
      <c r="F1253" s="24">
        <v>45187</v>
      </c>
      <c r="G1253" s="22" t="s">
        <v>24</v>
      </c>
      <c r="H1253" s="25">
        <v>24328</v>
      </c>
      <c r="I1253" s="25">
        <v>1010</v>
      </c>
      <c r="J1253" s="26">
        <v>1569.27</v>
      </c>
      <c r="K1253" s="25">
        <v>201</v>
      </c>
      <c r="L1253" s="21" t="s">
        <v>21</v>
      </c>
      <c r="M1253" s="22" t="s">
        <v>3536</v>
      </c>
      <c r="N1253" s="27">
        <f t="shared" si="152"/>
        <v>27</v>
      </c>
      <c r="O1253" s="28">
        <f t="shared" si="153"/>
        <v>4.1515948701085166E-2</v>
      </c>
      <c r="P1253" s="28">
        <f t="shared" si="154"/>
        <v>0.19900990099009902</v>
      </c>
      <c r="Q1253" s="26">
        <f t="shared" si="155"/>
        <v>1.5537326732673267</v>
      </c>
      <c r="R1253" s="29">
        <f t="shared" si="156"/>
        <v>7.8073134328358211</v>
      </c>
      <c r="S1253" s="30">
        <f t="shared" si="157"/>
        <v>8</v>
      </c>
      <c r="T1253" s="30">
        <f t="shared" si="158"/>
        <v>2023</v>
      </c>
      <c r="U1253" s="29" t="str">
        <f t="shared" si="159"/>
        <v>August</v>
      </c>
    </row>
    <row r="1254" spans="1:21" ht="17.399999999999999" x14ac:dyDescent="0.3">
      <c r="A1254" s="21" t="s">
        <v>1741</v>
      </c>
      <c r="B1254" s="21" t="s">
        <v>1742</v>
      </c>
      <c r="C1254" s="23" t="s">
        <v>3519</v>
      </c>
      <c r="D1254" s="21" t="s">
        <v>3517</v>
      </c>
      <c r="E1254" s="24">
        <v>45160</v>
      </c>
      <c r="F1254" s="24">
        <v>45172</v>
      </c>
      <c r="G1254" s="22" t="s">
        <v>16</v>
      </c>
      <c r="H1254" s="25">
        <v>7371</v>
      </c>
      <c r="I1254" s="25">
        <v>314</v>
      </c>
      <c r="J1254" s="26">
        <v>588.34</v>
      </c>
      <c r="K1254" s="25">
        <v>32</v>
      </c>
      <c r="L1254" s="21" t="s">
        <v>21</v>
      </c>
      <c r="M1254" s="22" t="s">
        <v>16</v>
      </c>
      <c r="N1254" s="27">
        <f t="shared" si="152"/>
        <v>12</v>
      </c>
      <c r="O1254" s="28">
        <f t="shared" si="153"/>
        <v>4.2599375932709266E-2</v>
      </c>
      <c r="P1254" s="28">
        <f t="shared" si="154"/>
        <v>0.10191082802547771</v>
      </c>
      <c r="Q1254" s="26">
        <f t="shared" si="155"/>
        <v>1.8736942675159236</v>
      </c>
      <c r="R1254" s="29">
        <f t="shared" si="156"/>
        <v>18.385625000000001</v>
      </c>
      <c r="S1254" s="30">
        <f t="shared" si="157"/>
        <v>8</v>
      </c>
      <c r="T1254" s="30">
        <f t="shared" si="158"/>
        <v>2023</v>
      </c>
      <c r="U1254" s="29" t="str">
        <f t="shared" si="159"/>
        <v>August</v>
      </c>
    </row>
    <row r="1255" spans="1:21" ht="17.399999999999999" x14ac:dyDescent="0.3">
      <c r="A1255" s="21" t="s">
        <v>2926</v>
      </c>
      <c r="B1255" s="21" t="s">
        <v>2927</v>
      </c>
      <c r="C1255" s="23" t="s">
        <v>3516</v>
      </c>
      <c r="D1255" s="21" t="s">
        <v>3517</v>
      </c>
      <c r="E1255" s="24">
        <v>45160</v>
      </c>
      <c r="F1255" s="24">
        <v>45172</v>
      </c>
      <c r="G1255" s="22" t="s">
        <v>24</v>
      </c>
      <c r="H1255" s="25">
        <v>8657</v>
      </c>
      <c r="I1255" s="25">
        <v>127</v>
      </c>
      <c r="J1255" s="26">
        <v>226.48</v>
      </c>
      <c r="K1255" s="25">
        <v>22</v>
      </c>
      <c r="L1255" s="21" t="s">
        <v>21</v>
      </c>
      <c r="M1255" s="22" t="s">
        <v>3536</v>
      </c>
      <c r="N1255" s="27">
        <f t="shared" si="152"/>
        <v>12</v>
      </c>
      <c r="O1255" s="28">
        <f t="shared" si="153"/>
        <v>1.4670209079357744E-2</v>
      </c>
      <c r="P1255" s="28">
        <f t="shared" si="154"/>
        <v>0.17322834645669291</v>
      </c>
      <c r="Q1255" s="26">
        <f t="shared" si="155"/>
        <v>1.7833070866141731</v>
      </c>
      <c r="R1255" s="29">
        <f t="shared" si="156"/>
        <v>10.294545454545455</v>
      </c>
      <c r="S1255" s="30">
        <f t="shared" si="157"/>
        <v>8</v>
      </c>
      <c r="T1255" s="30">
        <f t="shared" si="158"/>
        <v>2023</v>
      </c>
      <c r="U1255" s="29" t="str">
        <f t="shared" si="159"/>
        <v>August</v>
      </c>
    </row>
    <row r="1256" spans="1:21" ht="17.399999999999999" x14ac:dyDescent="0.3">
      <c r="A1256" s="21" t="s">
        <v>2340</v>
      </c>
      <c r="B1256" s="22" t="s">
        <v>3869</v>
      </c>
      <c r="C1256" s="23" t="s">
        <v>3515</v>
      </c>
      <c r="D1256" s="22" t="s">
        <v>3545</v>
      </c>
      <c r="E1256" s="24">
        <v>45160</v>
      </c>
      <c r="F1256" s="24">
        <v>45169</v>
      </c>
      <c r="G1256" s="22" t="s">
        <v>16</v>
      </c>
      <c r="H1256" s="25">
        <v>73258</v>
      </c>
      <c r="I1256" s="25">
        <v>2991</v>
      </c>
      <c r="J1256" s="26">
        <v>5800.17</v>
      </c>
      <c r="K1256" s="25">
        <v>346</v>
      </c>
      <c r="L1256" s="21" t="s">
        <v>21</v>
      </c>
      <c r="M1256" s="22" t="s">
        <v>16</v>
      </c>
      <c r="N1256" s="27">
        <f t="shared" si="152"/>
        <v>9</v>
      </c>
      <c r="O1256" s="28">
        <f t="shared" si="153"/>
        <v>4.0828305441043981E-2</v>
      </c>
      <c r="P1256" s="28">
        <f t="shared" si="154"/>
        <v>0.11568037445670344</v>
      </c>
      <c r="Q1256" s="26">
        <f t="shared" si="155"/>
        <v>1.9392076228686059</v>
      </c>
      <c r="R1256" s="29">
        <f t="shared" si="156"/>
        <v>16.763497109826591</v>
      </c>
      <c r="S1256" s="30">
        <f t="shared" si="157"/>
        <v>8</v>
      </c>
      <c r="T1256" s="30">
        <f t="shared" si="158"/>
        <v>2023</v>
      </c>
      <c r="U1256" s="29" t="str">
        <f t="shared" si="159"/>
        <v>August</v>
      </c>
    </row>
    <row r="1257" spans="1:21" ht="17.399999999999999" x14ac:dyDescent="0.3">
      <c r="A1257" s="21" t="s">
        <v>2960</v>
      </c>
      <c r="B1257" s="21" t="s">
        <v>2961</v>
      </c>
      <c r="C1257" s="23" t="s">
        <v>3515</v>
      </c>
      <c r="D1257" s="21" t="s">
        <v>3517</v>
      </c>
      <c r="E1257" s="24">
        <v>45160</v>
      </c>
      <c r="F1257" s="24">
        <v>45161</v>
      </c>
      <c r="G1257" s="22" t="s">
        <v>14</v>
      </c>
      <c r="H1257" s="25">
        <v>98820</v>
      </c>
      <c r="I1257" s="25">
        <v>1727</v>
      </c>
      <c r="J1257" s="26">
        <v>3007.59</v>
      </c>
      <c r="K1257" s="25">
        <v>150</v>
      </c>
      <c r="L1257" s="21" t="s">
        <v>17</v>
      </c>
      <c r="M1257" s="22" t="s">
        <v>3537</v>
      </c>
      <c r="N1257" s="27">
        <f t="shared" si="152"/>
        <v>1</v>
      </c>
      <c r="O1257" s="28">
        <f t="shared" si="153"/>
        <v>1.7476219388787694E-2</v>
      </c>
      <c r="P1257" s="28">
        <f t="shared" si="154"/>
        <v>8.6855819339895779E-2</v>
      </c>
      <c r="Q1257" s="26">
        <f t="shared" si="155"/>
        <v>1.7415112912565143</v>
      </c>
      <c r="R1257" s="29">
        <f t="shared" si="156"/>
        <v>20.050599999999999</v>
      </c>
      <c r="S1257" s="30">
        <f t="shared" si="157"/>
        <v>8</v>
      </c>
      <c r="T1257" s="30">
        <f t="shared" si="158"/>
        <v>2023</v>
      </c>
      <c r="U1257" s="29" t="str">
        <f t="shared" si="159"/>
        <v>August</v>
      </c>
    </row>
    <row r="1258" spans="1:21" ht="17.399999999999999" x14ac:dyDescent="0.3">
      <c r="A1258" s="21" t="s">
        <v>1006</v>
      </c>
      <c r="B1258" s="21" t="s">
        <v>1007</v>
      </c>
      <c r="C1258" s="23" t="s">
        <v>3519</v>
      </c>
      <c r="D1258" s="21" t="s">
        <v>3520</v>
      </c>
      <c r="E1258" s="24">
        <v>45161</v>
      </c>
      <c r="F1258" s="24">
        <v>45176</v>
      </c>
      <c r="G1258" s="22" t="s">
        <v>24</v>
      </c>
      <c r="H1258" s="25">
        <v>26351</v>
      </c>
      <c r="I1258" s="25">
        <v>1119</v>
      </c>
      <c r="J1258" s="26">
        <v>1196.69</v>
      </c>
      <c r="K1258" s="25">
        <v>0</v>
      </c>
      <c r="L1258" s="21" t="s">
        <v>21</v>
      </c>
      <c r="M1258" s="22" t="s">
        <v>3536</v>
      </c>
      <c r="N1258" s="27">
        <f t="shared" si="152"/>
        <v>15</v>
      </c>
      <c r="O1258" s="28">
        <f t="shared" si="153"/>
        <v>4.2465181587036542E-2</v>
      </c>
      <c r="P1258" s="28">
        <f t="shared" si="154"/>
        <v>0</v>
      </c>
      <c r="Q1258" s="26">
        <f t="shared" si="155"/>
        <v>1.0694280607685434</v>
      </c>
      <c r="R1258" s="29" t="str">
        <f t="shared" si="156"/>
        <v>0</v>
      </c>
      <c r="S1258" s="30">
        <f t="shared" si="157"/>
        <v>8</v>
      </c>
      <c r="T1258" s="30">
        <f t="shared" si="158"/>
        <v>2023</v>
      </c>
      <c r="U1258" s="29" t="str">
        <f t="shared" si="159"/>
        <v>August</v>
      </c>
    </row>
    <row r="1259" spans="1:21" ht="17.399999999999999" x14ac:dyDescent="0.3">
      <c r="A1259" s="21" t="s">
        <v>1282</v>
      </c>
      <c r="B1259" s="22" t="s">
        <v>3870</v>
      </c>
      <c r="C1259" s="23" t="s">
        <v>3519</v>
      </c>
      <c r="D1259" s="22" t="s">
        <v>3545</v>
      </c>
      <c r="E1259" s="24">
        <v>45161</v>
      </c>
      <c r="F1259" s="24">
        <v>45188</v>
      </c>
      <c r="G1259" s="22" t="s">
        <v>3535</v>
      </c>
      <c r="H1259" s="25">
        <v>68641</v>
      </c>
      <c r="I1259" s="25">
        <v>2183</v>
      </c>
      <c r="J1259" s="26">
        <v>4317.45</v>
      </c>
      <c r="K1259" s="25">
        <v>203</v>
      </c>
      <c r="L1259" s="21" t="s">
        <v>21</v>
      </c>
      <c r="M1259" s="22" t="s">
        <v>3535</v>
      </c>
      <c r="N1259" s="27">
        <f t="shared" si="152"/>
        <v>27</v>
      </c>
      <c r="O1259" s="28">
        <f t="shared" si="153"/>
        <v>3.1803149721012225E-2</v>
      </c>
      <c r="P1259" s="28">
        <f t="shared" si="154"/>
        <v>9.2991296381126895E-2</v>
      </c>
      <c r="Q1259" s="26">
        <f t="shared" si="155"/>
        <v>1.9777599633531837</v>
      </c>
      <c r="R1259" s="29">
        <f t="shared" si="156"/>
        <v>21.268226600985219</v>
      </c>
      <c r="S1259" s="30">
        <f t="shared" si="157"/>
        <v>8</v>
      </c>
      <c r="T1259" s="30">
        <f t="shared" si="158"/>
        <v>2023</v>
      </c>
      <c r="U1259" s="29" t="str">
        <f t="shared" si="159"/>
        <v>August</v>
      </c>
    </row>
    <row r="1260" spans="1:21" ht="17.399999999999999" x14ac:dyDescent="0.3">
      <c r="A1260" s="21" t="s">
        <v>1555</v>
      </c>
      <c r="B1260" s="21" t="s">
        <v>1556</v>
      </c>
      <c r="C1260" s="23" t="s">
        <v>3519</v>
      </c>
      <c r="D1260" s="21" t="s">
        <v>3520</v>
      </c>
      <c r="E1260" s="24">
        <v>45161</v>
      </c>
      <c r="F1260" s="24">
        <v>45176</v>
      </c>
      <c r="G1260" s="22" t="s">
        <v>11</v>
      </c>
      <c r="H1260" s="25">
        <v>71173</v>
      </c>
      <c r="I1260" s="25">
        <v>2995</v>
      </c>
      <c r="J1260" s="26">
        <v>2542.19</v>
      </c>
      <c r="K1260" s="25">
        <v>150</v>
      </c>
      <c r="L1260" s="21" t="s">
        <v>21</v>
      </c>
      <c r="M1260" s="22" t="s">
        <v>11</v>
      </c>
      <c r="N1260" s="27">
        <f t="shared" si="152"/>
        <v>15</v>
      </c>
      <c r="O1260" s="28">
        <f t="shared" si="153"/>
        <v>4.2080564258918408E-2</v>
      </c>
      <c r="P1260" s="28">
        <f t="shared" si="154"/>
        <v>5.0083472454090151E-2</v>
      </c>
      <c r="Q1260" s="26">
        <f t="shared" si="155"/>
        <v>0.84881135225375626</v>
      </c>
      <c r="R1260" s="29">
        <f t="shared" si="156"/>
        <v>16.947933333333335</v>
      </c>
      <c r="S1260" s="30">
        <f t="shared" si="157"/>
        <v>8</v>
      </c>
      <c r="T1260" s="30">
        <f t="shared" si="158"/>
        <v>2023</v>
      </c>
      <c r="U1260" s="29" t="str">
        <f t="shared" si="159"/>
        <v>August</v>
      </c>
    </row>
    <row r="1261" spans="1:21" ht="17.399999999999999" x14ac:dyDescent="0.3">
      <c r="A1261" s="21" t="s">
        <v>1641</v>
      </c>
      <c r="B1261" s="21" t="s">
        <v>1642</v>
      </c>
      <c r="C1261" s="23" t="s">
        <v>3519</v>
      </c>
      <c r="D1261" s="21" t="s">
        <v>3520</v>
      </c>
      <c r="E1261" s="24">
        <v>45161</v>
      </c>
      <c r="F1261" s="24">
        <v>45177</v>
      </c>
      <c r="G1261" s="22" t="s">
        <v>3535</v>
      </c>
      <c r="H1261" s="25">
        <v>24624</v>
      </c>
      <c r="I1261" s="25">
        <v>972</v>
      </c>
      <c r="J1261" s="26">
        <v>989.92</v>
      </c>
      <c r="K1261" s="25">
        <v>129</v>
      </c>
      <c r="L1261" s="21" t="s">
        <v>17</v>
      </c>
      <c r="M1261" s="22" t="s">
        <v>3535</v>
      </c>
      <c r="N1261" s="27">
        <f t="shared" si="152"/>
        <v>16</v>
      </c>
      <c r="O1261" s="28">
        <f t="shared" si="153"/>
        <v>3.9473684210526314E-2</v>
      </c>
      <c r="P1261" s="28">
        <f t="shared" si="154"/>
        <v>0.13271604938271606</v>
      </c>
      <c r="Q1261" s="26">
        <f t="shared" si="155"/>
        <v>1.0184362139917695</v>
      </c>
      <c r="R1261" s="29">
        <f t="shared" si="156"/>
        <v>7.673798449612403</v>
      </c>
      <c r="S1261" s="30">
        <f t="shared" si="157"/>
        <v>8</v>
      </c>
      <c r="T1261" s="30">
        <f t="shared" si="158"/>
        <v>2023</v>
      </c>
      <c r="U1261" s="29" t="str">
        <f t="shared" si="159"/>
        <v>August</v>
      </c>
    </row>
    <row r="1262" spans="1:21" ht="17.399999999999999" x14ac:dyDescent="0.3">
      <c r="A1262" s="21" t="s">
        <v>3201</v>
      </c>
      <c r="B1262" s="22" t="s">
        <v>3871</v>
      </c>
      <c r="C1262" s="23" t="s">
        <v>3519</v>
      </c>
      <c r="D1262" s="22" t="s">
        <v>3545</v>
      </c>
      <c r="E1262" s="24">
        <v>45161</v>
      </c>
      <c r="F1262" s="24">
        <v>45162</v>
      </c>
      <c r="G1262" s="22" t="s">
        <v>31</v>
      </c>
      <c r="H1262" s="25">
        <v>82958</v>
      </c>
      <c r="I1262" s="25">
        <v>3728</v>
      </c>
      <c r="J1262" s="26">
        <v>6589.08</v>
      </c>
      <c r="K1262" s="25">
        <v>553</v>
      </c>
      <c r="L1262" s="21" t="s">
        <v>21</v>
      </c>
      <c r="M1262" s="22" t="s">
        <v>31</v>
      </c>
      <c r="N1262" s="27">
        <f t="shared" si="152"/>
        <v>1</v>
      </c>
      <c r="O1262" s="28">
        <f t="shared" si="153"/>
        <v>4.4938402565153454E-2</v>
      </c>
      <c r="P1262" s="28">
        <f t="shared" si="154"/>
        <v>0.14833690987124465</v>
      </c>
      <c r="Q1262" s="26">
        <f t="shared" si="155"/>
        <v>1.7674570815450643</v>
      </c>
      <c r="R1262" s="29">
        <f t="shared" si="156"/>
        <v>11.915153707052442</v>
      </c>
      <c r="S1262" s="30">
        <f t="shared" si="157"/>
        <v>8</v>
      </c>
      <c r="T1262" s="30">
        <f t="shared" si="158"/>
        <v>2023</v>
      </c>
      <c r="U1262" s="29" t="str">
        <f t="shared" si="159"/>
        <v>August</v>
      </c>
    </row>
    <row r="1263" spans="1:21" ht="17.399999999999999" x14ac:dyDescent="0.3">
      <c r="A1263" s="21" t="s">
        <v>2247</v>
      </c>
      <c r="B1263" s="21" t="s">
        <v>2248</v>
      </c>
      <c r="C1263" s="23" t="s">
        <v>3516</v>
      </c>
      <c r="D1263" s="21" t="s">
        <v>3517</v>
      </c>
      <c r="E1263" s="24">
        <v>45161</v>
      </c>
      <c r="F1263" s="24">
        <v>45178</v>
      </c>
      <c r="G1263" s="22" t="s">
        <v>24</v>
      </c>
      <c r="H1263" s="25">
        <v>76520</v>
      </c>
      <c r="I1263" s="25">
        <v>1250</v>
      </c>
      <c r="J1263" s="26">
        <v>1371.78</v>
      </c>
      <c r="K1263" s="25">
        <v>206</v>
      </c>
      <c r="L1263" s="21" t="s">
        <v>17</v>
      </c>
      <c r="M1263" s="22" t="s">
        <v>3536</v>
      </c>
      <c r="N1263" s="27">
        <f t="shared" si="152"/>
        <v>17</v>
      </c>
      <c r="O1263" s="28">
        <f t="shared" si="153"/>
        <v>1.6335598536330372E-2</v>
      </c>
      <c r="P1263" s="28">
        <f t="shared" si="154"/>
        <v>0.1648</v>
      </c>
      <c r="Q1263" s="26">
        <f t="shared" si="155"/>
        <v>1.097424</v>
      </c>
      <c r="R1263" s="29">
        <f t="shared" si="156"/>
        <v>6.6591262135922324</v>
      </c>
      <c r="S1263" s="30">
        <f t="shared" si="157"/>
        <v>8</v>
      </c>
      <c r="T1263" s="30">
        <f t="shared" si="158"/>
        <v>2023</v>
      </c>
      <c r="U1263" s="29" t="str">
        <f t="shared" si="159"/>
        <v>August</v>
      </c>
    </row>
    <row r="1264" spans="1:21" ht="17.399999999999999" x14ac:dyDescent="0.3">
      <c r="A1264" s="21" t="s">
        <v>974</v>
      </c>
      <c r="B1264" s="21" t="s">
        <v>975</v>
      </c>
      <c r="C1264" s="23" t="s">
        <v>3515</v>
      </c>
      <c r="D1264" s="21" t="s">
        <v>3520</v>
      </c>
      <c r="E1264" s="24">
        <v>45161</v>
      </c>
      <c r="F1264" s="24">
        <v>45168</v>
      </c>
      <c r="G1264" s="22" t="s">
        <v>16</v>
      </c>
      <c r="H1264" s="25">
        <v>5000</v>
      </c>
      <c r="I1264" s="25">
        <v>187</v>
      </c>
      <c r="J1264" s="26">
        <v>171.51</v>
      </c>
      <c r="K1264" s="25">
        <v>20</v>
      </c>
      <c r="L1264" s="21" t="s">
        <v>21</v>
      </c>
      <c r="M1264" s="22" t="s">
        <v>16</v>
      </c>
      <c r="N1264" s="27">
        <f t="shared" si="152"/>
        <v>7</v>
      </c>
      <c r="O1264" s="28">
        <f t="shared" si="153"/>
        <v>3.7400000000000003E-2</v>
      </c>
      <c r="P1264" s="28">
        <f t="shared" si="154"/>
        <v>0.10695187165775401</v>
      </c>
      <c r="Q1264" s="26">
        <f t="shared" si="155"/>
        <v>0.91716577540106947</v>
      </c>
      <c r="R1264" s="29">
        <f t="shared" si="156"/>
        <v>8.5754999999999999</v>
      </c>
      <c r="S1264" s="30">
        <f t="shared" si="157"/>
        <v>8</v>
      </c>
      <c r="T1264" s="30">
        <f t="shared" si="158"/>
        <v>2023</v>
      </c>
      <c r="U1264" s="29" t="str">
        <f t="shared" si="159"/>
        <v>August</v>
      </c>
    </row>
    <row r="1265" spans="1:21" ht="17.399999999999999" x14ac:dyDescent="0.3">
      <c r="A1265" s="21" t="s">
        <v>1218</v>
      </c>
      <c r="B1265" s="21" t="s">
        <v>1219</v>
      </c>
      <c r="C1265" s="23" t="s">
        <v>3519</v>
      </c>
      <c r="D1265" s="21" t="s">
        <v>3517</v>
      </c>
      <c r="E1265" s="24">
        <v>45162</v>
      </c>
      <c r="F1265" s="24">
        <v>45174</v>
      </c>
      <c r="G1265" s="22" t="s">
        <v>31</v>
      </c>
      <c r="H1265" s="25">
        <v>2324</v>
      </c>
      <c r="I1265" s="25">
        <v>101</v>
      </c>
      <c r="J1265" s="26">
        <v>112.27</v>
      </c>
      <c r="K1265" s="25">
        <v>0</v>
      </c>
      <c r="L1265" s="21" t="s">
        <v>21</v>
      </c>
      <c r="M1265" s="22" t="s">
        <v>31</v>
      </c>
      <c r="N1265" s="27">
        <f t="shared" si="152"/>
        <v>12</v>
      </c>
      <c r="O1265" s="28">
        <f t="shared" si="153"/>
        <v>4.3459552495697072E-2</v>
      </c>
      <c r="P1265" s="28">
        <f t="shared" si="154"/>
        <v>0</v>
      </c>
      <c r="Q1265" s="26">
        <f t="shared" si="155"/>
        <v>1.1115841584158415</v>
      </c>
      <c r="R1265" s="29" t="str">
        <f t="shared" si="156"/>
        <v>0</v>
      </c>
      <c r="S1265" s="30">
        <f t="shared" si="157"/>
        <v>8</v>
      </c>
      <c r="T1265" s="30">
        <f t="shared" si="158"/>
        <v>2023</v>
      </c>
      <c r="U1265" s="29" t="str">
        <f t="shared" si="159"/>
        <v>August</v>
      </c>
    </row>
    <row r="1266" spans="1:21" ht="17.399999999999999" x14ac:dyDescent="0.3">
      <c r="A1266" s="21" t="s">
        <v>3110</v>
      </c>
      <c r="B1266" s="22" t="s">
        <v>3872</v>
      </c>
      <c r="C1266" s="23" t="s">
        <v>3519</v>
      </c>
      <c r="D1266" s="22" t="s">
        <v>3545</v>
      </c>
      <c r="E1266" s="24">
        <v>45162</v>
      </c>
      <c r="F1266" s="24">
        <v>45177</v>
      </c>
      <c r="G1266" s="22" t="s">
        <v>24</v>
      </c>
      <c r="H1266" s="25">
        <v>2007</v>
      </c>
      <c r="I1266" s="25">
        <v>73</v>
      </c>
      <c r="J1266" s="26">
        <v>63.97</v>
      </c>
      <c r="K1266" s="25">
        <v>12</v>
      </c>
      <c r="L1266" s="21" t="s">
        <v>17</v>
      </c>
      <c r="M1266" s="22" t="s">
        <v>3536</v>
      </c>
      <c r="N1266" s="27">
        <f t="shared" si="152"/>
        <v>15</v>
      </c>
      <c r="O1266" s="28">
        <f t="shared" si="153"/>
        <v>3.6372695565520675E-2</v>
      </c>
      <c r="P1266" s="28">
        <f t="shared" si="154"/>
        <v>0.16438356164383561</v>
      </c>
      <c r="Q1266" s="26">
        <f t="shared" si="155"/>
        <v>0.87630136986301366</v>
      </c>
      <c r="R1266" s="29">
        <f t="shared" si="156"/>
        <v>5.3308333333333335</v>
      </c>
      <c r="S1266" s="30">
        <f t="shared" si="157"/>
        <v>8</v>
      </c>
      <c r="T1266" s="30">
        <f t="shared" si="158"/>
        <v>2023</v>
      </c>
      <c r="U1266" s="29" t="str">
        <f t="shared" si="159"/>
        <v>August</v>
      </c>
    </row>
    <row r="1267" spans="1:21" ht="17.399999999999999" x14ac:dyDescent="0.3">
      <c r="A1267" s="21" t="s">
        <v>831</v>
      </c>
      <c r="B1267" s="21" t="s">
        <v>832</v>
      </c>
      <c r="C1267" s="23" t="s">
        <v>3518</v>
      </c>
      <c r="D1267" s="21" t="s">
        <v>3521</v>
      </c>
      <c r="E1267" s="24">
        <v>45162</v>
      </c>
      <c r="F1267" s="24">
        <v>45169</v>
      </c>
      <c r="G1267" s="22" t="s">
        <v>3535</v>
      </c>
      <c r="H1267" s="25">
        <v>33217</v>
      </c>
      <c r="I1267" s="25">
        <v>930</v>
      </c>
      <c r="J1267" s="26">
        <v>593.57000000000005</v>
      </c>
      <c r="K1267" s="25">
        <v>158</v>
      </c>
      <c r="L1267" s="21" t="s">
        <v>21</v>
      </c>
      <c r="M1267" s="22" t="s">
        <v>3535</v>
      </c>
      <c r="N1267" s="27">
        <f t="shared" si="152"/>
        <v>7</v>
      </c>
      <c r="O1267" s="28">
        <f t="shared" si="153"/>
        <v>2.7997712014932112E-2</v>
      </c>
      <c r="P1267" s="28">
        <f t="shared" si="154"/>
        <v>0.16989247311827957</v>
      </c>
      <c r="Q1267" s="26">
        <f t="shared" si="155"/>
        <v>0.63824731182795702</v>
      </c>
      <c r="R1267" s="29">
        <f t="shared" si="156"/>
        <v>3.7567721518987347</v>
      </c>
      <c r="S1267" s="30">
        <f t="shared" si="157"/>
        <v>8</v>
      </c>
      <c r="T1267" s="30">
        <f t="shared" si="158"/>
        <v>2023</v>
      </c>
      <c r="U1267" s="29" t="str">
        <f t="shared" si="159"/>
        <v>August</v>
      </c>
    </row>
    <row r="1268" spans="1:21" ht="17.399999999999999" x14ac:dyDescent="0.3">
      <c r="A1268" s="21" t="s">
        <v>2793</v>
      </c>
      <c r="B1268" s="21" t="s">
        <v>2794</v>
      </c>
      <c r="C1268" s="23" t="s">
        <v>3518</v>
      </c>
      <c r="D1268" s="21" t="s">
        <v>3520</v>
      </c>
      <c r="E1268" s="24">
        <v>45162</v>
      </c>
      <c r="F1268" s="24">
        <v>45179</v>
      </c>
      <c r="G1268" s="22" t="s">
        <v>31</v>
      </c>
      <c r="H1268" s="25">
        <v>30629</v>
      </c>
      <c r="I1268" s="25">
        <v>1202</v>
      </c>
      <c r="J1268" s="26">
        <v>1144.54</v>
      </c>
      <c r="K1268" s="25">
        <v>0</v>
      </c>
      <c r="L1268" s="21" t="s">
        <v>21</v>
      </c>
      <c r="M1268" s="22" t="s">
        <v>31</v>
      </c>
      <c r="N1268" s="27">
        <f t="shared" si="152"/>
        <v>17</v>
      </c>
      <c r="O1268" s="28">
        <f t="shared" si="153"/>
        <v>3.9243853863985115E-2</v>
      </c>
      <c r="P1268" s="28">
        <f t="shared" si="154"/>
        <v>0</v>
      </c>
      <c r="Q1268" s="26">
        <f t="shared" si="155"/>
        <v>0.95219633943427617</v>
      </c>
      <c r="R1268" s="29" t="str">
        <f t="shared" si="156"/>
        <v>0</v>
      </c>
      <c r="S1268" s="30">
        <f t="shared" si="157"/>
        <v>8</v>
      </c>
      <c r="T1268" s="30">
        <f t="shared" si="158"/>
        <v>2023</v>
      </c>
      <c r="U1268" s="29" t="str">
        <f t="shared" si="159"/>
        <v>August</v>
      </c>
    </row>
    <row r="1269" spans="1:21" ht="17.399999999999999" x14ac:dyDescent="0.3">
      <c r="A1269" s="21" t="s">
        <v>1928</v>
      </c>
      <c r="B1269" s="22" t="s">
        <v>3873</v>
      </c>
      <c r="C1269" s="23" t="s">
        <v>3518</v>
      </c>
      <c r="D1269" s="22" t="s">
        <v>3545</v>
      </c>
      <c r="E1269" s="24">
        <v>45163</v>
      </c>
      <c r="F1269" s="24">
        <v>45189</v>
      </c>
      <c r="G1269" s="22" t="s">
        <v>31</v>
      </c>
      <c r="H1269" s="25">
        <v>6951</v>
      </c>
      <c r="I1269" s="25">
        <v>217</v>
      </c>
      <c r="J1269" s="26">
        <v>357.82</v>
      </c>
      <c r="K1269" s="25">
        <v>20</v>
      </c>
      <c r="L1269" s="21" t="s">
        <v>17</v>
      </c>
      <c r="M1269" s="22" t="s">
        <v>31</v>
      </c>
      <c r="N1269" s="27">
        <f t="shared" si="152"/>
        <v>26</v>
      </c>
      <c r="O1269" s="28">
        <f t="shared" si="153"/>
        <v>3.1218529707955689E-2</v>
      </c>
      <c r="P1269" s="28">
        <f t="shared" si="154"/>
        <v>9.2165898617511524E-2</v>
      </c>
      <c r="Q1269" s="26">
        <f t="shared" si="155"/>
        <v>1.6489400921658985</v>
      </c>
      <c r="R1269" s="29">
        <f t="shared" si="156"/>
        <v>17.890999999999998</v>
      </c>
      <c r="S1269" s="30">
        <f t="shared" si="157"/>
        <v>8</v>
      </c>
      <c r="T1269" s="30">
        <f t="shared" si="158"/>
        <v>2023</v>
      </c>
      <c r="U1269" s="29" t="str">
        <f t="shared" si="159"/>
        <v>August</v>
      </c>
    </row>
    <row r="1270" spans="1:21" ht="17.399999999999999" x14ac:dyDescent="0.3">
      <c r="A1270" s="21" t="s">
        <v>143</v>
      </c>
      <c r="B1270" s="21" t="s">
        <v>144</v>
      </c>
      <c r="C1270" s="23" t="s">
        <v>3516</v>
      </c>
      <c r="D1270" s="21" t="s">
        <v>3517</v>
      </c>
      <c r="E1270" s="24">
        <v>45163</v>
      </c>
      <c r="F1270" s="24">
        <v>45179</v>
      </c>
      <c r="G1270" s="22" t="s">
        <v>11</v>
      </c>
      <c r="H1270" s="25">
        <v>33606</v>
      </c>
      <c r="I1270" s="25">
        <v>1150</v>
      </c>
      <c r="J1270" s="26">
        <v>2132.84</v>
      </c>
      <c r="K1270" s="25">
        <v>152</v>
      </c>
      <c r="L1270" s="21" t="s">
        <v>21</v>
      </c>
      <c r="M1270" s="22" t="s">
        <v>11</v>
      </c>
      <c r="N1270" s="27">
        <f t="shared" si="152"/>
        <v>16</v>
      </c>
      <c r="O1270" s="28">
        <f t="shared" si="153"/>
        <v>3.4220079747664105E-2</v>
      </c>
      <c r="P1270" s="28">
        <f t="shared" si="154"/>
        <v>0.13217391304347825</v>
      </c>
      <c r="Q1270" s="26">
        <f t="shared" si="155"/>
        <v>1.8546434782608696</v>
      </c>
      <c r="R1270" s="29">
        <f t="shared" si="156"/>
        <v>14.031842105263159</v>
      </c>
      <c r="S1270" s="30">
        <f t="shared" si="157"/>
        <v>8</v>
      </c>
      <c r="T1270" s="30">
        <f t="shared" si="158"/>
        <v>2023</v>
      </c>
      <c r="U1270" s="29" t="str">
        <f t="shared" si="159"/>
        <v>August</v>
      </c>
    </row>
    <row r="1271" spans="1:21" ht="17.399999999999999" x14ac:dyDescent="0.3">
      <c r="A1271" s="21" t="s">
        <v>934</v>
      </c>
      <c r="B1271" s="21" t="s">
        <v>935</v>
      </c>
      <c r="C1271" s="23" t="s">
        <v>3516</v>
      </c>
      <c r="D1271" s="21" t="s">
        <v>3521</v>
      </c>
      <c r="E1271" s="24">
        <v>45163</v>
      </c>
      <c r="F1271" s="24">
        <v>45187</v>
      </c>
      <c r="G1271" s="22" t="s">
        <v>11</v>
      </c>
      <c r="H1271" s="25">
        <v>10823</v>
      </c>
      <c r="I1271" s="25">
        <v>400</v>
      </c>
      <c r="J1271" s="26">
        <v>399.27</v>
      </c>
      <c r="K1271" s="25">
        <v>40</v>
      </c>
      <c r="L1271" s="21" t="s">
        <v>21</v>
      </c>
      <c r="M1271" s="22" t="s">
        <v>11</v>
      </c>
      <c r="N1271" s="27">
        <f t="shared" si="152"/>
        <v>24</v>
      </c>
      <c r="O1271" s="28">
        <f t="shared" si="153"/>
        <v>3.6958329483507343E-2</v>
      </c>
      <c r="P1271" s="28">
        <f t="shared" si="154"/>
        <v>0.1</v>
      </c>
      <c r="Q1271" s="26">
        <f t="shared" si="155"/>
        <v>0.99817499999999992</v>
      </c>
      <c r="R1271" s="29">
        <f t="shared" si="156"/>
        <v>9.9817499999999999</v>
      </c>
      <c r="S1271" s="30">
        <f t="shared" si="157"/>
        <v>8</v>
      </c>
      <c r="T1271" s="30">
        <f t="shared" si="158"/>
        <v>2023</v>
      </c>
      <c r="U1271" s="29" t="str">
        <f t="shared" si="159"/>
        <v>August</v>
      </c>
    </row>
    <row r="1272" spans="1:21" ht="17.399999999999999" x14ac:dyDescent="0.3">
      <c r="A1272" s="21" t="s">
        <v>1577</v>
      </c>
      <c r="B1272" s="21" t="s">
        <v>1578</v>
      </c>
      <c r="C1272" s="23" t="s">
        <v>3516</v>
      </c>
      <c r="D1272" s="21" t="s">
        <v>3520</v>
      </c>
      <c r="E1272" s="24">
        <v>45163</v>
      </c>
      <c r="F1272" s="24">
        <v>45186</v>
      </c>
      <c r="G1272" s="22" t="s">
        <v>3535</v>
      </c>
      <c r="H1272" s="25">
        <v>15388</v>
      </c>
      <c r="I1272" s="25">
        <v>758</v>
      </c>
      <c r="J1272" s="26">
        <v>454.83</v>
      </c>
      <c r="K1272" s="25">
        <v>65</v>
      </c>
      <c r="L1272" s="21" t="s">
        <v>17</v>
      </c>
      <c r="M1272" s="22" t="s">
        <v>3535</v>
      </c>
      <c r="N1272" s="27">
        <f t="shared" si="152"/>
        <v>23</v>
      </c>
      <c r="O1272" s="28">
        <f t="shared" si="153"/>
        <v>4.9259162984143491E-2</v>
      </c>
      <c r="P1272" s="28">
        <f t="shared" si="154"/>
        <v>8.5751978891820582E-2</v>
      </c>
      <c r="Q1272" s="26">
        <f t="shared" si="155"/>
        <v>0.6000395778364116</v>
      </c>
      <c r="R1272" s="29">
        <f t="shared" si="156"/>
        <v>6.9973846153846155</v>
      </c>
      <c r="S1272" s="30">
        <f t="shared" si="157"/>
        <v>8</v>
      </c>
      <c r="T1272" s="30">
        <f t="shared" si="158"/>
        <v>2023</v>
      </c>
      <c r="U1272" s="29" t="str">
        <f t="shared" si="159"/>
        <v>August</v>
      </c>
    </row>
    <row r="1273" spans="1:21" ht="17.399999999999999" x14ac:dyDescent="0.3">
      <c r="A1273" s="21" t="s">
        <v>2169</v>
      </c>
      <c r="B1273" s="21" t="s">
        <v>2170</v>
      </c>
      <c r="C1273" s="23" t="s">
        <v>3519</v>
      </c>
      <c r="D1273" s="21" t="s">
        <v>3517</v>
      </c>
      <c r="E1273" s="24">
        <v>45164</v>
      </c>
      <c r="F1273" s="24">
        <v>45181</v>
      </c>
      <c r="G1273" s="22" t="s">
        <v>14</v>
      </c>
      <c r="H1273" s="25">
        <v>12694</v>
      </c>
      <c r="I1273" s="25">
        <v>447</v>
      </c>
      <c r="J1273" s="26">
        <v>446.63</v>
      </c>
      <c r="K1273" s="25">
        <v>54</v>
      </c>
      <c r="L1273" s="21" t="s">
        <v>21</v>
      </c>
      <c r="M1273" s="22" t="s">
        <v>3537</v>
      </c>
      <c r="N1273" s="27">
        <f t="shared" si="152"/>
        <v>17</v>
      </c>
      <c r="O1273" s="28">
        <f t="shared" si="153"/>
        <v>3.52134866866236E-2</v>
      </c>
      <c r="P1273" s="28">
        <f t="shared" si="154"/>
        <v>0.12080536912751678</v>
      </c>
      <c r="Q1273" s="26">
        <f t="shared" si="155"/>
        <v>0.99917225950782995</v>
      </c>
      <c r="R1273" s="29">
        <f t="shared" si="156"/>
        <v>8.2709259259259262</v>
      </c>
      <c r="S1273" s="30">
        <f t="shared" si="157"/>
        <v>8</v>
      </c>
      <c r="T1273" s="30">
        <f t="shared" si="158"/>
        <v>2023</v>
      </c>
      <c r="U1273" s="29" t="str">
        <f t="shared" si="159"/>
        <v>August</v>
      </c>
    </row>
    <row r="1274" spans="1:21" ht="17.399999999999999" x14ac:dyDescent="0.3">
      <c r="A1274" s="21" t="s">
        <v>852</v>
      </c>
      <c r="B1274" s="21" t="s">
        <v>853</v>
      </c>
      <c r="C1274" s="23" t="s">
        <v>3516</v>
      </c>
      <c r="D1274" s="21" t="s">
        <v>3521</v>
      </c>
      <c r="E1274" s="24">
        <v>45164</v>
      </c>
      <c r="F1274" s="24">
        <v>45180</v>
      </c>
      <c r="G1274" s="22" t="s">
        <v>11</v>
      </c>
      <c r="H1274" s="25">
        <v>8805</v>
      </c>
      <c r="I1274" s="25">
        <v>100</v>
      </c>
      <c r="J1274" s="26">
        <v>162.22</v>
      </c>
      <c r="K1274" s="25">
        <v>16</v>
      </c>
      <c r="L1274" s="21" t="s">
        <v>17</v>
      </c>
      <c r="M1274" s="22" t="s">
        <v>11</v>
      </c>
      <c r="N1274" s="27">
        <f t="shared" si="152"/>
        <v>16</v>
      </c>
      <c r="O1274" s="28">
        <f t="shared" si="153"/>
        <v>1.1357183418512209E-2</v>
      </c>
      <c r="P1274" s="28">
        <f t="shared" si="154"/>
        <v>0.16</v>
      </c>
      <c r="Q1274" s="26">
        <f t="shared" si="155"/>
        <v>1.6222000000000001</v>
      </c>
      <c r="R1274" s="29">
        <f t="shared" si="156"/>
        <v>10.13875</v>
      </c>
      <c r="S1274" s="30">
        <f t="shared" si="157"/>
        <v>8</v>
      </c>
      <c r="T1274" s="30">
        <f t="shared" si="158"/>
        <v>2023</v>
      </c>
      <c r="U1274" s="29" t="str">
        <f t="shared" si="159"/>
        <v>August</v>
      </c>
    </row>
    <row r="1275" spans="1:21" ht="17.399999999999999" x14ac:dyDescent="0.3">
      <c r="A1275" s="21" t="s">
        <v>1002</v>
      </c>
      <c r="B1275" s="21" t="s">
        <v>1003</v>
      </c>
      <c r="C1275" s="23" t="s">
        <v>3516</v>
      </c>
      <c r="D1275" s="21" t="s">
        <v>3521</v>
      </c>
      <c r="E1275" s="24">
        <v>45164</v>
      </c>
      <c r="F1275" s="24">
        <v>45188</v>
      </c>
      <c r="G1275" s="22" t="s">
        <v>16</v>
      </c>
      <c r="H1275" s="25">
        <v>94008</v>
      </c>
      <c r="I1275" s="25">
        <v>1544</v>
      </c>
      <c r="J1275" s="26">
        <v>888.3</v>
      </c>
      <c r="K1275" s="25">
        <v>179</v>
      </c>
      <c r="L1275" s="21" t="s">
        <v>17</v>
      </c>
      <c r="M1275" s="22" t="s">
        <v>16</v>
      </c>
      <c r="N1275" s="27">
        <f t="shared" si="152"/>
        <v>24</v>
      </c>
      <c r="O1275" s="28">
        <f t="shared" si="153"/>
        <v>1.6424134116245426E-2</v>
      </c>
      <c r="P1275" s="28">
        <f t="shared" si="154"/>
        <v>0.11593264248704663</v>
      </c>
      <c r="Q1275" s="26">
        <f t="shared" si="155"/>
        <v>0.57532383419689115</v>
      </c>
      <c r="R1275" s="29">
        <f t="shared" si="156"/>
        <v>4.9625698324022345</v>
      </c>
      <c r="S1275" s="30">
        <f t="shared" si="157"/>
        <v>8</v>
      </c>
      <c r="T1275" s="30">
        <f t="shared" si="158"/>
        <v>2023</v>
      </c>
      <c r="U1275" s="29" t="str">
        <f t="shared" si="159"/>
        <v>August</v>
      </c>
    </row>
    <row r="1276" spans="1:21" ht="17.399999999999999" x14ac:dyDescent="0.3">
      <c r="A1276" s="21" t="s">
        <v>609</v>
      </c>
      <c r="B1276" s="21" t="s">
        <v>610</v>
      </c>
      <c r="C1276" s="23" t="s">
        <v>3518</v>
      </c>
      <c r="D1276" s="21" t="s">
        <v>3517</v>
      </c>
      <c r="E1276" s="24">
        <v>45165</v>
      </c>
      <c r="F1276" s="24">
        <v>45173</v>
      </c>
      <c r="G1276" s="22" t="s">
        <v>11</v>
      </c>
      <c r="H1276" s="25">
        <v>77213</v>
      </c>
      <c r="I1276" s="25">
        <v>2522</v>
      </c>
      <c r="J1276" s="26">
        <v>4487.83</v>
      </c>
      <c r="K1276" s="25">
        <v>419</v>
      </c>
      <c r="L1276" s="21" t="s">
        <v>21</v>
      </c>
      <c r="M1276" s="22" t="s">
        <v>11</v>
      </c>
      <c r="N1276" s="27">
        <f t="shared" si="152"/>
        <v>8</v>
      </c>
      <c r="O1276" s="28">
        <f t="shared" si="153"/>
        <v>3.2662893554194244E-2</v>
      </c>
      <c r="P1276" s="28">
        <f t="shared" si="154"/>
        <v>0.16613798572561458</v>
      </c>
      <c r="Q1276" s="26">
        <f t="shared" si="155"/>
        <v>1.7794726407613006</v>
      </c>
      <c r="R1276" s="29">
        <f t="shared" si="156"/>
        <v>10.710811455847255</v>
      </c>
      <c r="S1276" s="30">
        <f t="shared" si="157"/>
        <v>8</v>
      </c>
      <c r="T1276" s="30">
        <f t="shared" si="158"/>
        <v>2023</v>
      </c>
      <c r="U1276" s="29" t="str">
        <f t="shared" si="159"/>
        <v>August</v>
      </c>
    </row>
    <row r="1277" spans="1:21" ht="17.399999999999999" x14ac:dyDescent="0.3">
      <c r="A1277" s="21" t="s">
        <v>1912</v>
      </c>
      <c r="B1277" s="22" t="s">
        <v>3874</v>
      </c>
      <c r="C1277" s="23" t="s">
        <v>3518</v>
      </c>
      <c r="D1277" s="22" t="s">
        <v>3545</v>
      </c>
      <c r="E1277" s="24">
        <v>45165</v>
      </c>
      <c r="F1277" s="24">
        <v>45181</v>
      </c>
      <c r="G1277" s="22" t="s">
        <v>11</v>
      </c>
      <c r="H1277" s="25">
        <v>43929</v>
      </c>
      <c r="I1277" s="25">
        <v>1927</v>
      </c>
      <c r="J1277" s="26">
        <v>2960.04</v>
      </c>
      <c r="K1277" s="25">
        <v>287</v>
      </c>
      <c r="L1277" s="21" t="s">
        <v>17</v>
      </c>
      <c r="M1277" s="22" t="s">
        <v>11</v>
      </c>
      <c r="N1277" s="27">
        <f t="shared" si="152"/>
        <v>16</v>
      </c>
      <c r="O1277" s="28">
        <f t="shared" si="153"/>
        <v>4.3866238703362245E-2</v>
      </c>
      <c r="P1277" s="28">
        <f t="shared" si="154"/>
        <v>0.14893617021276595</v>
      </c>
      <c r="Q1277" s="26">
        <f t="shared" si="155"/>
        <v>1.5360871821484172</v>
      </c>
      <c r="R1277" s="29">
        <f t="shared" si="156"/>
        <v>10.313728222996515</v>
      </c>
      <c r="S1277" s="30">
        <f t="shared" si="157"/>
        <v>8</v>
      </c>
      <c r="T1277" s="30">
        <f t="shared" si="158"/>
        <v>2023</v>
      </c>
      <c r="U1277" s="29" t="str">
        <f t="shared" si="159"/>
        <v>August</v>
      </c>
    </row>
    <row r="1278" spans="1:21" ht="17.399999999999999" x14ac:dyDescent="0.3">
      <c r="A1278" s="21" t="s">
        <v>3464</v>
      </c>
      <c r="B1278" s="21" t="s">
        <v>3465</v>
      </c>
      <c r="C1278" s="23" t="s">
        <v>3515</v>
      </c>
      <c r="D1278" s="21" t="s">
        <v>3521</v>
      </c>
      <c r="E1278" s="24">
        <v>45165</v>
      </c>
      <c r="F1278" s="24">
        <v>45169</v>
      </c>
      <c r="G1278" s="22" t="s">
        <v>31</v>
      </c>
      <c r="H1278" s="25">
        <v>34662</v>
      </c>
      <c r="I1278" s="25">
        <v>1190</v>
      </c>
      <c r="J1278" s="26">
        <v>1042.81</v>
      </c>
      <c r="K1278" s="25">
        <v>186</v>
      </c>
      <c r="L1278" s="21" t="s">
        <v>21</v>
      </c>
      <c r="M1278" s="22" t="s">
        <v>31</v>
      </c>
      <c r="N1278" s="27">
        <f t="shared" si="152"/>
        <v>4</v>
      </c>
      <c r="O1278" s="28">
        <f t="shared" si="153"/>
        <v>3.4331544631008022E-2</v>
      </c>
      <c r="P1278" s="28">
        <f t="shared" si="154"/>
        <v>0.15630252100840336</v>
      </c>
      <c r="Q1278" s="26">
        <f t="shared" si="155"/>
        <v>0.87631092436974789</v>
      </c>
      <c r="R1278" s="29">
        <f t="shared" si="156"/>
        <v>5.606505376344086</v>
      </c>
      <c r="S1278" s="30">
        <f t="shared" si="157"/>
        <v>8</v>
      </c>
      <c r="T1278" s="30">
        <f t="shared" si="158"/>
        <v>2023</v>
      </c>
      <c r="U1278" s="29" t="str">
        <f t="shared" si="159"/>
        <v>August</v>
      </c>
    </row>
    <row r="1279" spans="1:21" ht="17.399999999999999" x14ac:dyDescent="0.3">
      <c r="A1279" s="21" t="s">
        <v>106</v>
      </c>
      <c r="B1279" s="21" t="s">
        <v>107</v>
      </c>
      <c r="C1279" s="23" t="s">
        <v>3519</v>
      </c>
      <c r="D1279" s="21" t="s">
        <v>3520</v>
      </c>
      <c r="E1279" s="24">
        <v>45165</v>
      </c>
      <c r="F1279" s="24">
        <v>45170</v>
      </c>
      <c r="G1279" s="22" t="s">
        <v>31</v>
      </c>
      <c r="H1279" s="25">
        <v>18159</v>
      </c>
      <c r="I1279" s="25">
        <v>471</v>
      </c>
      <c r="J1279" s="26">
        <v>563.30999999999995</v>
      </c>
      <c r="K1279" s="25">
        <v>33</v>
      </c>
      <c r="L1279" s="21" t="s">
        <v>17</v>
      </c>
      <c r="M1279" s="22" t="s">
        <v>31</v>
      </c>
      <c r="N1279" s="27">
        <f t="shared" si="152"/>
        <v>5</v>
      </c>
      <c r="O1279" s="28">
        <f t="shared" si="153"/>
        <v>2.5937551627292253E-2</v>
      </c>
      <c r="P1279" s="28">
        <f t="shared" si="154"/>
        <v>7.0063694267515922E-2</v>
      </c>
      <c r="Q1279" s="26">
        <f t="shared" si="155"/>
        <v>1.1959872611464968</v>
      </c>
      <c r="R1279" s="29">
        <f t="shared" si="156"/>
        <v>17.069999999999997</v>
      </c>
      <c r="S1279" s="30">
        <f t="shared" si="157"/>
        <v>8</v>
      </c>
      <c r="T1279" s="30">
        <f t="shared" si="158"/>
        <v>2023</v>
      </c>
      <c r="U1279" s="29" t="str">
        <f t="shared" si="159"/>
        <v>August</v>
      </c>
    </row>
    <row r="1280" spans="1:21" ht="17.399999999999999" x14ac:dyDescent="0.3">
      <c r="A1280" s="21" t="s">
        <v>487</v>
      </c>
      <c r="B1280" s="22" t="s">
        <v>3875</v>
      </c>
      <c r="C1280" s="23" t="s">
        <v>3518</v>
      </c>
      <c r="D1280" s="22" t="s">
        <v>3545</v>
      </c>
      <c r="E1280" s="24">
        <v>45166</v>
      </c>
      <c r="F1280" s="24">
        <v>45177</v>
      </c>
      <c r="G1280" s="22" t="s">
        <v>16</v>
      </c>
      <c r="H1280" s="25">
        <v>22918</v>
      </c>
      <c r="I1280" s="25">
        <v>472</v>
      </c>
      <c r="J1280" s="26">
        <v>896.08</v>
      </c>
      <c r="K1280" s="25">
        <v>76</v>
      </c>
      <c r="L1280" s="21" t="s">
        <v>21</v>
      </c>
      <c r="M1280" s="22" t="s">
        <v>16</v>
      </c>
      <c r="N1280" s="27">
        <f t="shared" si="152"/>
        <v>11</v>
      </c>
      <c r="O1280" s="28">
        <f t="shared" si="153"/>
        <v>2.0595165372196526E-2</v>
      </c>
      <c r="P1280" s="28">
        <f t="shared" si="154"/>
        <v>0.16101694915254236</v>
      </c>
      <c r="Q1280" s="26">
        <f t="shared" si="155"/>
        <v>1.8984745762711865</v>
      </c>
      <c r="R1280" s="29">
        <f t="shared" si="156"/>
        <v>11.790526315789474</v>
      </c>
      <c r="S1280" s="30">
        <f t="shared" si="157"/>
        <v>8</v>
      </c>
      <c r="T1280" s="30">
        <f t="shared" si="158"/>
        <v>2023</v>
      </c>
      <c r="U1280" s="29" t="str">
        <f t="shared" si="159"/>
        <v>August</v>
      </c>
    </row>
    <row r="1281" spans="1:21" ht="17.399999999999999" x14ac:dyDescent="0.3">
      <c r="A1281" s="21" t="s">
        <v>3027</v>
      </c>
      <c r="B1281" s="22" t="s">
        <v>3876</v>
      </c>
      <c r="C1281" s="23" t="s">
        <v>3515</v>
      </c>
      <c r="D1281" s="22" t="s">
        <v>3545</v>
      </c>
      <c r="E1281" s="24">
        <v>45166</v>
      </c>
      <c r="F1281" s="24">
        <v>45169</v>
      </c>
      <c r="G1281" s="22" t="s">
        <v>24</v>
      </c>
      <c r="H1281" s="25">
        <v>20623</v>
      </c>
      <c r="I1281" s="25">
        <v>267</v>
      </c>
      <c r="J1281" s="26">
        <v>188.12</v>
      </c>
      <c r="K1281" s="25">
        <v>18</v>
      </c>
      <c r="L1281" s="21" t="s">
        <v>21</v>
      </c>
      <c r="M1281" s="22" t="s">
        <v>3536</v>
      </c>
      <c r="N1281" s="27">
        <f t="shared" si="152"/>
        <v>3</v>
      </c>
      <c r="O1281" s="28">
        <f t="shared" si="153"/>
        <v>1.2946709983998448E-2</v>
      </c>
      <c r="P1281" s="28">
        <f t="shared" si="154"/>
        <v>6.741573033707865E-2</v>
      </c>
      <c r="Q1281" s="26">
        <f t="shared" si="155"/>
        <v>0.70456928838951316</v>
      </c>
      <c r="R1281" s="29">
        <f t="shared" si="156"/>
        <v>10.451111111111111</v>
      </c>
      <c r="S1281" s="30">
        <f t="shared" si="157"/>
        <v>8</v>
      </c>
      <c r="T1281" s="30">
        <f t="shared" si="158"/>
        <v>2023</v>
      </c>
      <c r="U1281" s="29" t="str">
        <f t="shared" si="159"/>
        <v>August</v>
      </c>
    </row>
    <row r="1282" spans="1:21" ht="17.399999999999999" x14ac:dyDescent="0.3">
      <c r="A1282" s="21" t="s">
        <v>1430</v>
      </c>
      <c r="B1282" s="22" t="s">
        <v>3877</v>
      </c>
      <c r="C1282" s="23" t="s">
        <v>3519</v>
      </c>
      <c r="D1282" s="22" t="s">
        <v>3545</v>
      </c>
      <c r="E1282" s="24">
        <v>45167</v>
      </c>
      <c r="F1282" s="24">
        <v>45194</v>
      </c>
      <c r="G1282" s="22" t="s">
        <v>31</v>
      </c>
      <c r="H1282" s="25">
        <v>48926</v>
      </c>
      <c r="I1282" s="25">
        <v>1121</v>
      </c>
      <c r="J1282" s="26">
        <v>1593.76</v>
      </c>
      <c r="K1282" s="25">
        <v>178</v>
      </c>
      <c r="L1282" s="21" t="s">
        <v>21</v>
      </c>
      <c r="M1282" s="22" t="s">
        <v>31</v>
      </c>
      <c r="N1282" s="27">
        <f t="shared" ref="N1282:N1345" si="160">F1282-E1282</f>
        <v>27</v>
      </c>
      <c r="O1282" s="28">
        <f t="shared" ref="O1282:O1345" si="161">I1282/H1282</f>
        <v>2.291215304745943E-2</v>
      </c>
      <c r="P1282" s="28">
        <f t="shared" ref="P1282:P1345" si="162">K1282/I1282</f>
        <v>0.15878679750223015</v>
      </c>
      <c r="Q1282" s="26">
        <f t="shared" ref="Q1282:Q1345" si="163">J1282/I1282</f>
        <v>1.4217305976806422</v>
      </c>
      <c r="R1282" s="29">
        <f t="shared" ref="R1282:R1345" si="164">IFERROR(J1282/K1282,"0")</f>
        <v>8.9537078651685391</v>
      </c>
      <c r="S1282" s="30">
        <f t="shared" ref="S1282:S1345" si="165">MONTH(E1282)</f>
        <v>8</v>
      </c>
      <c r="T1282" s="30">
        <f t="shared" ref="T1282:T1345" si="166">YEAR(E1282)</f>
        <v>2023</v>
      </c>
      <c r="U1282" s="29" t="str">
        <f t="shared" ref="U1282:U1345" si="167">TEXT(E1282,"mmmm")</f>
        <v>August</v>
      </c>
    </row>
    <row r="1283" spans="1:21" ht="17.399999999999999" x14ac:dyDescent="0.3">
      <c r="A1283" s="21" t="s">
        <v>2981</v>
      </c>
      <c r="B1283" s="21" t="s">
        <v>2982</v>
      </c>
      <c r="C1283" s="23" t="s">
        <v>3519</v>
      </c>
      <c r="D1283" s="21" t="s">
        <v>3521</v>
      </c>
      <c r="E1283" s="24">
        <v>45167</v>
      </c>
      <c r="F1283" s="24">
        <v>45180</v>
      </c>
      <c r="G1283" s="22" t="s">
        <v>24</v>
      </c>
      <c r="H1283" s="25">
        <v>82121</v>
      </c>
      <c r="I1283" s="25">
        <v>1916</v>
      </c>
      <c r="J1283" s="26">
        <v>1838.21</v>
      </c>
      <c r="K1283" s="25">
        <v>184</v>
      </c>
      <c r="L1283" s="21" t="s">
        <v>17</v>
      </c>
      <c r="M1283" s="22" t="s">
        <v>3536</v>
      </c>
      <c r="N1283" s="27">
        <f t="shared" si="160"/>
        <v>13</v>
      </c>
      <c r="O1283" s="28">
        <f t="shared" si="161"/>
        <v>2.3331425579328064E-2</v>
      </c>
      <c r="P1283" s="28">
        <f t="shared" si="162"/>
        <v>9.6033402922755737E-2</v>
      </c>
      <c r="Q1283" s="26">
        <f t="shared" si="163"/>
        <v>0.9593997912317328</v>
      </c>
      <c r="R1283" s="29">
        <f t="shared" si="164"/>
        <v>9.990271739130435</v>
      </c>
      <c r="S1283" s="30">
        <f t="shared" si="165"/>
        <v>8</v>
      </c>
      <c r="T1283" s="30">
        <f t="shared" si="166"/>
        <v>2023</v>
      </c>
      <c r="U1283" s="29" t="str">
        <f t="shared" si="167"/>
        <v>August</v>
      </c>
    </row>
    <row r="1284" spans="1:21" ht="17.399999999999999" x14ac:dyDescent="0.3">
      <c r="A1284" s="21" t="s">
        <v>860</v>
      </c>
      <c r="B1284" s="21" t="s">
        <v>861</v>
      </c>
      <c r="C1284" s="23" t="s">
        <v>3518</v>
      </c>
      <c r="D1284" s="21" t="s">
        <v>3520</v>
      </c>
      <c r="E1284" s="24">
        <v>45167</v>
      </c>
      <c r="F1284" s="24">
        <v>45178</v>
      </c>
      <c r="G1284" s="22" t="s">
        <v>11</v>
      </c>
      <c r="H1284" s="25">
        <v>57556</v>
      </c>
      <c r="I1284" s="25">
        <v>2858</v>
      </c>
      <c r="J1284" s="26">
        <v>4831.04</v>
      </c>
      <c r="K1284" s="25">
        <v>230</v>
      </c>
      <c r="L1284" s="21" t="s">
        <v>21</v>
      </c>
      <c r="M1284" s="22" t="s">
        <v>11</v>
      </c>
      <c r="N1284" s="27">
        <f t="shared" si="160"/>
        <v>11</v>
      </c>
      <c r="O1284" s="28">
        <f t="shared" si="161"/>
        <v>4.9655987212453956E-2</v>
      </c>
      <c r="P1284" s="28">
        <f t="shared" si="162"/>
        <v>8.0475857242827145E-2</v>
      </c>
      <c r="Q1284" s="26">
        <f t="shared" si="163"/>
        <v>1.6903568929321204</v>
      </c>
      <c r="R1284" s="29">
        <f t="shared" si="164"/>
        <v>21.004521739130436</v>
      </c>
      <c r="S1284" s="30">
        <f t="shared" si="165"/>
        <v>8</v>
      </c>
      <c r="T1284" s="30">
        <f t="shared" si="166"/>
        <v>2023</v>
      </c>
      <c r="U1284" s="29" t="str">
        <f t="shared" si="167"/>
        <v>August</v>
      </c>
    </row>
    <row r="1285" spans="1:21" ht="17.399999999999999" x14ac:dyDescent="0.3">
      <c r="A1285" s="21" t="s">
        <v>930</v>
      </c>
      <c r="B1285" s="21" t="s">
        <v>931</v>
      </c>
      <c r="C1285" s="23" t="s">
        <v>3518</v>
      </c>
      <c r="D1285" s="21" t="s">
        <v>3520</v>
      </c>
      <c r="E1285" s="24">
        <v>45167</v>
      </c>
      <c r="F1285" s="24">
        <v>45174</v>
      </c>
      <c r="G1285" s="22" t="s">
        <v>11</v>
      </c>
      <c r="H1285" s="25">
        <v>66417</v>
      </c>
      <c r="I1285" s="25">
        <v>1391</v>
      </c>
      <c r="J1285" s="26">
        <v>2060.41</v>
      </c>
      <c r="K1285" s="25">
        <v>127</v>
      </c>
      <c r="L1285" s="21" t="s">
        <v>17</v>
      </c>
      <c r="M1285" s="22" t="s">
        <v>11</v>
      </c>
      <c r="N1285" s="27">
        <f t="shared" si="160"/>
        <v>7</v>
      </c>
      <c r="O1285" s="28">
        <f t="shared" si="161"/>
        <v>2.0943433157173615E-2</v>
      </c>
      <c r="P1285" s="28">
        <f t="shared" si="162"/>
        <v>9.1301222142343638E-2</v>
      </c>
      <c r="Q1285" s="26">
        <f t="shared" si="163"/>
        <v>1.4812437095614666</v>
      </c>
      <c r="R1285" s="29">
        <f t="shared" si="164"/>
        <v>16.223700787401572</v>
      </c>
      <c r="S1285" s="30">
        <f t="shared" si="165"/>
        <v>8</v>
      </c>
      <c r="T1285" s="30">
        <f t="shared" si="166"/>
        <v>2023</v>
      </c>
      <c r="U1285" s="29" t="str">
        <f t="shared" si="167"/>
        <v>August</v>
      </c>
    </row>
    <row r="1286" spans="1:21" ht="17.399999999999999" x14ac:dyDescent="0.3">
      <c r="A1286" s="21" t="s">
        <v>470</v>
      </c>
      <c r="B1286" s="21" t="s">
        <v>471</v>
      </c>
      <c r="C1286" s="23" t="s">
        <v>3516</v>
      </c>
      <c r="D1286" s="21" t="s">
        <v>3520</v>
      </c>
      <c r="E1286" s="24">
        <v>45167</v>
      </c>
      <c r="F1286" s="24">
        <v>45180</v>
      </c>
      <c r="G1286" s="22" t="s">
        <v>14</v>
      </c>
      <c r="H1286" s="25">
        <v>72295</v>
      </c>
      <c r="I1286" s="25">
        <v>2012</v>
      </c>
      <c r="J1286" s="26">
        <v>3732.15</v>
      </c>
      <c r="K1286" s="25">
        <v>386</v>
      </c>
      <c r="L1286" s="21" t="s">
        <v>21</v>
      </c>
      <c r="M1286" s="22" t="s">
        <v>3537</v>
      </c>
      <c r="N1286" s="27">
        <f t="shared" si="160"/>
        <v>13</v>
      </c>
      <c r="O1286" s="28">
        <f t="shared" si="161"/>
        <v>2.7830417041289163E-2</v>
      </c>
      <c r="P1286" s="28">
        <f t="shared" si="162"/>
        <v>0.19184890656063619</v>
      </c>
      <c r="Q1286" s="26">
        <f t="shared" si="163"/>
        <v>1.8549453280318091</v>
      </c>
      <c r="R1286" s="29">
        <f t="shared" si="164"/>
        <v>9.6687823834196891</v>
      </c>
      <c r="S1286" s="30">
        <f t="shared" si="165"/>
        <v>8</v>
      </c>
      <c r="T1286" s="30">
        <f t="shared" si="166"/>
        <v>2023</v>
      </c>
      <c r="U1286" s="29" t="str">
        <f t="shared" si="167"/>
        <v>August</v>
      </c>
    </row>
    <row r="1287" spans="1:21" ht="17.399999999999999" x14ac:dyDescent="0.3">
      <c r="A1287" s="21" t="s">
        <v>505</v>
      </c>
      <c r="B1287" s="21" t="s">
        <v>506</v>
      </c>
      <c r="C1287" s="23" t="s">
        <v>3516</v>
      </c>
      <c r="D1287" s="21" t="s">
        <v>3517</v>
      </c>
      <c r="E1287" s="24">
        <v>45167</v>
      </c>
      <c r="F1287" s="24">
        <v>45190</v>
      </c>
      <c r="G1287" s="22" t="s">
        <v>16</v>
      </c>
      <c r="H1287" s="25">
        <v>3049</v>
      </c>
      <c r="I1287" s="25">
        <v>39</v>
      </c>
      <c r="J1287" s="26">
        <v>54.83</v>
      </c>
      <c r="K1287" s="25">
        <v>7</v>
      </c>
      <c r="L1287" s="21" t="s">
        <v>21</v>
      </c>
      <c r="M1287" s="22" t="s">
        <v>16</v>
      </c>
      <c r="N1287" s="27">
        <f t="shared" si="160"/>
        <v>23</v>
      </c>
      <c r="O1287" s="28">
        <f t="shared" si="161"/>
        <v>1.2791079042308954E-2</v>
      </c>
      <c r="P1287" s="28">
        <f t="shared" si="162"/>
        <v>0.17948717948717949</v>
      </c>
      <c r="Q1287" s="26">
        <f t="shared" si="163"/>
        <v>1.4058974358974359</v>
      </c>
      <c r="R1287" s="29">
        <f t="shared" si="164"/>
        <v>7.8328571428571427</v>
      </c>
      <c r="S1287" s="30">
        <f t="shared" si="165"/>
        <v>8</v>
      </c>
      <c r="T1287" s="30">
        <f t="shared" si="166"/>
        <v>2023</v>
      </c>
      <c r="U1287" s="29" t="str">
        <f t="shared" si="167"/>
        <v>August</v>
      </c>
    </row>
    <row r="1288" spans="1:21" ht="17.399999999999999" x14ac:dyDescent="0.3">
      <c r="A1288" s="21" t="s">
        <v>989</v>
      </c>
      <c r="B1288" s="22" t="s">
        <v>3878</v>
      </c>
      <c r="C1288" s="23" t="s">
        <v>3516</v>
      </c>
      <c r="D1288" s="22" t="s">
        <v>3545</v>
      </c>
      <c r="E1288" s="24">
        <v>45167</v>
      </c>
      <c r="F1288" s="24">
        <v>45197</v>
      </c>
      <c r="G1288" s="22" t="s">
        <v>14</v>
      </c>
      <c r="H1288" s="25">
        <v>87027</v>
      </c>
      <c r="I1288" s="25">
        <v>3000</v>
      </c>
      <c r="J1288" s="26">
        <v>4695.5200000000004</v>
      </c>
      <c r="K1288" s="25">
        <v>393</v>
      </c>
      <c r="L1288" s="21" t="s">
        <v>17</v>
      </c>
      <c r="M1288" s="22" t="s">
        <v>3537</v>
      </c>
      <c r="N1288" s="27">
        <f t="shared" si="160"/>
        <v>30</v>
      </c>
      <c r="O1288" s="28">
        <f t="shared" si="161"/>
        <v>3.4472060395049811E-2</v>
      </c>
      <c r="P1288" s="28">
        <f t="shared" si="162"/>
        <v>0.13100000000000001</v>
      </c>
      <c r="Q1288" s="26">
        <f t="shared" si="163"/>
        <v>1.5651733333333335</v>
      </c>
      <c r="R1288" s="29">
        <f t="shared" si="164"/>
        <v>11.947888040712469</v>
      </c>
      <c r="S1288" s="30">
        <f t="shared" si="165"/>
        <v>8</v>
      </c>
      <c r="T1288" s="30">
        <f t="shared" si="166"/>
        <v>2023</v>
      </c>
      <c r="U1288" s="29" t="str">
        <f t="shared" si="167"/>
        <v>August</v>
      </c>
    </row>
    <row r="1289" spans="1:21" ht="17.399999999999999" x14ac:dyDescent="0.3">
      <c r="A1289" s="21" t="s">
        <v>3470</v>
      </c>
      <c r="B1289" s="21" t="s">
        <v>3471</v>
      </c>
      <c r="C1289" s="23" t="s">
        <v>3516</v>
      </c>
      <c r="D1289" s="21" t="s">
        <v>3517</v>
      </c>
      <c r="E1289" s="24">
        <v>45167</v>
      </c>
      <c r="F1289" s="24">
        <v>45185</v>
      </c>
      <c r="G1289" s="22" t="s">
        <v>14</v>
      </c>
      <c r="H1289" s="25">
        <v>22288</v>
      </c>
      <c r="I1289" s="25">
        <v>552</v>
      </c>
      <c r="J1289" s="26">
        <v>926.14</v>
      </c>
      <c r="K1289" s="25">
        <v>0</v>
      </c>
      <c r="L1289" s="21" t="s">
        <v>17</v>
      </c>
      <c r="M1289" s="22" t="s">
        <v>3537</v>
      </c>
      <c r="N1289" s="27">
        <f t="shared" si="160"/>
        <v>18</v>
      </c>
      <c r="O1289" s="28">
        <f t="shared" si="161"/>
        <v>2.4766690595836326E-2</v>
      </c>
      <c r="P1289" s="28">
        <f t="shared" si="162"/>
        <v>0</v>
      </c>
      <c r="Q1289" s="26">
        <f t="shared" si="163"/>
        <v>1.6777898550724637</v>
      </c>
      <c r="R1289" s="29" t="str">
        <f t="shared" si="164"/>
        <v>0</v>
      </c>
      <c r="S1289" s="30">
        <f t="shared" si="165"/>
        <v>8</v>
      </c>
      <c r="T1289" s="30">
        <f t="shared" si="166"/>
        <v>2023</v>
      </c>
      <c r="U1289" s="29" t="str">
        <f t="shared" si="167"/>
        <v>August</v>
      </c>
    </row>
    <row r="1290" spans="1:21" ht="17.399999999999999" x14ac:dyDescent="0.3">
      <c r="A1290" s="21" t="s">
        <v>445</v>
      </c>
      <c r="B1290" s="22" t="s">
        <v>3879</v>
      </c>
      <c r="C1290" s="23" t="s">
        <v>3515</v>
      </c>
      <c r="D1290" s="22" t="s">
        <v>3545</v>
      </c>
      <c r="E1290" s="24">
        <v>45167</v>
      </c>
      <c r="F1290" s="24">
        <v>45178</v>
      </c>
      <c r="G1290" s="22" t="s">
        <v>16</v>
      </c>
      <c r="H1290" s="25">
        <v>16708</v>
      </c>
      <c r="I1290" s="25">
        <v>483</v>
      </c>
      <c r="J1290" s="26">
        <v>795.86</v>
      </c>
      <c r="K1290" s="25">
        <v>87</v>
      </c>
      <c r="L1290" s="21" t="s">
        <v>21</v>
      </c>
      <c r="M1290" s="22" t="s">
        <v>16</v>
      </c>
      <c r="N1290" s="27">
        <f t="shared" si="160"/>
        <v>11</v>
      </c>
      <c r="O1290" s="28">
        <f t="shared" si="161"/>
        <v>2.8908307397653817E-2</v>
      </c>
      <c r="P1290" s="28">
        <f t="shared" si="162"/>
        <v>0.18012422360248448</v>
      </c>
      <c r="Q1290" s="26">
        <f t="shared" si="163"/>
        <v>1.6477432712215321</v>
      </c>
      <c r="R1290" s="29">
        <f t="shared" si="164"/>
        <v>9.1478160919540237</v>
      </c>
      <c r="S1290" s="30">
        <f t="shared" si="165"/>
        <v>8</v>
      </c>
      <c r="T1290" s="30">
        <f t="shared" si="166"/>
        <v>2023</v>
      </c>
      <c r="U1290" s="29" t="str">
        <f t="shared" si="167"/>
        <v>August</v>
      </c>
    </row>
    <row r="1291" spans="1:21" ht="17.399999999999999" x14ac:dyDescent="0.3">
      <c r="A1291" s="21" t="s">
        <v>2372</v>
      </c>
      <c r="B1291" s="21" t="s">
        <v>2373</v>
      </c>
      <c r="C1291" s="23" t="s">
        <v>3515</v>
      </c>
      <c r="D1291" s="21" t="s">
        <v>3517</v>
      </c>
      <c r="E1291" s="24">
        <v>45167</v>
      </c>
      <c r="F1291" s="24">
        <v>45171</v>
      </c>
      <c r="G1291" s="22" t="s">
        <v>11</v>
      </c>
      <c r="H1291" s="25">
        <v>7150</v>
      </c>
      <c r="I1291" s="25">
        <v>86</v>
      </c>
      <c r="J1291" s="26">
        <v>61.32</v>
      </c>
      <c r="K1291" s="25">
        <v>12</v>
      </c>
      <c r="L1291" s="21" t="s">
        <v>17</v>
      </c>
      <c r="M1291" s="22" t="s">
        <v>11</v>
      </c>
      <c r="N1291" s="27">
        <f t="shared" si="160"/>
        <v>4</v>
      </c>
      <c r="O1291" s="28">
        <f t="shared" si="161"/>
        <v>1.2027972027972029E-2</v>
      </c>
      <c r="P1291" s="28">
        <f t="shared" si="162"/>
        <v>0.13953488372093023</v>
      </c>
      <c r="Q1291" s="26">
        <f t="shared" si="163"/>
        <v>0.71302325581395354</v>
      </c>
      <c r="R1291" s="29">
        <f t="shared" si="164"/>
        <v>5.1100000000000003</v>
      </c>
      <c r="S1291" s="30">
        <f t="shared" si="165"/>
        <v>8</v>
      </c>
      <c r="T1291" s="30">
        <f t="shared" si="166"/>
        <v>2023</v>
      </c>
      <c r="U1291" s="29" t="str">
        <f t="shared" si="167"/>
        <v>August</v>
      </c>
    </row>
    <row r="1292" spans="1:21" ht="17.399999999999999" x14ac:dyDescent="0.3">
      <c r="A1292" s="21" t="s">
        <v>1968</v>
      </c>
      <c r="B1292" s="21" t="s">
        <v>1969</v>
      </c>
      <c r="C1292" s="23" t="s">
        <v>3519</v>
      </c>
      <c r="D1292" s="21" t="s">
        <v>3517</v>
      </c>
      <c r="E1292" s="24">
        <v>45168</v>
      </c>
      <c r="F1292" s="24">
        <v>45177</v>
      </c>
      <c r="G1292" s="22" t="s">
        <v>31</v>
      </c>
      <c r="H1292" s="25">
        <v>73101</v>
      </c>
      <c r="I1292" s="25">
        <v>2128</v>
      </c>
      <c r="J1292" s="26">
        <v>3257.85</v>
      </c>
      <c r="K1292" s="25">
        <v>332</v>
      </c>
      <c r="L1292" s="21" t="s">
        <v>17</v>
      </c>
      <c r="M1292" s="22" t="s">
        <v>31</v>
      </c>
      <c r="N1292" s="27">
        <f t="shared" si="160"/>
        <v>9</v>
      </c>
      <c r="O1292" s="28">
        <f t="shared" si="161"/>
        <v>2.9110408886335343E-2</v>
      </c>
      <c r="P1292" s="28">
        <f t="shared" si="162"/>
        <v>0.15601503759398497</v>
      </c>
      <c r="Q1292" s="26">
        <f t="shared" si="163"/>
        <v>1.5309445488721805</v>
      </c>
      <c r="R1292" s="29">
        <f t="shared" si="164"/>
        <v>9.8128012048192765</v>
      </c>
      <c r="S1292" s="30">
        <f t="shared" si="165"/>
        <v>8</v>
      </c>
      <c r="T1292" s="30">
        <f t="shared" si="166"/>
        <v>2023</v>
      </c>
      <c r="U1292" s="29" t="str">
        <f t="shared" si="167"/>
        <v>August</v>
      </c>
    </row>
    <row r="1293" spans="1:21" ht="17.399999999999999" x14ac:dyDescent="0.3">
      <c r="A1293" s="21" t="s">
        <v>3174</v>
      </c>
      <c r="B1293" s="21" t="s">
        <v>3175</v>
      </c>
      <c r="C1293" s="23" t="s">
        <v>3519</v>
      </c>
      <c r="D1293" s="21" t="s">
        <v>3521</v>
      </c>
      <c r="E1293" s="24">
        <v>45168</v>
      </c>
      <c r="F1293" s="24">
        <v>45171</v>
      </c>
      <c r="G1293" s="22" t="s">
        <v>3535</v>
      </c>
      <c r="H1293" s="25">
        <v>58372</v>
      </c>
      <c r="I1293" s="25">
        <v>1511</v>
      </c>
      <c r="J1293" s="26">
        <v>1963.15</v>
      </c>
      <c r="K1293" s="25">
        <v>76</v>
      </c>
      <c r="L1293" s="21" t="s">
        <v>21</v>
      </c>
      <c r="M1293" s="22" t="s">
        <v>3535</v>
      </c>
      <c r="N1293" s="27">
        <f t="shared" si="160"/>
        <v>3</v>
      </c>
      <c r="O1293" s="28">
        <f t="shared" si="161"/>
        <v>2.5885698622627289E-2</v>
      </c>
      <c r="P1293" s="28">
        <f t="shared" si="162"/>
        <v>5.0297816015883519E-2</v>
      </c>
      <c r="Q1293" s="26">
        <f t="shared" si="163"/>
        <v>1.2992389146260754</v>
      </c>
      <c r="R1293" s="29">
        <f t="shared" si="164"/>
        <v>25.830921052631581</v>
      </c>
      <c r="S1293" s="30">
        <f t="shared" si="165"/>
        <v>8</v>
      </c>
      <c r="T1293" s="30">
        <f t="shared" si="166"/>
        <v>2023</v>
      </c>
      <c r="U1293" s="29" t="str">
        <f t="shared" si="167"/>
        <v>August</v>
      </c>
    </row>
    <row r="1294" spans="1:21" ht="17.399999999999999" x14ac:dyDescent="0.3">
      <c r="A1294" s="21" t="s">
        <v>962</v>
      </c>
      <c r="B1294" s="21" t="s">
        <v>963</v>
      </c>
      <c r="C1294" s="23" t="s">
        <v>3518</v>
      </c>
      <c r="D1294" s="21" t="s">
        <v>3517</v>
      </c>
      <c r="E1294" s="24">
        <v>45168</v>
      </c>
      <c r="F1294" s="24">
        <v>45177</v>
      </c>
      <c r="G1294" s="22" t="s">
        <v>24</v>
      </c>
      <c r="H1294" s="25">
        <v>67387</v>
      </c>
      <c r="I1294" s="25">
        <v>819</v>
      </c>
      <c r="J1294" s="26">
        <v>947.8</v>
      </c>
      <c r="K1294" s="25">
        <v>65</v>
      </c>
      <c r="L1294" s="21" t="s">
        <v>17</v>
      </c>
      <c r="M1294" s="22" t="s">
        <v>3536</v>
      </c>
      <c r="N1294" s="27">
        <f t="shared" si="160"/>
        <v>9</v>
      </c>
      <c r="O1294" s="28">
        <f t="shared" si="161"/>
        <v>1.21536794930773E-2</v>
      </c>
      <c r="P1294" s="28">
        <f t="shared" si="162"/>
        <v>7.9365079365079361E-2</v>
      </c>
      <c r="Q1294" s="26">
        <f t="shared" si="163"/>
        <v>1.1572649572649572</v>
      </c>
      <c r="R1294" s="29">
        <f t="shared" si="164"/>
        <v>14.581538461538461</v>
      </c>
      <c r="S1294" s="30">
        <f t="shared" si="165"/>
        <v>8</v>
      </c>
      <c r="T1294" s="30">
        <f t="shared" si="166"/>
        <v>2023</v>
      </c>
      <c r="U1294" s="29" t="str">
        <f t="shared" si="167"/>
        <v>August</v>
      </c>
    </row>
    <row r="1295" spans="1:21" ht="17.399999999999999" x14ac:dyDescent="0.3">
      <c r="A1295" s="21" t="s">
        <v>1315</v>
      </c>
      <c r="B1295" s="21" t="s">
        <v>1316</v>
      </c>
      <c r="C1295" s="23" t="s">
        <v>3518</v>
      </c>
      <c r="D1295" s="21" t="s">
        <v>3520</v>
      </c>
      <c r="E1295" s="24">
        <v>45168</v>
      </c>
      <c r="F1295" s="24">
        <v>45190</v>
      </c>
      <c r="G1295" s="22" t="s">
        <v>14</v>
      </c>
      <c r="H1295" s="25">
        <v>53736</v>
      </c>
      <c r="I1295" s="25">
        <v>1161</v>
      </c>
      <c r="J1295" s="26">
        <v>920.11</v>
      </c>
      <c r="K1295" s="25">
        <v>154</v>
      </c>
      <c r="L1295" s="21" t="s">
        <v>21</v>
      </c>
      <c r="M1295" s="22" t="s">
        <v>3537</v>
      </c>
      <c r="N1295" s="27">
        <f t="shared" si="160"/>
        <v>22</v>
      </c>
      <c r="O1295" s="28">
        <f t="shared" si="161"/>
        <v>2.1605627512282267E-2</v>
      </c>
      <c r="P1295" s="28">
        <f t="shared" si="162"/>
        <v>0.13264427217915589</v>
      </c>
      <c r="Q1295" s="26">
        <f t="shared" si="163"/>
        <v>0.79251507321274761</v>
      </c>
      <c r="R1295" s="29">
        <f t="shared" si="164"/>
        <v>5.9747402597402601</v>
      </c>
      <c r="S1295" s="30">
        <f t="shared" si="165"/>
        <v>8</v>
      </c>
      <c r="T1295" s="30">
        <f t="shared" si="166"/>
        <v>2023</v>
      </c>
      <c r="U1295" s="29" t="str">
        <f t="shared" si="167"/>
        <v>August</v>
      </c>
    </row>
    <row r="1296" spans="1:21" ht="17.399999999999999" x14ac:dyDescent="0.3">
      <c r="A1296" s="21" t="s">
        <v>1804</v>
      </c>
      <c r="B1296" s="21" t="s">
        <v>1805</v>
      </c>
      <c r="C1296" s="23" t="s">
        <v>3518</v>
      </c>
      <c r="D1296" s="21" t="s">
        <v>3520</v>
      </c>
      <c r="E1296" s="24">
        <v>45168</v>
      </c>
      <c r="F1296" s="24">
        <v>45173</v>
      </c>
      <c r="G1296" s="22" t="s">
        <v>11</v>
      </c>
      <c r="H1296" s="25">
        <v>5324</v>
      </c>
      <c r="I1296" s="25">
        <v>212</v>
      </c>
      <c r="J1296" s="26">
        <v>169.41</v>
      </c>
      <c r="K1296" s="25">
        <v>36</v>
      </c>
      <c r="L1296" s="21" t="s">
        <v>21</v>
      </c>
      <c r="M1296" s="22" t="s">
        <v>11</v>
      </c>
      <c r="N1296" s="27">
        <f t="shared" si="160"/>
        <v>5</v>
      </c>
      <c r="O1296" s="28">
        <f t="shared" si="161"/>
        <v>3.9819684447783624E-2</v>
      </c>
      <c r="P1296" s="28">
        <f t="shared" si="162"/>
        <v>0.16981132075471697</v>
      </c>
      <c r="Q1296" s="26">
        <f t="shared" si="163"/>
        <v>0.7991037735849057</v>
      </c>
      <c r="R1296" s="29">
        <f t="shared" si="164"/>
        <v>4.7058333333333335</v>
      </c>
      <c r="S1296" s="30">
        <f t="shared" si="165"/>
        <v>8</v>
      </c>
      <c r="T1296" s="30">
        <f t="shared" si="166"/>
        <v>2023</v>
      </c>
      <c r="U1296" s="29" t="str">
        <f t="shared" si="167"/>
        <v>August</v>
      </c>
    </row>
    <row r="1297" spans="1:21" ht="17.399999999999999" x14ac:dyDescent="0.3">
      <c r="A1297" s="21" t="s">
        <v>1210</v>
      </c>
      <c r="B1297" s="21" t="s">
        <v>1211</v>
      </c>
      <c r="C1297" s="23" t="s">
        <v>3516</v>
      </c>
      <c r="D1297" s="21" t="s">
        <v>3520</v>
      </c>
      <c r="E1297" s="24">
        <v>45168</v>
      </c>
      <c r="F1297" s="24">
        <v>45197</v>
      </c>
      <c r="G1297" s="22" t="s">
        <v>11</v>
      </c>
      <c r="H1297" s="25">
        <v>92792</v>
      </c>
      <c r="I1297" s="25">
        <v>3849</v>
      </c>
      <c r="J1297" s="26">
        <v>7183.02</v>
      </c>
      <c r="K1297" s="25">
        <v>315</v>
      </c>
      <c r="L1297" s="21" t="s">
        <v>21</v>
      </c>
      <c r="M1297" s="22" t="s">
        <v>11</v>
      </c>
      <c r="N1297" s="27">
        <f t="shared" si="160"/>
        <v>29</v>
      </c>
      <c r="O1297" s="28">
        <f t="shared" si="161"/>
        <v>4.1479868954220192E-2</v>
      </c>
      <c r="P1297" s="28">
        <f t="shared" si="162"/>
        <v>8.1839438815276694E-2</v>
      </c>
      <c r="Q1297" s="26">
        <f t="shared" si="163"/>
        <v>1.8662042088854249</v>
      </c>
      <c r="R1297" s="29">
        <f t="shared" si="164"/>
        <v>22.803238095238097</v>
      </c>
      <c r="S1297" s="30">
        <f t="shared" si="165"/>
        <v>8</v>
      </c>
      <c r="T1297" s="30">
        <f t="shared" si="166"/>
        <v>2023</v>
      </c>
      <c r="U1297" s="29" t="str">
        <f t="shared" si="167"/>
        <v>August</v>
      </c>
    </row>
    <row r="1298" spans="1:21" ht="17.399999999999999" x14ac:dyDescent="0.3">
      <c r="A1298" s="21" t="s">
        <v>2239</v>
      </c>
      <c r="B1298" s="21" t="s">
        <v>2240</v>
      </c>
      <c r="C1298" s="23" t="s">
        <v>3516</v>
      </c>
      <c r="D1298" s="21" t="s">
        <v>3521</v>
      </c>
      <c r="E1298" s="24">
        <v>45168</v>
      </c>
      <c r="F1298" s="24">
        <v>45175</v>
      </c>
      <c r="G1298" s="22" t="s">
        <v>16</v>
      </c>
      <c r="H1298" s="25">
        <v>22566</v>
      </c>
      <c r="I1298" s="25">
        <v>333</v>
      </c>
      <c r="J1298" s="26">
        <v>240.04</v>
      </c>
      <c r="K1298" s="25">
        <v>40</v>
      </c>
      <c r="L1298" s="21" t="s">
        <v>21</v>
      </c>
      <c r="M1298" s="22" t="s">
        <v>16</v>
      </c>
      <c r="N1298" s="27">
        <f t="shared" si="160"/>
        <v>7</v>
      </c>
      <c r="O1298" s="28">
        <f t="shared" si="161"/>
        <v>1.4756713639989365E-2</v>
      </c>
      <c r="P1298" s="28">
        <f t="shared" si="162"/>
        <v>0.12012012012012012</v>
      </c>
      <c r="Q1298" s="26">
        <f t="shared" si="163"/>
        <v>0.72084084084084077</v>
      </c>
      <c r="R1298" s="29">
        <f t="shared" si="164"/>
        <v>6.0009999999999994</v>
      </c>
      <c r="S1298" s="30">
        <f t="shared" si="165"/>
        <v>8</v>
      </c>
      <c r="T1298" s="30">
        <f t="shared" si="166"/>
        <v>2023</v>
      </c>
      <c r="U1298" s="29" t="str">
        <f t="shared" si="167"/>
        <v>August</v>
      </c>
    </row>
    <row r="1299" spans="1:21" ht="17.399999999999999" x14ac:dyDescent="0.3">
      <c r="A1299" s="21" t="s">
        <v>2562</v>
      </c>
      <c r="B1299" s="22" t="s">
        <v>3880</v>
      </c>
      <c r="C1299" s="23" t="s">
        <v>3519</v>
      </c>
      <c r="D1299" s="22" t="s">
        <v>3545</v>
      </c>
      <c r="E1299" s="24">
        <v>45169</v>
      </c>
      <c r="F1299" s="24">
        <v>45198</v>
      </c>
      <c r="G1299" s="22" t="s">
        <v>14</v>
      </c>
      <c r="H1299" s="25">
        <v>90399</v>
      </c>
      <c r="I1299" s="25">
        <v>2644</v>
      </c>
      <c r="J1299" s="26">
        <v>1865.42</v>
      </c>
      <c r="K1299" s="25">
        <v>365</v>
      </c>
      <c r="L1299" s="21" t="s">
        <v>21</v>
      </c>
      <c r="M1299" s="22" t="s">
        <v>3537</v>
      </c>
      <c r="N1299" s="27">
        <f t="shared" si="160"/>
        <v>29</v>
      </c>
      <c r="O1299" s="28">
        <f t="shared" si="161"/>
        <v>2.9248111151672033E-2</v>
      </c>
      <c r="P1299" s="28">
        <f t="shared" si="162"/>
        <v>0.1380484114977307</v>
      </c>
      <c r="Q1299" s="26">
        <f t="shared" si="163"/>
        <v>0.70552950075642973</v>
      </c>
      <c r="R1299" s="29">
        <f t="shared" si="164"/>
        <v>5.1107397260273979</v>
      </c>
      <c r="S1299" s="30">
        <f t="shared" si="165"/>
        <v>8</v>
      </c>
      <c r="T1299" s="30">
        <f t="shared" si="166"/>
        <v>2023</v>
      </c>
      <c r="U1299" s="29" t="str">
        <f t="shared" si="167"/>
        <v>August</v>
      </c>
    </row>
    <row r="1300" spans="1:21" ht="17.399999999999999" x14ac:dyDescent="0.3">
      <c r="A1300" s="21" t="s">
        <v>131</v>
      </c>
      <c r="B1300" s="22" t="s">
        <v>3881</v>
      </c>
      <c r="C1300" s="23" t="s">
        <v>3518</v>
      </c>
      <c r="D1300" s="22" t="s">
        <v>3545</v>
      </c>
      <c r="E1300" s="24">
        <v>45169</v>
      </c>
      <c r="F1300" s="24">
        <v>45181</v>
      </c>
      <c r="G1300" s="22" t="s">
        <v>14</v>
      </c>
      <c r="H1300" s="25">
        <v>10692</v>
      </c>
      <c r="I1300" s="25">
        <v>169</v>
      </c>
      <c r="J1300" s="26">
        <v>253.53</v>
      </c>
      <c r="K1300" s="25">
        <v>18</v>
      </c>
      <c r="L1300" s="21" t="s">
        <v>21</v>
      </c>
      <c r="M1300" s="22" t="s">
        <v>3537</v>
      </c>
      <c r="N1300" s="27">
        <f t="shared" si="160"/>
        <v>12</v>
      </c>
      <c r="O1300" s="28">
        <f t="shared" si="161"/>
        <v>1.5806210250654696E-2</v>
      </c>
      <c r="P1300" s="28">
        <f t="shared" si="162"/>
        <v>0.10650887573964497</v>
      </c>
      <c r="Q1300" s="26">
        <f t="shared" si="163"/>
        <v>1.5001775147928995</v>
      </c>
      <c r="R1300" s="29">
        <f t="shared" si="164"/>
        <v>14.085000000000001</v>
      </c>
      <c r="S1300" s="30">
        <f t="shared" si="165"/>
        <v>8</v>
      </c>
      <c r="T1300" s="30">
        <f t="shared" si="166"/>
        <v>2023</v>
      </c>
      <c r="U1300" s="29" t="str">
        <f t="shared" si="167"/>
        <v>August</v>
      </c>
    </row>
    <row r="1301" spans="1:21" ht="17.399999999999999" x14ac:dyDescent="0.3">
      <c r="A1301" s="21" t="s">
        <v>1179</v>
      </c>
      <c r="B1301" s="21" t="s">
        <v>1180</v>
      </c>
      <c r="C1301" s="23" t="s">
        <v>3518</v>
      </c>
      <c r="D1301" s="21" t="s">
        <v>3520</v>
      </c>
      <c r="E1301" s="24">
        <v>45169</v>
      </c>
      <c r="F1301" s="24">
        <v>45181</v>
      </c>
      <c r="G1301" s="22" t="s">
        <v>24</v>
      </c>
      <c r="H1301" s="25">
        <v>22677</v>
      </c>
      <c r="I1301" s="25">
        <v>271</v>
      </c>
      <c r="J1301" s="26">
        <v>172.05</v>
      </c>
      <c r="K1301" s="25">
        <v>42</v>
      </c>
      <c r="L1301" s="21" t="s">
        <v>21</v>
      </c>
      <c r="M1301" s="22" t="s">
        <v>3536</v>
      </c>
      <c r="N1301" s="27">
        <f t="shared" si="160"/>
        <v>12</v>
      </c>
      <c r="O1301" s="28">
        <f t="shared" si="161"/>
        <v>1.1950434360806103E-2</v>
      </c>
      <c r="P1301" s="28">
        <f t="shared" si="162"/>
        <v>0.15498154981549817</v>
      </c>
      <c r="Q1301" s="26">
        <f t="shared" si="163"/>
        <v>0.63487084870848709</v>
      </c>
      <c r="R1301" s="29">
        <f t="shared" si="164"/>
        <v>4.0964285714285715</v>
      </c>
      <c r="S1301" s="30">
        <f t="shared" si="165"/>
        <v>8</v>
      </c>
      <c r="T1301" s="30">
        <f t="shared" si="166"/>
        <v>2023</v>
      </c>
      <c r="U1301" s="29" t="str">
        <f t="shared" si="167"/>
        <v>August</v>
      </c>
    </row>
    <row r="1302" spans="1:21" ht="17.399999999999999" x14ac:dyDescent="0.3">
      <c r="A1302" s="21" t="s">
        <v>368</v>
      </c>
      <c r="B1302" s="21" t="s">
        <v>369</v>
      </c>
      <c r="C1302" s="23" t="s">
        <v>3516</v>
      </c>
      <c r="D1302" s="21" t="s">
        <v>3520</v>
      </c>
      <c r="E1302" s="24">
        <v>45169</v>
      </c>
      <c r="F1302" s="24">
        <v>45179</v>
      </c>
      <c r="G1302" s="22" t="s">
        <v>16</v>
      </c>
      <c r="H1302" s="25">
        <v>55384</v>
      </c>
      <c r="I1302" s="25">
        <v>1840</v>
      </c>
      <c r="J1302" s="26">
        <v>944.03</v>
      </c>
      <c r="K1302" s="25">
        <v>173</v>
      </c>
      <c r="L1302" s="21" t="s">
        <v>21</v>
      </c>
      <c r="M1302" s="22" t="s">
        <v>16</v>
      </c>
      <c r="N1302" s="27">
        <f t="shared" si="160"/>
        <v>10</v>
      </c>
      <c r="O1302" s="28">
        <f t="shared" si="161"/>
        <v>3.3222591362126248E-2</v>
      </c>
      <c r="P1302" s="28">
        <f t="shared" si="162"/>
        <v>9.4021739130434781E-2</v>
      </c>
      <c r="Q1302" s="26">
        <f t="shared" si="163"/>
        <v>0.51305978260869567</v>
      </c>
      <c r="R1302" s="29">
        <f t="shared" si="164"/>
        <v>5.4568208092485548</v>
      </c>
      <c r="S1302" s="30">
        <f t="shared" si="165"/>
        <v>8</v>
      </c>
      <c r="T1302" s="30">
        <f t="shared" si="166"/>
        <v>2023</v>
      </c>
      <c r="U1302" s="29" t="str">
        <f t="shared" si="167"/>
        <v>August</v>
      </c>
    </row>
    <row r="1303" spans="1:21" ht="17.399999999999999" x14ac:dyDescent="0.3">
      <c r="A1303" s="21" t="s">
        <v>752</v>
      </c>
      <c r="B1303" s="21" t="s">
        <v>753</v>
      </c>
      <c r="C1303" s="23" t="s">
        <v>3516</v>
      </c>
      <c r="D1303" s="21" t="s">
        <v>3517</v>
      </c>
      <c r="E1303" s="24">
        <v>45169</v>
      </c>
      <c r="F1303" s="24">
        <v>45184</v>
      </c>
      <c r="G1303" s="22" t="s">
        <v>14</v>
      </c>
      <c r="H1303" s="25">
        <v>11966</v>
      </c>
      <c r="I1303" s="25">
        <v>320</v>
      </c>
      <c r="J1303" s="26">
        <v>575.17999999999995</v>
      </c>
      <c r="K1303" s="25">
        <v>16</v>
      </c>
      <c r="L1303" s="21" t="s">
        <v>21</v>
      </c>
      <c r="M1303" s="22" t="s">
        <v>3537</v>
      </c>
      <c r="N1303" s="27">
        <f t="shared" si="160"/>
        <v>15</v>
      </c>
      <c r="O1303" s="28">
        <f t="shared" si="161"/>
        <v>2.6742436904562929E-2</v>
      </c>
      <c r="P1303" s="28">
        <f t="shared" si="162"/>
        <v>0.05</v>
      </c>
      <c r="Q1303" s="26">
        <f t="shared" si="163"/>
        <v>1.7974374999999998</v>
      </c>
      <c r="R1303" s="29">
        <f t="shared" si="164"/>
        <v>35.948749999999997</v>
      </c>
      <c r="S1303" s="30">
        <f t="shared" si="165"/>
        <v>8</v>
      </c>
      <c r="T1303" s="30">
        <f t="shared" si="166"/>
        <v>2023</v>
      </c>
      <c r="U1303" s="29" t="str">
        <f t="shared" si="167"/>
        <v>August</v>
      </c>
    </row>
    <row r="1304" spans="1:21" ht="17.399999999999999" x14ac:dyDescent="0.3">
      <c r="A1304" s="21" t="s">
        <v>2080</v>
      </c>
      <c r="B1304" s="22" t="s">
        <v>3882</v>
      </c>
      <c r="C1304" s="23" t="s">
        <v>3516</v>
      </c>
      <c r="D1304" s="22" t="s">
        <v>3545</v>
      </c>
      <c r="E1304" s="24">
        <v>45169</v>
      </c>
      <c r="F1304" s="24">
        <v>45190</v>
      </c>
      <c r="G1304" s="22" t="s">
        <v>14</v>
      </c>
      <c r="H1304" s="25">
        <v>40666</v>
      </c>
      <c r="I1304" s="25">
        <v>1368</v>
      </c>
      <c r="J1304" s="26">
        <v>1059.01</v>
      </c>
      <c r="K1304" s="25">
        <v>270</v>
      </c>
      <c r="L1304" s="21" t="s">
        <v>21</v>
      </c>
      <c r="M1304" s="22" t="s">
        <v>3537</v>
      </c>
      <c r="N1304" s="27">
        <f t="shared" si="160"/>
        <v>21</v>
      </c>
      <c r="O1304" s="28">
        <f t="shared" si="161"/>
        <v>3.363989573599567E-2</v>
      </c>
      <c r="P1304" s="28">
        <f t="shared" si="162"/>
        <v>0.19736842105263158</v>
      </c>
      <c r="Q1304" s="26">
        <f t="shared" si="163"/>
        <v>0.77413011695906431</v>
      </c>
      <c r="R1304" s="29">
        <f t="shared" si="164"/>
        <v>3.9222592592592593</v>
      </c>
      <c r="S1304" s="30">
        <f t="shared" si="165"/>
        <v>8</v>
      </c>
      <c r="T1304" s="30">
        <f t="shared" si="166"/>
        <v>2023</v>
      </c>
      <c r="U1304" s="29" t="str">
        <f t="shared" si="167"/>
        <v>August</v>
      </c>
    </row>
    <row r="1305" spans="1:21" ht="17.399999999999999" x14ac:dyDescent="0.3">
      <c r="A1305" s="21" t="s">
        <v>2860</v>
      </c>
      <c r="B1305" s="22" t="s">
        <v>3883</v>
      </c>
      <c r="C1305" s="23" t="s">
        <v>3516</v>
      </c>
      <c r="D1305" s="22" t="s">
        <v>3545</v>
      </c>
      <c r="E1305" s="24">
        <v>45169</v>
      </c>
      <c r="F1305" s="24">
        <v>45173</v>
      </c>
      <c r="G1305" s="22" t="s">
        <v>16</v>
      </c>
      <c r="H1305" s="25">
        <v>68364</v>
      </c>
      <c r="I1305" s="25">
        <v>1118</v>
      </c>
      <c r="J1305" s="26">
        <v>1306.8699999999999</v>
      </c>
      <c r="K1305" s="25">
        <v>96</v>
      </c>
      <c r="L1305" s="21" t="s">
        <v>21</v>
      </c>
      <c r="M1305" s="22" t="s">
        <v>16</v>
      </c>
      <c r="N1305" s="27">
        <f t="shared" si="160"/>
        <v>4</v>
      </c>
      <c r="O1305" s="28">
        <f t="shared" si="161"/>
        <v>1.635363641682757E-2</v>
      </c>
      <c r="P1305" s="28">
        <f t="shared" si="162"/>
        <v>8.5867620751341675E-2</v>
      </c>
      <c r="Q1305" s="26">
        <f t="shared" si="163"/>
        <v>1.1689355992844364</v>
      </c>
      <c r="R1305" s="29">
        <f t="shared" si="164"/>
        <v>13.613229166666665</v>
      </c>
      <c r="S1305" s="30">
        <f t="shared" si="165"/>
        <v>8</v>
      </c>
      <c r="T1305" s="30">
        <f t="shared" si="166"/>
        <v>2023</v>
      </c>
      <c r="U1305" s="29" t="str">
        <f t="shared" si="167"/>
        <v>August</v>
      </c>
    </row>
    <row r="1306" spans="1:21" ht="17.399999999999999" x14ac:dyDescent="0.3">
      <c r="A1306" s="21" t="s">
        <v>2991</v>
      </c>
      <c r="B1306" s="22" t="s">
        <v>3884</v>
      </c>
      <c r="C1306" s="23" t="s">
        <v>3516</v>
      </c>
      <c r="D1306" s="22" t="s">
        <v>3545</v>
      </c>
      <c r="E1306" s="24">
        <v>45169</v>
      </c>
      <c r="F1306" s="24">
        <v>45181</v>
      </c>
      <c r="G1306" s="22" t="s">
        <v>24</v>
      </c>
      <c r="H1306" s="25">
        <v>4972</v>
      </c>
      <c r="I1306" s="25">
        <v>205</v>
      </c>
      <c r="J1306" s="26">
        <v>355.15</v>
      </c>
      <c r="K1306" s="25">
        <v>29</v>
      </c>
      <c r="L1306" s="21" t="s">
        <v>21</v>
      </c>
      <c r="M1306" s="22" t="s">
        <v>3536</v>
      </c>
      <c r="N1306" s="27">
        <f t="shared" si="160"/>
        <v>12</v>
      </c>
      <c r="O1306" s="28">
        <f t="shared" si="161"/>
        <v>4.1230893000804507E-2</v>
      </c>
      <c r="P1306" s="28">
        <f t="shared" si="162"/>
        <v>0.14146341463414633</v>
      </c>
      <c r="Q1306" s="26">
        <f t="shared" si="163"/>
        <v>1.7324390243902439</v>
      </c>
      <c r="R1306" s="29">
        <f t="shared" si="164"/>
        <v>12.24655172413793</v>
      </c>
      <c r="S1306" s="30">
        <f t="shared" si="165"/>
        <v>8</v>
      </c>
      <c r="T1306" s="30">
        <f t="shared" si="166"/>
        <v>2023</v>
      </c>
      <c r="U1306" s="29" t="str">
        <f t="shared" si="167"/>
        <v>August</v>
      </c>
    </row>
    <row r="1307" spans="1:21" ht="17.399999999999999" x14ac:dyDescent="0.3">
      <c r="A1307" s="21" t="s">
        <v>284</v>
      </c>
      <c r="B1307" s="21" t="s">
        <v>285</v>
      </c>
      <c r="C1307" s="23" t="s">
        <v>3515</v>
      </c>
      <c r="D1307" s="21" t="s">
        <v>3520</v>
      </c>
      <c r="E1307" s="24">
        <v>45169</v>
      </c>
      <c r="F1307" s="24">
        <v>45185</v>
      </c>
      <c r="G1307" s="22" t="s">
        <v>3535</v>
      </c>
      <c r="H1307" s="25">
        <v>56820</v>
      </c>
      <c r="I1307" s="25">
        <v>2043</v>
      </c>
      <c r="J1307" s="26">
        <v>2990.68</v>
      </c>
      <c r="K1307" s="25">
        <v>403</v>
      </c>
      <c r="L1307" s="21" t="s">
        <v>21</v>
      </c>
      <c r="M1307" s="22" t="s">
        <v>3535</v>
      </c>
      <c r="N1307" s="27">
        <f t="shared" si="160"/>
        <v>16</v>
      </c>
      <c r="O1307" s="28">
        <f t="shared" si="161"/>
        <v>3.5955649419218583E-2</v>
      </c>
      <c r="P1307" s="28">
        <f t="shared" si="162"/>
        <v>0.19725893294175231</v>
      </c>
      <c r="Q1307" s="26">
        <f t="shared" si="163"/>
        <v>1.4638668624571707</v>
      </c>
      <c r="R1307" s="29">
        <f t="shared" si="164"/>
        <v>7.421042183622828</v>
      </c>
      <c r="S1307" s="30">
        <f t="shared" si="165"/>
        <v>8</v>
      </c>
      <c r="T1307" s="30">
        <f t="shared" si="166"/>
        <v>2023</v>
      </c>
      <c r="U1307" s="29" t="str">
        <f t="shared" si="167"/>
        <v>August</v>
      </c>
    </row>
    <row r="1308" spans="1:21" ht="17.399999999999999" x14ac:dyDescent="0.3">
      <c r="A1308" s="21" t="s">
        <v>2174</v>
      </c>
      <c r="B1308" s="21" t="s">
        <v>2175</v>
      </c>
      <c r="C1308" s="23" t="s">
        <v>3515</v>
      </c>
      <c r="D1308" s="21" t="s">
        <v>3520</v>
      </c>
      <c r="E1308" s="24">
        <v>45169</v>
      </c>
      <c r="F1308" s="24">
        <v>45199</v>
      </c>
      <c r="G1308" s="22" t="s">
        <v>31</v>
      </c>
      <c r="H1308" s="25">
        <v>98416</v>
      </c>
      <c r="I1308" s="25">
        <v>1008</v>
      </c>
      <c r="J1308" s="26">
        <v>1505.8</v>
      </c>
      <c r="K1308" s="25">
        <v>0</v>
      </c>
      <c r="L1308" s="21" t="s">
        <v>21</v>
      </c>
      <c r="M1308" s="22" t="s">
        <v>31</v>
      </c>
      <c r="N1308" s="27">
        <f t="shared" si="160"/>
        <v>30</v>
      </c>
      <c r="O1308" s="28">
        <f t="shared" si="161"/>
        <v>1.0242237034628515E-2</v>
      </c>
      <c r="P1308" s="28">
        <f t="shared" si="162"/>
        <v>0</v>
      </c>
      <c r="Q1308" s="26">
        <f t="shared" si="163"/>
        <v>1.4938492063492064</v>
      </c>
      <c r="R1308" s="29" t="str">
        <f t="shared" si="164"/>
        <v>0</v>
      </c>
      <c r="S1308" s="30">
        <f t="shared" si="165"/>
        <v>8</v>
      </c>
      <c r="T1308" s="30">
        <f t="shared" si="166"/>
        <v>2023</v>
      </c>
      <c r="U1308" s="29" t="str">
        <f t="shared" si="167"/>
        <v>August</v>
      </c>
    </row>
    <row r="1309" spans="1:21" ht="17.399999999999999" x14ac:dyDescent="0.3">
      <c r="A1309" s="21" t="s">
        <v>2907</v>
      </c>
      <c r="B1309" s="22" t="s">
        <v>3885</v>
      </c>
      <c r="C1309" s="23" t="s">
        <v>3515</v>
      </c>
      <c r="D1309" s="22" t="s">
        <v>3545</v>
      </c>
      <c r="E1309" s="24">
        <v>45169</v>
      </c>
      <c r="F1309" s="24">
        <v>45174</v>
      </c>
      <c r="G1309" s="22" t="s">
        <v>14</v>
      </c>
      <c r="H1309" s="25">
        <v>51948</v>
      </c>
      <c r="I1309" s="25">
        <v>1799</v>
      </c>
      <c r="J1309" s="26">
        <v>1044.6300000000001</v>
      </c>
      <c r="K1309" s="25">
        <v>125</v>
      </c>
      <c r="L1309" s="21" t="s">
        <v>21</v>
      </c>
      <c r="M1309" s="22" t="s">
        <v>3537</v>
      </c>
      <c r="N1309" s="27">
        <f t="shared" si="160"/>
        <v>5</v>
      </c>
      <c r="O1309" s="28">
        <f t="shared" si="161"/>
        <v>3.4630784630784631E-2</v>
      </c>
      <c r="P1309" s="28">
        <f t="shared" si="162"/>
        <v>6.9483046136742638E-2</v>
      </c>
      <c r="Q1309" s="26">
        <f t="shared" si="163"/>
        <v>0.58067259588660369</v>
      </c>
      <c r="R1309" s="29">
        <f t="shared" si="164"/>
        <v>8.3570400000000014</v>
      </c>
      <c r="S1309" s="30">
        <f t="shared" si="165"/>
        <v>8</v>
      </c>
      <c r="T1309" s="30">
        <f t="shared" si="166"/>
        <v>2023</v>
      </c>
      <c r="U1309" s="29" t="str">
        <f t="shared" si="167"/>
        <v>August</v>
      </c>
    </row>
    <row r="1310" spans="1:21" ht="17.399999999999999" x14ac:dyDescent="0.3">
      <c r="A1310" s="21" t="s">
        <v>313</v>
      </c>
      <c r="B1310" s="21" t="s">
        <v>314</v>
      </c>
      <c r="C1310" s="23" t="s">
        <v>3519</v>
      </c>
      <c r="D1310" s="21" t="s">
        <v>3517</v>
      </c>
      <c r="E1310" s="24">
        <v>45170</v>
      </c>
      <c r="F1310" s="24">
        <v>45199</v>
      </c>
      <c r="G1310" s="22" t="s">
        <v>16</v>
      </c>
      <c r="H1310" s="25">
        <v>19047</v>
      </c>
      <c r="I1310" s="25">
        <v>835</v>
      </c>
      <c r="J1310" s="26">
        <v>1525.44</v>
      </c>
      <c r="K1310" s="25">
        <v>97</v>
      </c>
      <c r="L1310" s="21" t="s">
        <v>21</v>
      </c>
      <c r="M1310" s="22" t="s">
        <v>16</v>
      </c>
      <c r="N1310" s="27">
        <f t="shared" si="160"/>
        <v>29</v>
      </c>
      <c r="O1310" s="28">
        <f t="shared" si="161"/>
        <v>4.3838924765054861E-2</v>
      </c>
      <c r="P1310" s="28">
        <f t="shared" si="162"/>
        <v>0.11616766467065869</v>
      </c>
      <c r="Q1310" s="26">
        <f t="shared" si="163"/>
        <v>1.826874251497006</v>
      </c>
      <c r="R1310" s="29">
        <f t="shared" si="164"/>
        <v>15.72618556701031</v>
      </c>
      <c r="S1310" s="30">
        <f t="shared" si="165"/>
        <v>9</v>
      </c>
      <c r="T1310" s="30">
        <f t="shared" si="166"/>
        <v>2023</v>
      </c>
      <c r="U1310" s="29" t="str">
        <f t="shared" si="167"/>
        <v>September</v>
      </c>
    </row>
    <row r="1311" spans="1:21" ht="17.399999999999999" x14ac:dyDescent="0.3">
      <c r="A1311" s="21" t="s">
        <v>720</v>
      </c>
      <c r="B1311" s="22" t="s">
        <v>3886</v>
      </c>
      <c r="C1311" s="23" t="s">
        <v>3518</v>
      </c>
      <c r="D1311" s="22" t="s">
        <v>3545</v>
      </c>
      <c r="E1311" s="24">
        <v>45170</v>
      </c>
      <c r="F1311" s="24">
        <v>45187</v>
      </c>
      <c r="G1311" s="22" t="s">
        <v>31</v>
      </c>
      <c r="H1311" s="25">
        <v>51993</v>
      </c>
      <c r="I1311" s="25">
        <v>1836</v>
      </c>
      <c r="J1311" s="26">
        <v>1372.09</v>
      </c>
      <c r="K1311" s="25">
        <v>323</v>
      </c>
      <c r="L1311" s="21" t="s">
        <v>21</v>
      </c>
      <c r="M1311" s="22" t="s">
        <v>31</v>
      </c>
      <c r="N1311" s="27">
        <f t="shared" si="160"/>
        <v>17</v>
      </c>
      <c r="O1311" s="28">
        <f t="shared" si="161"/>
        <v>3.5312445906179678E-2</v>
      </c>
      <c r="P1311" s="28">
        <f t="shared" si="162"/>
        <v>0.17592592592592593</v>
      </c>
      <c r="Q1311" s="26">
        <f t="shared" si="163"/>
        <v>0.74732570806100218</v>
      </c>
      <c r="R1311" s="29">
        <f t="shared" si="164"/>
        <v>4.2479566563467488</v>
      </c>
      <c r="S1311" s="30">
        <f t="shared" si="165"/>
        <v>9</v>
      </c>
      <c r="T1311" s="30">
        <f t="shared" si="166"/>
        <v>2023</v>
      </c>
      <c r="U1311" s="29" t="str">
        <f t="shared" si="167"/>
        <v>September</v>
      </c>
    </row>
    <row r="1312" spans="1:21" ht="17.399999999999999" x14ac:dyDescent="0.3">
      <c r="A1312" s="21" t="s">
        <v>292</v>
      </c>
      <c r="B1312" s="21" t="s">
        <v>293</v>
      </c>
      <c r="C1312" s="23" t="s">
        <v>3516</v>
      </c>
      <c r="D1312" s="21" t="s">
        <v>3517</v>
      </c>
      <c r="E1312" s="24">
        <v>45170</v>
      </c>
      <c r="F1312" s="24">
        <v>45181</v>
      </c>
      <c r="G1312" s="22" t="s">
        <v>31</v>
      </c>
      <c r="H1312" s="25">
        <v>23299</v>
      </c>
      <c r="I1312" s="25">
        <v>587</v>
      </c>
      <c r="J1312" s="26">
        <v>912.17</v>
      </c>
      <c r="K1312" s="25">
        <v>79</v>
      </c>
      <c r="L1312" s="21" t="s">
        <v>21</v>
      </c>
      <c r="M1312" s="22" t="s">
        <v>31</v>
      </c>
      <c r="N1312" s="27">
        <f t="shared" si="160"/>
        <v>11</v>
      </c>
      <c r="O1312" s="28">
        <f t="shared" si="161"/>
        <v>2.519421434396326E-2</v>
      </c>
      <c r="P1312" s="28">
        <f t="shared" si="162"/>
        <v>0.13458262350936967</v>
      </c>
      <c r="Q1312" s="26">
        <f t="shared" si="163"/>
        <v>1.5539522998296422</v>
      </c>
      <c r="R1312" s="29">
        <f t="shared" si="164"/>
        <v>11.546455696202532</v>
      </c>
      <c r="S1312" s="30">
        <f t="shared" si="165"/>
        <v>9</v>
      </c>
      <c r="T1312" s="30">
        <f t="shared" si="166"/>
        <v>2023</v>
      </c>
      <c r="U1312" s="29" t="str">
        <f t="shared" si="167"/>
        <v>September</v>
      </c>
    </row>
    <row r="1313" spans="1:21" ht="17.399999999999999" x14ac:dyDescent="0.3">
      <c r="A1313" s="21" t="s">
        <v>2921</v>
      </c>
      <c r="B1313" s="21" t="s">
        <v>2922</v>
      </c>
      <c r="C1313" s="23" t="s">
        <v>3516</v>
      </c>
      <c r="D1313" s="21" t="s">
        <v>3517</v>
      </c>
      <c r="E1313" s="24">
        <v>45170</v>
      </c>
      <c r="F1313" s="24">
        <v>45198</v>
      </c>
      <c r="G1313" s="22" t="s">
        <v>16</v>
      </c>
      <c r="H1313" s="25">
        <v>31448</v>
      </c>
      <c r="I1313" s="25">
        <v>854</v>
      </c>
      <c r="J1313" s="26">
        <v>1629.49</v>
      </c>
      <c r="K1313" s="25">
        <v>47</v>
      </c>
      <c r="L1313" s="21" t="s">
        <v>21</v>
      </c>
      <c r="M1313" s="22" t="s">
        <v>16</v>
      </c>
      <c r="N1313" s="27">
        <f t="shared" si="160"/>
        <v>28</v>
      </c>
      <c r="O1313" s="28">
        <f t="shared" si="161"/>
        <v>2.7155939964385652E-2</v>
      </c>
      <c r="P1313" s="28">
        <f t="shared" si="162"/>
        <v>5.5035128805620608E-2</v>
      </c>
      <c r="Q1313" s="26">
        <f t="shared" si="163"/>
        <v>1.9080679156908664</v>
      </c>
      <c r="R1313" s="29">
        <f t="shared" si="164"/>
        <v>34.67</v>
      </c>
      <c r="S1313" s="30">
        <f t="shared" si="165"/>
        <v>9</v>
      </c>
      <c r="T1313" s="30">
        <f t="shared" si="166"/>
        <v>2023</v>
      </c>
      <c r="U1313" s="29" t="str">
        <f t="shared" si="167"/>
        <v>September</v>
      </c>
    </row>
    <row r="1314" spans="1:21" ht="17.399999999999999" x14ac:dyDescent="0.3">
      <c r="A1314" s="21" t="s">
        <v>2220</v>
      </c>
      <c r="B1314" s="21" t="s">
        <v>2221</v>
      </c>
      <c r="C1314" s="23" t="s">
        <v>3515</v>
      </c>
      <c r="D1314" s="21" t="s">
        <v>3521</v>
      </c>
      <c r="E1314" s="24">
        <v>45170</v>
      </c>
      <c r="F1314" s="24">
        <v>45195</v>
      </c>
      <c r="G1314" s="22" t="s">
        <v>31</v>
      </c>
      <c r="H1314" s="25">
        <v>20097</v>
      </c>
      <c r="I1314" s="25">
        <v>897</v>
      </c>
      <c r="J1314" s="26">
        <v>1641</v>
      </c>
      <c r="K1314" s="25">
        <v>162</v>
      </c>
      <c r="L1314" s="21" t="s">
        <v>17</v>
      </c>
      <c r="M1314" s="22" t="s">
        <v>31</v>
      </c>
      <c r="N1314" s="27">
        <f t="shared" si="160"/>
        <v>25</v>
      </c>
      <c r="O1314" s="28">
        <f t="shared" si="161"/>
        <v>4.4633527392148084E-2</v>
      </c>
      <c r="P1314" s="28">
        <f t="shared" si="162"/>
        <v>0.1806020066889632</v>
      </c>
      <c r="Q1314" s="26">
        <f t="shared" si="163"/>
        <v>1.8294314381270902</v>
      </c>
      <c r="R1314" s="29">
        <f t="shared" si="164"/>
        <v>10.12962962962963</v>
      </c>
      <c r="S1314" s="30">
        <f t="shared" si="165"/>
        <v>9</v>
      </c>
      <c r="T1314" s="30">
        <f t="shared" si="166"/>
        <v>2023</v>
      </c>
      <c r="U1314" s="29" t="str">
        <f t="shared" si="167"/>
        <v>September</v>
      </c>
    </row>
    <row r="1315" spans="1:21" ht="17.399999999999999" x14ac:dyDescent="0.3">
      <c r="A1315" s="21" t="s">
        <v>3478</v>
      </c>
      <c r="B1315" s="21" t="s">
        <v>3479</v>
      </c>
      <c r="C1315" s="23" t="s">
        <v>3515</v>
      </c>
      <c r="D1315" s="21" t="s">
        <v>3517</v>
      </c>
      <c r="E1315" s="24">
        <v>45170</v>
      </c>
      <c r="F1315" s="24">
        <v>45178</v>
      </c>
      <c r="G1315" s="22" t="s">
        <v>31</v>
      </c>
      <c r="H1315" s="25">
        <v>81885</v>
      </c>
      <c r="I1315" s="25">
        <v>2060</v>
      </c>
      <c r="J1315" s="26">
        <v>3906.79</v>
      </c>
      <c r="K1315" s="25">
        <v>104</v>
      </c>
      <c r="L1315" s="21" t="s">
        <v>21</v>
      </c>
      <c r="M1315" s="22" t="s">
        <v>31</v>
      </c>
      <c r="N1315" s="27">
        <f t="shared" si="160"/>
        <v>8</v>
      </c>
      <c r="O1315" s="28">
        <f t="shared" si="161"/>
        <v>2.5157232704402517E-2</v>
      </c>
      <c r="P1315" s="28">
        <f t="shared" si="162"/>
        <v>5.0485436893203881E-2</v>
      </c>
      <c r="Q1315" s="26">
        <f t="shared" si="163"/>
        <v>1.8965000000000001</v>
      </c>
      <c r="R1315" s="29">
        <f t="shared" si="164"/>
        <v>37.565288461538458</v>
      </c>
      <c r="S1315" s="30">
        <f t="shared" si="165"/>
        <v>9</v>
      </c>
      <c r="T1315" s="30">
        <f t="shared" si="166"/>
        <v>2023</v>
      </c>
      <c r="U1315" s="29" t="str">
        <f t="shared" si="167"/>
        <v>September</v>
      </c>
    </row>
    <row r="1316" spans="1:21" ht="17.399999999999999" x14ac:dyDescent="0.3">
      <c r="A1316" s="21" t="s">
        <v>2341</v>
      </c>
      <c r="B1316" s="22" t="s">
        <v>3887</v>
      </c>
      <c r="C1316" s="23" t="s">
        <v>3519</v>
      </c>
      <c r="D1316" s="22" t="s">
        <v>3545</v>
      </c>
      <c r="E1316" s="24">
        <v>45171</v>
      </c>
      <c r="F1316" s="24">
        <v>45188</v>
      </c>
      <c r="G1316" s="22" t="s">
        <v>16</v>
      </c>
      <c r="H1316" s="25">
        <v>40986</v>
      </c>
      <c r="I1316" s="25">
        <v>414</v>
      </c>
      <c r="J1316" s="26">
        <v>342.2</v>
      </c>
      <c r="K1316" s="25">
        <v>46</v>
      </c>
      <c r="L1316" s="21" t="s">
        <v>17</v>
      </c>
      <c r="M1316" s="22" t="s">
        <v>16</v>
      </c>
      <c r="N1316" s="27">
        <f t="shared" si="160"/>
        <v>17</v>
      </c>
      <c r="O1316" s="28">
        <f t="shared" si="161"/>
        <v>1.0101010101010102E-2</v>
      </c>
      <c r="P1316" s="28">
        <f t="shared" si="162"/>
        <v>0.1111111111111111</v>
      </c>
      <c r="Q1316" s="26">
        <f t="shared" si="163"/>
        <v>0.82657004830917868</v>
      </c>
      <c r="R1316" s="29">
        <f t="shared" si="164"/>
        <v>7.4391304347826086</v>
      </c>
      <c r="S1316" s="30">
        <f t="shared" si="165"/>
        <v>9</v>
      </c>
      <c r="T1316" s="30">
        <f t="shared" si="166"/>
        <v>2023</v>
      </c>
      <c r="U1316" s="29" t="str">
        <f t="shared" si="167"/>
        <v>September</v>
      </c>
    </row>
    <row r="1317" spans="1:21" ht="17.399999999999999" x14ac:dyDescent="0.3">
      <c r="A1317" s="21" t="s">
        <v>1260</v>
      </c>
      <c r="B1317" s="21" t="s">
        <v>1261</v>
      </c>
      <c r="C1317" s="23" t="s">
        <v>3518</v>
      </c>
      <c r="D1317" s="21" t="s">
        <v>3517</v>
      </c>
      <c r="E1317" s="24">
        <v>45171</v>
      </c>
      <c r="F1317" s="24">
        <v>45177</v>
      </c>
      <c r="G1317" s="22" t="s">
        <v>16</v>
      </c>
      <c r="H1317" s="25">
        <v>26470</v>
      </c>
      <c r="I1317" s="25">
        <v>1032</v>
      </c>
      <c r="J1317" s="26">
        <v>642.97</v>
      </c>
      <c r="K1317" s="25">
        <v>146</v>
      </c>
      <c r="L1317" s="21" t="s">
        <v>17</v>
      </c>
      <c r="M1317" s="22" t="s">
        <v>16</v>
      </c>
      <c r="N1317" s="27">
        <f t="shared" si="160"/>
        <v>6</v>
      </c>
      <c r="O1317" s="28">
        <f t="shared" si="161"/>
        <v>3.8987533056290137E-2</v>
      </c>
      <c r="P1317" s="28">
        <f t="shared" si="162"/>
        <v>0.14147286821705427</v>
      </c>
      <c r="Q1317" s="26">
        <f t="shared" si="163"/>
        <v>0.62303294573643409</v>
      </c>
      <c r="R1317" s="29">
        <f t="shared" si="164"/>
        <v>4.4039041095890417</v>
      </c>
      <c r="S1317" s="30">
        <f t="shared" si="165"/>
        <v>9</v>
      </c>
      <c r="T1317" s="30">
        <f t="shared" si="166"/>
        <v>2023</v>
      </c>
      <c r="U1317" s="29" t="str">
        <f t="shared" si="167"/>
        <v>September</v>
      </c>
    </row>
    <row r="1318" spans="1:21" ht="17.399999999999999" x14ac:dyDescent="0.3">
      <c r="A1318" s="21" t="s">
        <v>1311</v>
      </c>
      <c r="B1318" s="21" t="s">
        <v>1312</v>
      </c>
      <c r="C1318" s="23" t="s">
        <v>3518</v>
      </c>
      <c r="D1318" s="21" t="s">
        <v>3520</v>
      </c>
      <c r="E1318" s="24">
        <v>45171</v>
      </c>
      <c r="F1318" s="24">
        <v>45195</v>
      </c>
      <c r="G1318" s="22" t="s">
        <v>3535</v>
      </c>
      <c r="H1318" s="25">
        <v>39413</v>
      </c>
      <c r="I1318" s="25">
        <v>1119</v>
      </c>
      <c r="J1318" s="26">
        <v>1349.99</v>
      </c>
      <c r="K1318" s="25">
        <v>112</v>
      </c>
      <c r="L1318" s="21" t="s">
        <v>21</v>
      </c>
      <c r="M1318" s="22" t="s">
        <v>3535</v>
      </c>
      <c r="N1318" s="27">
        <f t="shared" si="160"/>
        <v>24</v>
      </c>
      <c r="O1318" s="28">
        <f t="shared" si="161"/>
        <v>2.8391647425976201E-2</v>
      </c>
      <c r="P1318" s="28">
        <f t="shared" si="162"/>
        <v>0.10008936550491511</v>
      </c>
      <c r="Q1318" s="26">
        <f t="shared" si="163"/>
        <v>1.2064253798033959</v>
      </c>
      <c r="R1318" s="29">
        <f t="shared" si="164"/>
        <v>12.053482142857144</v>
      </c>
      <c r="S1318" s="30">
        <f t="shared" si="165"/>
        <v>9</v>
      </c>
      <c r="T1318" s="30">
        <f t="shared" si="166"/>
        <v>2023</v>
      </c>
      <c r="U1318" s="29" t="str">
        <f t="shared" si="167"/>
        <v>September</v>
      </c>
    </row>
    <row r="1319" spans="1:21" ht="17.399999999999999" x14ac:dyDescent="0.3">
      <c r="A1319" s="21" t="s">
        <v>1989</v>
      </c>
      <c r="B1319" s="21" t="s">
        <v>1990</v>
      </c>
      <c r="C1319" s="23" t="s">
        <v>3515</v>
      </c>
      <c r="D1319" s="21" t="s">
        <v>3520</v>
      </c>
      <c r="E1319" s="24">
        <v>45171</v>
      </c>
      <c r="F1319" s="24">
        <v>45195</v>
      </c>
      <c r="G1319" s="22" t="s">
        <v>24</v>
      </c>
      <c r="H1319" s="25">
        <v>5018</v>
      </c>
      <c r="I1319" s="25">
        <v>159</v>
      </c>
      <c r="J1319" s="26">
        <v>203.97</v>
      </c>
      <c r="K1319" s="25">
        <v>8</v>
      </c>
      <c r="L1319" s="21" t="s">
        <v>17</v>
      </c>
      <c r="M1319" s="22" t="s">
        <v>3536</v>
      </c>
      <c r="N1319" s="27">
        <f t="shared" si="160"/>
        <v>24</v>
      </c>
      <c r="O1319" s="28">
        <f t="shared" si="161"/>
        <v>3.1685930649661222E-2</v>
      </c>
      <c r="P1319" s="28">
        <f t="shared" si="162"/>
        <v>5.0314465408805034E-2</v>
      </c>
      <c r="Q1319" s="26">
        <f t="shared" si="163"/>
        <v>1.2828301886792453</v>
      </c>
      <c r="R1319" s="29">
        <f t="shared" si="164"/>
        <v>25.49625</v>
      </c>
      <c r="S1319" s="30">
        <f t="shared" si="165"/>
        <v>9</v>
      </c>
      <c r="T1319" s="30">
        <f t="shared" si="166"/>
        <v>2023</v>
      </c>
      <c r="U1319" s="29" t="str">
        <f t="shared" si="167"/>
        <v>September</v>
      </c>
    </row>
    <row r="1320" spans="1:21" ht="17.399999999999999" x14ac:dyDescent="0.3">
      <c r="A1320" s="21" t="s">
        <v>2940</v>
      </c>
      <c r="B1320" s="21" t="s">
        <v>2941</v>
      </c>
      <c r="C1320" s="23" t="s">
        <v>3515</v>
      </c>
      <c r="D1320" s="21" t="s">
        <v>3520</v>
      </c>
      <c r="E1320" s="24">
        <v>45171</v>
      </c>
      <c r="F1320" s="24">
        <v>45175</v>
      </c>
      <c r="G1320" s="22" t="s">
        <v>11</v>
      </c>
      <c r="H1320" s="25">
        <v>8287</v>
      </c>
      <c r="I1320" s="25">
        <v>187</v>
      </c>
      <c r="J1320" s="26">
        <v>265.76</v>
      </c>
      <c r="K1320" s="25">
        <v>32</v>
      </c>
      <c r="L1320" s="21" t="s">
        <v>17</v>
      </c>
      <c r="M1320" s="22" t="s">
        <v>11</v>
      </c>
      <c r="N1320" s="27">
        <f t="shared" si="160"/>
        <v>4</v>
      </c>
      <c r="O1320" s="28">
        <f t="shared" si="161"/>
        <v>2.2565463979727283E-2</v>
      </c>
      <c r="P1320" s="28">
        <f t="shared" si="162"/>
        <v>0.17112299465240641</v>
      </c>
      <c r="Q1320" s="26">
        <f t="shared" si="163"/>
        <v>1.4211764705882353</v>
      </c>
      <c r="R1320" s="29">
        <f t="shared" si="164"/>
        <v>8.3049999999999997</v>
      </c>
      <c r="S1320" s="30">
        <f t="shared" si="165"/>
        <v>9</v>
      </c>
      <c r="T1320" s="30">
        <f t="shared" si="166"/>
        <v>2023</v>
      </c>
      <c r="U1320" s="29" t="str">
        <f t="shared" si="167"/>
        <v>September</v>
      </c>
    </row>
    <row r="1321" spans="1:21" ht="17.399999999999999" x14ac:dyDescent="0.3">
      <c r="A1321" s="21" t="s">
        <v>1564</v>
      </c>
      <c r="B1321" s="22" t="s">
        <v>3888</v>
      </c>
      <c r="C1321" s="23" t="s">
        <v>3519</v>
      </c>
      <c r="D1321" s="22" t="s">
        <v>3545</v>
      </c>
      <c r="E1321" s="24">
        <v>45172</v>
      </c>
      <c r="F1321" s="24">
        <v>45192</v>
      </c>
      <c r="G1321" s="22" t="s">
        <v>11</v>
      </c>
      <c r="H1321" s="25">
        <v>56479</v>
      </c>
      <c r="I1321" s="25">
        <v>2747</v>
      </c>
      <c r="J1321" s="26">
        <v>2601.7199999999998</v>
      </c>
      <c r="K1321" s="25">
        <v>519</v>
      </c>
      <c r="L1321" s="21" t="s">
        <v>17</v>
      </c>
      <c r="M1321" s="22" t="s">
        <v>11</v>
      </c>
      <c r="N1321" s="27">
        <f t="shared" si="160"/>
        <v>20</v>
      </c>
      <c r="O1321" s="28">
        <f t="shared" si="161"/>
        <v>4.8637546698772995E-2</v>
      </c>
      <c r="P1321" s="28">
        <f t="shared" si="162"/>
        <v>0.18893338187113215</v>
      </c>
      <c r="Q1321" s="26">
        <f t="shared" si="163"/>
        <v>0.94711321441572616</v>
      </c>
      <c r="R1321" s="29">
        <f t="shared" si="164"/>
        <v>5.0129479768786123</v>
      </c>
      <c r="S1321" s="30">
        <f t="shared" si="165"/>
        <v>9</v>
      </c>
      <c r="T1321" s="30">
        <f t="shared" si="166"/>
        <v>2023</v>
      </c>
      <c r="U1321" s="29" t="str">
        <f t="shared" si="167"/>
        <v>September</v>
      </c>
    </row>
    <row r="1322" spans="1:21" ht="17.399999999999999" x14ac:dyDescent="0.3">
      <c r="A1322" s="21" t="s">
        <v>2609</v>
      </c>
      <c r="B1322" s="21" t="s">
        <v>2610</v>
      </c>
      <c r="C1322" s="23" t="s">
        <v>3518</v>
      </c>
      <c r="D1322" s="21" t="s">
        <v>3520</v>
      </c>
      <c r="E1322" s="24">
        <v>45172</v>
      </c>
      <c r="F1322" s="24">
        <v>45187</v>
      </c>
      <c r="G1322" s="22" t="s">
        <v>24</v>
      </c>
      <c r="H1322" s="25">
        <v>46186</v>
      </c>
      <c r="I1322" s="25">
        <v>2222</v>
      </c>
      <c r="J1322" s="26">
        <v>3992.89</v>
      </c>
      <c r="K1322" s="25">
        <v>373</v>
      </c>
      <c r="L1322" s="21" t="s">
        <v>17</v>
      </c>
      <c r="M1322" s="22" t="s">
        <v>3536</v>
      </c>
      <c r="N1322" s="27">
        <f t="shared" si="160"/>
        <v>15</v>
      </c>
      <c r="O1322" s="28">
        <f t="shared" si="161"/>
        <v>4.8109816827610098E-2</v>
      </c>
      <c r="P1322" s="28">
        <f t="shared" si="162"/>
        <v>0.16786678667866786</v>
      </c>
      <c r="Q1322" s="26">
        <f t="shared" si="163"/>
        <v>1.7969801980198019</v>
      </c>
      <c r="R1322" s="29">
        <f t="shared" si="164"/>
        <v>10.704798927613941</v>
      </c>
      <c r="S1322" s="30">
        <f t="shared" si="165"/>
        <v>9</v>
      </c>
      <c r="T1322" s="30">
        <f t="shared" si="166"/>
        <v>2023</v>
      </c>
      <c r="U1322" s="29" t="str">
        <f t="shared" si="167"/>
        <v>September</v>
      </c>
    </row>
    <row r="1323" spans="1:21" ht="17.399999999999999" x14ac:dyDescent="0.3">
      <c r="A1323" s="21" t="s">
        <v>2673</v>
      </c>
      <c r="B1323" s="21" t="s">
        <v>2674</v>
      </c>
      <c r="C1323" s="23" t="s">
        <v>3518</v>
      </c>
      <c r="D1323" s="21" t="s">
        <v>3521</v>
      </c>
      <c r="E1323" s="24">
        <v>45172</v>
      </c>
      <c r="F1323" s="24">
        <v>45187</v>
      </c>
      <c r="G1323" s="22" t="s">
        <v>14</v>
      </c>
      <c r="H1323" s="25">
        <v>28935</v>
      </c>
      <c r="I1323" s="25">
        <v>356</v>
      </c>
      <c r="J1323" s="26">
        <v>570.33000000000004</v>
      </c>
      <c r="K1323" s="25">
        <v>57</v>
      </c>
      <c r="L1323" s="21" t="s">
        <v>17</v>
      </c>
      <c r="M1323" s="22" t="s">
        <v>3537</v>
      </c>
      <c r="N1323" s="27">
        <f t="shared" si="160"/>
        <v>15</v>
      </c>
      <c r="O1323" s="28">
        <f t="shared" si="161"/>
        <v>1.2303438742007948E-2</v>
      </c>
      <c r="P1323" s="28">
        <f t="shared" si="162"/>
        <v>0.1601123595505618</v>
      </c>
      <c r="Q1323" s="26">
        <f t="shared" si="163"/>
        <v>1.602050561797753</v>
      </c>
      <c r="R1323" s="29">
        <f t="shared" si="164"/>
        <v>10.005789473684212</v>
      </c>
      <c r="S1323" s="30">
        <f t="shared" si="165"/>
        <v>9</v>
      </c>
      <c r="T1323" s="30">
        <f t="shared" si="166"/>
        <v>2023</v>
      </c>
      <c r="U1323" s="29" t="str">
        <f t="shared" si="167"/>
        <v>September</v>
      </c>
    </row>
    <row r="1324" spans="1:21" ht="17.399999999999999" x14ac:dyDescent="0.3">
      <c r="A1324" s="21" t="s">
        <v>728</v>
      </c>
      <c r="B1324" s="21" t="s">
        <v>729</v>
      </c>
      <c r="C1324" s="23" t="s">
        <v>3515</v>
      </c>
      <c r="D1324" s="21" t="s">
        <v>3520</v>
      </c>
      <c r="E1324" s="24">
        <v>45172</v>
      </c>
      <c r="F1324" s="24">
        <v>45197</v>
      </c>
      <c r="G1324" s="22" t="s">
        <v>3535</v>
      </c>
      <c r="H1324" s="25">
        <v>88545</v>
      </c>
      <c r="I1324" s="25">
        <v>3207</v>
      </c>
      <c r="J1324" s="26">
        <v>3762.35</v>
      </c>
      <c r="K1324" s="25">
        <v>0</v>
      </c>
      <c r="L1324" s="21" t="s">
        <v>21</v>
      </c>
      <c r="M1324" s="22" t="s">
        <v>3535</v>
      </c>
      <c r="N1324" s="27">
        <f t="shared" si="160"/>
        <v>25</v>
      </c>
      <c r="O1324" s="28">
        <f t="shared" si="161"/>
        <v>3.6218871760121972E-2</v>
      </c>
      <c r="P1324" s="28">
        <f t="shared" si="162"/>
        <v>0</v>
      </c>
      <c r="Q1324" s="26">
        <f t="shared" si="163"/>
        <v>1.1731680698472091</v>
      </c>
      <c r="R1324" s="29" t="str">
        <f t="shared" si="164"/>
        <v>0</v>
      </c>
      <c r="S1324" s="30">
        <f t="shared" si="165"/>
        <v>9</v>
      </c>
      <c r="T1324" s="30">
        <f t="shared" si="166"/>
        <v>2023</v>
      </c>
      <c r="U1324" s="29" t="str">
        <f t="shared" si="167"/>
        <v>September</v>
      </c>
    </row>
    <row r="1325" spans="1:21" ht="17.399999999999999" x14ac:dyDescent="0.3">
      <c r="A1325" s="21" t="s">
        <v>1090</v>
      </c>
      <c r="B1325" s="21" t="s">
        <v>1091</v>
      </c>
      <c r="C1325" s="23" t="s">
        <v>3515</v>
      </c>
      <c r="D1325" s="21" t="s">
        <v>3520</v>
      </c>
      <c r="E1325" s="24">
        <v>45172</v>
      </c>
      <c r="F1325" s="24">
        <v>45181</v>
      </c>
      <c r="G1325" s="22" t="s">
        <v>16</v>
      </c>
      <c r="H1325" s="25">
        <v>47959</v>
      </c>
      <c r="I1325" s="25">
        <v>1413</v>
      </c>
      <c r="J1325" s="26">
        <v>1596.37</v>
      </c>
      <c r="K1325" s="25">
        <v>117</v>
      </c>
      <c r="L1325" s="21" t="s">
        <v>21</v>
      </c>
      <c r="M1325" s="22" t="s">
        <v>16</v>
      </c>
      <c r="N1325" s="27">
        <f t="shared" si="160"/>
        <v>9</v>
      </c>
      <c r="O1325" s="28">
        <f t="shared" si="161"/>
        <v>2.9462666027231594E-2</v>
      </c>
      <c r="P1325" s="28">
        <f t="shared" si="162"/>
        <v>8.2802547770700632E-2</v>
      </c>
      <c r="Q1325" s="26">
        <f t="shared" si="163"/>
        <v>1.1297735314932766</v>
      </c>
      <c r="R1325" s="29">
        <f t="shared" si="164"/>
        <v>13.644188034188033</v>
      </c>
      <c r="S1325" s="30">
        <f t="shared" si="165"/>
        <v>9</v>
      </c>
      <c r="T1325" s="30">
        <f t="shared" si="166"/>
        <v>2023</v>
      </c>
      <c r="U1325" s="29" t="str">
        <f t="shared" si="167"/>
        <v>September</v>
      </c>
    </row>
    <row r="1326" spans="1:21" ht="17.399999999999999" x14ac:dyDescent="0.3">
      <c r="A1326" s="21" t="s">
        <v>648</v>
      </c>
      <c r="B1326" s="21" t="s">
        <v>649</v>
      </c>
      <c r="C1326" s="23" t="s">
        <v>3518</v>
      </c>
      <c r="D1326" s="21" t="s">
        <v>3520</v>
      </c>
      <c r="E1326" s="24">
        <v>45173</v>
      </c>
      <c r="F1326" s="24">
        <v>45189</v>
      </c>
      <c r="G1326" s="22" t="s">
        <v>11</v>
      </c>
      <c r="H1326" s="25">
        <v>44525</v>
      </c>
      <c r="I1326" s="25">
        <v>1525</v>
      </c>
      <c r="J1326" s="26">
        <v>2883.82</v>
      </c>
      <c r="K1326" s="25">
        <v>127</v>
      </c>
      <c r="L1326" s="21" t="s">
        <v>21</v>
      </c>
      <c r="M1326" s="22" t="s">
        <v>11</v>
      </c>
      <c r="N1326" s="27">
        <f t="shared" si="160"/>
        <v>16</v>
      </c>
      <c r="O1326" s="28">
        <f t="shared" si="161"/>
        <v>3.4250421111734979E-2</v>
      </c>
      <c r="P1326" s="28">
        <f t="shared" si="162"/>
        <v>8.3278688524590166E-2</v>
      </c>
      <c r="Q1326" s="26">
        <f t="shared" si="163"/>
        <v>1.8910295081967214</v>
      </c>
      <c r="R1326" s="29">
        <f t="shared" si="164"/>
        <v>22.707244094488189</v>
      </c>
      <c r="S1326" s="30">
        <f t="shared" si="165"/>
        <v>9</v>
      </c>
      <c r="T1326" s="30">
        <f t="shared" si="166"/>
        <v>2023</v>
      </c>
      <c r="U1326" s="29" t="str">
        <f t="shared" si="167"/>
        <v>September</v>
      </c>
    </row>
    <row r="1327" spans="1:21" ht="17.399999999999999" x14ac:dyDescent="0.3">
      <c r="A1327" s="21" t="s">
        <v>2709</v>
      </c>
      <c r="B1327" s="21" t="s">
        <v>2710</v>
      </c>
      <c r="C1327" s="23" t="s">
        <v>3518</v>
      </c>
      <c r="D1327" s="21" t="s">
        <v>3521</v>
      </c>
      <c r="E1327" s="24">
        <v>45173</v>
      </c>
      <c r="F1327" s="24">
        <v>45181</v>
      </c>
      <c r="G1327" s="22" t="s">
        <v>24</v>
      </c>
      <c r="H1327" s="25">
        <v>95934</v>
      </c>
      <c r="I1327" s="25">
        <v>2614</v>
      </c>
      <c r="J1327" s="26">
        <v>4523.49</v>
      </c>
      <c r="K1327" s="25">
        <v>450</v>
      </c>
      <c r="L1327" s="21" t="s">
        <v>21</v>
      </c>
      <c r="M1327" s="22" t="s">
        <v>3536</v>
      </c>
      <c r="N1327" s="27">
        <f t="shared" si="160"/>
        <v>8</v>
      </c>
      <c r="O1327" s="28">
        <f t="shared" si="161"/>
        <v>2.7247899597640044E-2</v>
      </c>
      <c r="P1327" s="28">
        <f t="shared" si="162"/>
        <v>0.17214996174445293</v>
      </c>
      <c r="Q1327" s="26">
        <f t="shared" si="163"/>
        <v>1.7304858454475898</v>
      </c>
      <c r="R1327" s="29">
        <f t="shared" si="164"/>
        <v>10.052199999999999</v>
      </c>
      <c r="S1327" s="30">
        <f t="shared" si="165"/>
        <v>9</v>
      </c>
      <c r="T1327" s="30">
        <f t="shared" si="166"/>
        <v>2023</v>
      </c>
      <c r="U1327" s="29" t="str">
        <f t="shared" si="167"/>
        <v>September</v>
      </c>
    </row>
    <row r="1328" spans="1:21" ht="17.399999999999999" x14ac:dyDescent="0.3">
      <c r="A1328" s="21" t="s">
        <v>769</v>
      </c>
      <c r="B1328" s="21" t="s">
        <v>770</v>
      </c>
      <c r="C1328" s="23" t="s">
        <v>3516</v>
      </c>
      <c r="D1328" s="21" t="s">
        <v>3520</v>
      </c>
      <c r="E1328" s="24">
        <v>45173</v>
      </c>
      <c r="F1328" s="24">
        <v>45177</v>
      </c>
      <c r="G1328" s="22" t="s">
        <v>3535</v>
      </c>
      <c r="H1328" s="25">
        <v>32024</v>
      </c>
      <c r="I1328" s="25">
        <v>574</v>
      </c>
      <c r="J1328" s="26">
        <v>665.89</v>
      </c>
      <c r="K1328" s="25">
        <v>99</v>
      </c>
      <c r="L1328" s="21" t="s">
        <v>21</v>
      </c>
      <c r="M1328" s="22" t="s">
        <v>3535</v>
      </c>
      <c r="N1328" s="27">
        <f t="shared" si="160"/>
        <v>4</v>
      </c>
      <c r="O1328" s="28">
        <f t="shared" si="161"/>
        <v>1.7924056957282039E-2</v>
      </c>
      <c r="P1328" s="28">
        <f t="shared" si="162"/>
        <v>0.17247386759581881</v>
      </c>
      <c r="Q1328" s="26">
        <f t="shared" si="163"/>
        <v>1.1600871080139372</v>
      </c>
      <c r="R1328" s="29">
        <f t="shared" si="164"/>
        <v>6.7261616161616162</v>
      </c>
      <c r="S1328" s="30">
        <f t="shared" si="165"/>
        <v>9</v>
      </c>
      <c r="T1328" s="30">
        <f t="shared" si="166"/>
        <v>2023</v>
      </c>
      <c r="U1328" s="29" t="str">
        <f t="shared" si="167"/>
        <v>September</v>
      </c>
    </row>
    <row r="1329" spans="1:21" ht="17.399999999999999" x14ac:dyDescent="0.3">
      <c r="A1329" s="21" t="s">
        <v>942</v>
      </c>
      <c r="B1329" s="21" t="s">
        <v>943</v>
      </c>
      <c r="C1329" s="23" t="s">
        <v>3515</v>
      </c>
      <c r="D1329" s="21" t="s">
        <v>3520</v>
      </c>
      <c r="E1329" s="24">
        <v>45173</v>
      </c>
      <c r="F1329" s="24">
        <v>45182</v>
      </c>
      <c r="G1329" s="22" t="s">
        <v>16</v>
      </c>
      <c r="H1329" s="25">
        <v>17364</v>
      </c>
      <c r="I1329" s="25">
        <v>640</v>
      </c>
      <c r="J1329" s="26">
        <v>549.58000000000004</v>
      </c>
      <c r="K1329" s="25">
        <v>124</v>
      </c>
      <c r="L1329" s="21" t="s">
        <v>21</v>
      </c>
      <c r="M1329" s="22" t="s">
        <v>16</v>
      </c>
      <c r="N1329" s="27">
        <f t="shared" si="160"/>
        <v>9</v>
      </c>
      <c r="O1329" s="28">
        <f t="shared" si="161"/>
        <v>3.6857866850956003E-2</v>
      </c>
      <c r="P1329" s="28">
        <f t="shared" si="162"/>
        <v>0.19375000000000001</v>
      </c>
      <c r="Q1329" s="26">
        <f t="shared" si="163"/>
        <v>0.85871875000000009</v>
      </c>
      <c r="R1329" s="29">
        <f t="shared" si="164"/>
        <v>4.4320967741935489</v>
      </c>
      <c r="S1329" s="30">
        <f t="shared" si="165"/>
        <v>9</v>
      </c>
      <c r="T1329" s="30">
        <f t="shared" si="166"/>
        <v>2023</v>
      </c>
      <c r="U1329" s="29" t="str">
        <f t="shared" si="167"/>
        <v>September</v>
      </c>
    </row>
    <row r="1330" spans="1:21" ht="17.399999999999999" x14ac:dyDescent="0.3">
      <c r="A1330" s="21" t="s">
        <v>2687</v>
      </c>
      <c r="B1330" s="21" t="s">
        <v>2688</v>
      </c>
      <c r="C1330" s="23" t="s">
        <v>3515</v>
      </c>
      <c r="D1330" s="21" t="s">
        <v>3520</v>
      </c>
      <c r="E1330" s="24">
        <v>45173</v>
      </c>
      <c r="F1330" s="24">
        <v>45174</v>
      </c>
      <c r="G1330" s="22" t="s">
        <v>11</v>
      </c>
      <c r="H1330" s="25">
        <v>83310</v>
      </c>
      <c r="I1330" s="25">
        <v>3839</v>
      </c>
      <c r="J1330" s="26">
        <v>4670.58</v>
      </c>
      <c r="K1330" s="25">
        <v>414</v>
      </c>
      <c r="L1330" s="21" t="s">
        <v>21</v>
      </c>
      <c r="M1330" s="22" t="s">
        <v>11</v>
      </c>
      <c r="N1330" s="27">
        <f t="shared" si="160"/>
        <v>1</v>
      </c>
      <c r="O1330" s="28">
        <f t="shared" si="161"/>
        <v>4.608090265274277E-2</v>
      </c>
      <c r="P1330" s="28">
        <f t="shared" si="162"/>
        <v>0.10784058348528262</v>
      </c>
      <c r="Q1330" s="26">
        <f t="shared" si="163"/>
        <v>1.2166137014847616</v>
      </c>
      <c r="R1330" s="29">
        <f t="shared" si="164"/>
        <v>11.281594202898551</v>
      </c>
      <c r="S1330" s="30">
        <f t="shared" si="165"/>
        <v>9</v>
      </c>
      <c r="T1330" s="30">
        <f t="shared" si="166"/>
        <v>2023</v>
      </c>
      <c r="U1330" s="29" t="str">
        <f t="shared" si="167"/>
        <v>September</v>
      </c>
    </row>
    <row r="1331" spans="1:21" ht="17.399999999999999" x14ac:dyDescent="0.3">
      <c r="A1331" s="21" t="s">
        <v>430</v>
      </c>
      <c r="B1331" s="21" t="s">
        <v>431</v>
      </c>
      <c r="C1331" s="23" t="s">
        <v>3519</v>
      </c>
      <c r="D1331" s="21" t="s">
        <v>3520</v>
      </c>
      <c r="E1331" s="24">
        <v>45174</v>
      </c>
      <c r="F1331" s="24">
        <v>45180</v>
      </c>
      <c r="G1331" s="22" t="s">
        <v>3535</v>
      </c>
      <c r="H1331" s="25">
        <v>35698</v>
      </c>
      <c r="I1331" s="25">
        <v>1315</v>
      </c>
      <c r="J1331" s="26">
        <v>1342.08</v>
      </c>
      <c r="K1331" s="25">
        <v>262</v>
      </c>
      <c r="L1331" s="21" t="s">
        <v>17</v>
      </c>
      <c r="M1331" s="22" t="s">
        <v>3535</v>
      </c>
      <c r="N1331" s="27">
        <f t="shared" si="160"/>
        <v>6</v>
      </c>
      <c r="O1331" s="28">
        <f t="shared" si="161"/>
        <v>3.6836797579696344E-2</v>
      </c>
      <c r="P1331" s="28">
        <f t="shared" si="162"/>
        <v>0.19923954372623573</v>
      </c>
      <c r="Q1331" s="26">
        <f t="shared" si="163"/>
        <v>1.0205931558935362</v>
      </c>
      <c r="R1331" s="29">
        <f t="shared" si="164"/>
        <v>5.1224427480916024</v>
      </c>
      <c r="S1331" s="30">
        <f t="shared" si="165"/>
        <v>9</v>
      </c>
      <c r="T1331" s="30">
        <f t="shared" si="166"/>
        <v>2023</v>
      </c>
      <c r="U1331" s="29" t="str">
        <f t="shared" si="167"/>
        <v>September</v>
      </c>
    </row>
    <row r="1332" spans="1:21" ht="17.399999999999999" x14ac:dyDescent="0.3">
      <c r="A1332" s="21" t="s">
        <v>539</v>
      </c>
      <c r="B1332" s="22" t="s">
        <v>3889</v>
      </c>
      <c r="C1332" s="23" t="s">
        <v>3518</v>
      </c>
      <c r="D1332" s="22" t="s">
        <v>3545</v>
      </c>
      <c r="E1332" s="24">
        <v>45174</v>
      </c>
      <c r="F1332" s="24">
        <v>45188</v>
      </c>
      <c r="G1332" s="22" t="s">
        <v>3535</v>
      </c>
      <c r="H1332" s="25">
        <v>6539</v>
      </c>
      <c r="I1332" s="25">
        <v>109</v>
      </c>
      <c r="J1332" s="26">
        <v>156.44</v>
      </c>
      <c r="K1332" s="25">
        <v>15</v>
      </c>
      <c r="L1332" s="21" t="s">
        <v>17</v>
      </c>
      <c r="M1332" s="22" t="s">
        <v>3535</v>
      </c>
      <c r="N1332" s="27">
        <f t="shared" si="160"/>
        <v>14</v>
      </c>
      <c r="O1332" s="28">
        <f t="shared" si="161"/>
        <v>1.6669215476372533E-2</v>
      </c>
      <c r="P1332" s="28">
        <f t="shared" si="162"/>
        <v>0.13761467889908258</v>
      </c>
      <c r="Q1332" s="26">
        <f t="shared" si="163"/>
        <v>1.4352293577981652</v>
      </c>
      <c r="R1332" s="29">
        <f t="shared" si="164"/>
        <v>10.429333333333334</v>
      </c>
      <c r="S1332" s="30">
        <f t="shared" si="165"/>
        <v>9</v>
      </c>
      <c r="T1332" s="30">
        <f t="shared" si="166"/>
        <v>2023</v>
      </c>
      <c r="U1332" s="29" t="str">
        <f t="shared" si="167"/>
        <v>September</v>
      </c>
    </row>
    <row r="1333" spans="1:21" ht="17.399999999999999" x14ac:dyDescent="0.3">
      <c r="A1333" s="21" t="s">
        <v>619</v>
      </c>
      <c r="B1333" s="21" t="s">
        <v>620</v>
      </c>
      <c r="C1333" s="23" t="s">
        <v>3516</v>
      </c>
      <c r="D1333" s="21" t="s">
        <v>3520</v>
      </c>
      <c r="E1333" s="24">
        <v>45174</v>
      </c>
      <c r="F1333" s="24">
        <v>45199</v>
      </c>
      <c r="G1333" s="22" t="s">
        <v>11</v>
      </c>
      <c r="H1333" s="25">
        <v>49404</v>
      </c>
      <c r="I1333" s="25">
        <v>1734</v>
      </c>
      <c r="J1333" s="26">
        <v>1427.52</v>
      </c>
      <c r="K1333" s="25">
        <v>216</v>
      </c>
      <c r="L1333" s="21" t="s">
        <v>21</v>
      </c>
      <c r="M1333" s="22" t="s">
        <v>11</v>
      </c>
      <c r="N1333" s="27">
        <f t="shared" si="160"/>
        <v>25</v>
      </c>
      <c r="O1333" s="28">
        <f t="shared" si="161"/>
        <v>3.5098372601408794E-2</v>
      </c>
      <c r="P1333" s="28">
        <f t="shared" si="162"/>
        <v>0.1245674740484429</v>
      </c>
      <c r="Q1333" s="26">
        <f t="shared" si="163"/>
        <v>0.82325259515570937</v>
      </c>
      <c r="R1333" s="29">
        <f t="shared" si="164"/>
        <v>6.608888888888889</v>
      </c>
      <c r="S1333" s="30">
        <f t="shared" si="165"/>
        <v>9</v>
      </c>
      <c r="T1333" s="30">
        <f t="shared" si="166"/>
        <v>2023</v>
      </c>
      <c r="U1333" s="29" t="str">
        <f t="shared" si="167"/>
        <v>September</v>
      </c>
    </row>
    <row r="1334" spans="1:21" ht="17.399999999999999" x14ac:dyDescent="0.3">
      <c r="A1334" s="21" t="s">
        <v>2056</v>
      </c>
      <c r="B1334" s="21" t="s">
        <v>2057</v>
      </c>
      <c r="C1334" s="23" t="s">
        <v>3516</v>
      </c>
      <c r="D1334" s="21" t="s">
        <v>3517</v>
      </c>
      <c r="E1334" s="24">
        <v>45174</v>
      </c>
      <c r="F1334" s="24">
        <v>45177</v>
      </c>
      <c r="G1334" s="22" t="s">
        <v>24</v>
      </c>
      <c r="H1334" s="25">
        <v>24710</v>
      </c>
      <c r="I1334" s="25">
        <v>546</v>
      </c>
      <c r="J1334" s="26">
        <v>308.48</v>
      </c>
      <c r="K1334" s="25">
        <v>40</v>
      </c>
      <c r="L1334" s="21" t="s">
        <v>21</v>
      </c>
      <c r="M1334" s="22" t="s">
        <v>3536</v>
      </c>
      <c r="N1334" s="27">
        <f t="shared" si="160"/>
        <v>3</v>
      </c>
      <c r="O1334" s="28">
        <f t="shared" si="161"/>
        <v>2.2096317280453259E-2</v>
      </c>
      <c r="P1334" s="28">
        <f t="shared" si="162"/>
        <v>7.3260073260073263E-2</v>
      </c>
      <c r="Q1334" s="26">
        <f t="shared" si="163"/>
        <v>0.564981684981685</v>
      </c>
      <c r="R1334" s="29">
        <f t="shared" si="164"/>
        <v>7.7120000000000006</v>
      </c>
      <c r="S1334" s="30">
        <f t="shared" si="165"/>
        <v>9</v>
      </c>
      <c r="T1334" s="30">
        <f t="shared" si="166"/>
        <v>2023</v>
      </c>
      <c r="U1334" s="29" t="str">
        <f t="shared" si="167"/>
        <v>September</v>
      </c>
    </row>
    <row r="1335" spans="1:21" ht="17.399999999999999" x14ac:dyDescent="0.3">
      <c r="A1335" s="21" t="s">
        <v>2732</v>
      </c>
      <c r="B1335" s="21" t="s">
        <v>2733</v>
      </c>
      <c r="C1335" s="23" t="s">
        <v>3516</v>
      </c>
      <c r="D1335" s="21" t="s">
        <v>3521</v>
      </c>
      <c r="E1335" s="24">
        <v>45174</v>
      </c>
      <c r="F1335" s="24">
        <v>45202</v>
      </c>
      <c r="G1335" s="22" t="s">
        <v>14</v>
      </c>
      <c r="H1335" s="25">
        <v>79945</v>
      </c>
      <c r="I1335" s="25">
        <v>1745</v>
      </c>
      <c r="J1335" s="26">
        <v>2737.9</v>
      </c>
      <c r="K1335" s="25">
        <v>95</v>
      </c>
      <c r="L1335" s="21" t="s">
        <v>21</v>
      </c>
      <c r="M1335" s="22" t="s">
        <v>3537</v>
      </c>
      <c r="N1335" s="27">
        <f t="shared" si="160"/>
        <v>28</v>
      </c>
      <c r="O1335" s="28">
        <f t="shared" si="161"/>
        <v>2.1827506410657328E-2</v>
      </c>
      <c r="P1335" s="28">
        <f t="shared" si="162"/>
        <v>5.4441260744985676E-2</v>
      </c>
      <c r="Q1335" s="26">
        <f t="shared" si="163"/>
        <v>1.5689971346704872</v>
      </c>
      <c r="R1335" s="29">
        <f t="shared" si="164"/>
        <v>28.82</v>
      </c>
      <c r="S1335" s="30">
        <f t="shared" si="165"/>
        <v>9</v>
      </c>
      <c r="T1335" s="30">
        <f t="shared" si="166"/>
        <v>2023</v>
      </c>
      <c r="U1335" s="29" t="str">
        <f t="shared" si="167"/>
        <v>September</v>
      </c>
    </row>
    <row r="1336" spans="1:21" ht="17.399999999999999" x14ac:dyDescent="0.3">
      <c r="A1336" s="21" t="s">
        <v>3179</v>
      </c>
      <c r="B1336" s="21" t="s">
        <v>3180</v>
      </c>
      <c r="C1336" s="23" t="s">
        <v>3516</v>
      </c>
      <c r="D1336" s="21" t="s">
        <v>3520</v>
      </c>
      <c r="E1336" s="24">
        <v>45174</v>
      </c>
      <c r="F1336" s="24">
        <v>45181</v>
      </c>
      <c r="G1336" s="22" t="s">
        <v>24</v>
      </c>
      <c r="H1336" s="25">
        <v>32598</v>
      </c>
      <c r="I1336" s="25">
        <v>1613</v>
      </c>
      <c r="J1336" s="26">
        <v>832.03</v>
      </c>
      <c r="K1336" s="25">
        <v>318</v>
      </c>
      <c r="L1336" s="21" t="s">
        <v>21</v>
      </c>
      <c r="M1336" s="22" t="s">
        <v>3536</v>
      </c>
      <c r="N1336" s="27">
        <f t="shared" si="160"/>
        <v>7</v>
      </c>
      <c r="O1336" s="28">
        <f t="shared" si="161"/>
        <v>4.9481563286091171E-2</v>
      </c>
      <c r="P1336" s="28">
        <f t="shared" si="162"/>
        <v>0.19714817110973343</v>
      </c>
      <c r="Q1336" s="26">
        <f t="shared" si="163"/>
        <v>0.51582765034097955</v>
      </c>
      <c r="R1336" s="29">
        <f t="shared" si="164"/>
        <v>2.6164465408805029</v>
      </c>
      <c r="S1336" s="30">
        <f t="shared" si="165"/>
        <v>9</v>
      </c>
      <c r="T1336" s="30">
        <f t="shared" si="166"/>
        <v>2023</v>
      </c>
      <c r="U1336" s="29" t="str">
        <f t="shared" si="167"/>
        <v>September</v>
      </c>
    </row>
    <row r="1337" spans="1:21" ht="17.399999999999999" x14ac:dyDescent="0.3">
      <c r="A1337" s="21" t="s">
        <v>2734</v>
      </c>
      <c r="B1337" s="21" t="s">
        <v>2735</v>
      </c>
      <c r="C1337" s="23" t="s">
        <v>3515</v>
      </c>
      <c r="D1337" s="21" t="s">
        <v>3517</v>
      </c>
      <c r="E1337" s="24">
        <v>45174</v>
      </c>
      <c r="F1337" s="24">
        <v>45176</v>
      </c>
      <c r="G1337" s="22" t="s">
        <v>14</v>
      </c>
      <c r="H1337" s="25">
        <v>83050</v>
      </c>
      <c r="I1337" s="25">
        <v>2803</v>
      </c>
      <c r="J1337" s="26">
        <v>2213.64</v>
      </c>
      <c r="K1337" s="25">
        <v>144</v>
      </c>
      <c r="L1337" s="21" t="s">
        <v>21</v>
      </c>
      <c r="M1337" s="22" t="s">
        <v>3537</v>
      </c>
      <c r="N1337" s="27">
        <f t="shared" si="160"/>
        <v>2</v>
      </c>
      <c r="O1337" s="28">
        <f t="shared" si="161"/>
        <v>3.3750752558699582E-2</v>
      </c>
      <c r="P1337" s="28">
        <f t="shared" si="162"/>
        <v>5.1373528362468786E-2</v>
      </c>
      <c r="Q1337" s="26">
        <f t="shared" si="163"/>
        <v>0.78973956475205132</v>
      </c>
      <c r="R1337" s="29">
        <f t="shared" si="164"/>
        <v>15.372499999999999</v>
      </c>
      <c r="S1337" s="30">
        <f t="shared" si="165"/>
        <v>9</v>
      </c>
      <c r="T1337" s="30">
        <f t="shared" si="166"/>
        <v>2023</v>
      </c>
      <c r="U1337" s="29" t="str">
        <f t="shared" si="167"/>
        <v>September</v>
      </c>
    </row>
    <row r="1338" spans="1:21" ht="17.399999999999999" x14ac:dyDescent="0.3">
      <c r="A1338" s="21" t="s">
        <v>104</v>
      </c>
      <c r="B1338" s="22" t="s">
        <v>3890</v>
      </c>
      <c r="C1338" s="23" t="s">
        <v>3519</v>
      </c>
      <c r="D1338" s="22" t="s">
        <v>3545</v>
      </c>
      <c r="E1338" s="24">
        <v>45175</v>
      </c>
      <c r="F1338" s="24">
        <v>45181</v>
      </c>
      <c r="G1338" s="22" t="s">
        <v>14</v>
      </c>
      <c r="H1338" s="25">
        <v>24483</v>
      </c>
      <c r="I1338" s="25">
        <v>883</v>
      </c>
      <c r="J1338" s="26">
        <v>640.98</v>
      </c>
      <c r="K1338" s="25">
        <v>0</v>
      </c>
      <c r="L1338" s="21" t="s">
        <v>17</v>
      </c>
      <c r="M1338" s="22" t="s">
        <v>3537</v>
      </c>
      <c r="N1338" s="27">
        <f t="shared" si="160"/>
        <v>6</v>
      </c>
      <c r="O1338" s="28">
        <f t="shared" si="161"/>
        <v>3.6065841604378548E-2</v>
      </c>
      <c r="P1338" s="28">
        <f t="shared" si="162"/>
        <v>0</v>
      </c>
      <c r="Q1338" s="26">
        <f t="shared" si="163"/>
        <v>0.72591166477916191</v>
      </c>
      <c r="R1338" s="29" t="str">
        <f t="shared" si="164"/>
        <v>0</v>
      </c>
      <c r="S1338" s="30">
        <f t="shared" si="165"/>
        <v>9</v>
      </c>
      <c r="T1338" s="30">
        <f t="shared" si="166"/>
        <v>2023</v>
      </c>
      <c r="U1338" s="29" t="str">
        <f t="shared" si="167"/>
        <v>September</v>
      </c>
    </row>
    <row r="1339" spans="1:21" ht="17.399999999999999" x14ac:dyDescent="0.3">
      <c r="A1339" s="21" t="s">
        <v>1963</v>
      </c>
      <c r="B1339" s="22" t="s">
        <v>3891</v>
      </c>
      <c r="C1339" s="23" t="s">
        <v>3518</v>
      </c>
      <c r="D1339" s="22" t="s">
        <v>3545</v>
      </c>
      <c r="E1339" s="24">
        <v>45175</v>
      </c>
      <c r="F1339" s="24">
        <v>45196</v>
      </c>
      <c r="G1339" s="22" t="s">
        <v>11</v>
      </c>
      <c r="H1339" s="25">
        <v>94709</v>
      </c>
      <c r="I1339" s="25">
        <v>1064</v>
      </c>
      <c r="J1339" s="26">
        <v>1533.88</v>
      </c>
      <c r="K1339" s="25">
        <v>159</v>
      </c>
      <c r="L1339" s="21" t="s">
        <v>21</v>
      </c>
      <c r="M1339" s="22" t="s">
        <v>11</v>
      </c>
      <c r="N1339" s="27">
        <f t="shared" si="160"/>
        <v>21</v>
      </c>
      <c r="O1339" s="28">
        <f t="shared" si="161"/>
        <v>1.1234412780200403E-2</v>
      </c>
      <c r="P1339" s="28">
        <f t="shared" si="162"/>
        <v>0.14943609022556392</v>
      </c>
      <c r="Q1339" s="26">
        <f t="shared" si="163"/>
        <v>1.4416165413533835</v>
      </c>
      <c r="R1339" s="29">
        <f t="shared" si="164"/>
        <v>9.6470440251572338</v>
      </c>
      <c r="S1339" s="30">
        <f t="shared" si="165"/>
        <v>9</v>
      </c>
      <c r="T1339" s="30">
        <f t="shared" si="166"/>
        <v>2023</v>
      </c>
      <c r="U1339" s="29" t="str">
        <f t="shared" si="167"/>
        <v>September</v>
      </c>
    </row>
    <row r="1340" spans="1:21" ht="17.399999999999999" x14ac:dyDescent="0.3">
      <c r="A1340" s="21" t="s">
        <v>317</v>
      </c>
      <c r="B1340" s="21" t="s">
        <v>318</v>
      </c>
      <c r="C1340" s="23" t="s">
        <v>3516</v>
      </c>
      <c r="D1340" s="21" t="s">
        <v>3517</v>
      </c>
      <c r="E1340" s="24">
        <v>45175</v>
      </c>
      <c r="F1340" s="24">
        <v>45182</v>
      </c>
      <c r="G1340" s="22" t="s">
        <v>16</v>
      </c>
      <c r="H1340" s="25">
        <v>76766</v>
      </c>
      <c r="I1340" s="25">
        <v>3266</v>
      </c>
      <c r="J1340" s="26">
        <v>2615.5100000000002</v>
      </c>
      <c r="K1340" s="25">
        <v>383</v>
      </c>
      <c r="L1340" s="21" t="s">
        <v>21</v>
      </c>
      <c r="M1340" s="22" t="s">
        <v>16</v>
      </c>
      <c r="N1340" s="27">
        <f t="shared" si="160"/>
        <v>7</v>
      </c>
      <c r="O1340" s="28">
        <f t="shared" si="161"/>
        <v>4.2544876638094989E-2</v>
      </c>
      <c r="P1340" s="28">
        <f t="shared" si="162"/>
        <v>0.11726883037354562</v>
      </c>
      <c r="Q1340" s="26">
        <f t="shared" si="163"/>
        <v>0.80082976117575022</v>
      </c>
      <c r="R1340" s="29">
        <f t="shared" si="164"/>
        <v>6.8290078328981725</v>
      </c>
      <c r="S1340" s="30">
        <f t="shared" si="165"/>
        <v>9</v>
      </c>
      <c r="T1340" s="30">
        <f t="shared" si="166"/>
        <v>2023</v>
      </c>
      <c r="U1340" s="29" t="str">
        <f t="shared" si="167"/>
        <v>September</v>
      </c>
    </row>
    <row r="1341" spans="1:21" ht="17.399999999999999" x14ac:dyDescent="0.3">
      <c r="A1341" s="21" t="s">
        <v>2156</v>
      </c>
      <c r="B1341" s="21" t="s">
        <v>2157</v>
      </c>
      <c r="C1341" s="23" t="s">
        <v>3516</v>
      </c>
      <c r="D1341" s="21" t="s">
        <v>3521</v>
      </c>
      <c r="E1341" s="24">
        <v>45175</v>
      </c>
      <c r="F1341" s="24">
        <v>45196</v>
      </c>
      <c r="G1341" s="22" t="s">
        <v>14</v>
      </c>
      <c r="H1341" s="25">
        <v>48523</v>
      </c>
      <c r="I1341" s="25">
        <v>1259</v>
      </c>
      <c r="J1341" s="26">
        <v>1310.07</v>
      </c>
      <c r="K1341" s="25">
        <v>247</v>
      </c>
      <c r="L1341" s="21" t="s">
        <v>21</v>
      </c>
      <c r="M1341" s="22" t="s">
        <v>3537</v>
      </c>
      <c r="N1341" s="27">
        <f t="shared" si="160"/>
        <v>21</v>
      </c>
      <c r="O1341" s="28">
        <f t="shared" si="161"/>
        <v>2.5946458380561796E-2</v>
      </c>
      <c r="P1341" s="28">
        <f t="shared" si="162"/>
        <v>0.19618745035742652</v>
      </c>
      <c r="Q1341" s="26">
        <f t="shared" si="163"/>
        <v>1.0405639396346307</v>
      </c>
      <c r="R1341" s="29">
        <f t="shared" si="164"/>
        <v>5.3039271255060729</v>
      </c>
      <c r="S1341" s="30">
        <f t="shared" si="165"/>
        <v>9</v>
      </c>
      <c r="T1341" s="30">
        <f t="shared" si="166"/>
        <v>2023</v>
      </c>
      <c r="U1341" s="29" t="str">
        <f t="shared" si="167"/>
        <v>September</v>
      </c>
    </row>
    <row r="1342" spans="1:21" ht="17.399999999999999" x14ac:dyDescent="0.3">
      <c r="A1342" s="21" t="s">
        <v>1657</v>
      </c>
      <c r="B1342" s="21" t="s">
        <v>1658</v>
      </c>
      <c r="C1342" s="23" t="s">
        <v>3516</v>
      </c>
      <c r="D1342" s="21" t="s">
        <v>3517</v>
      </c>
      <c r="E1342" s="24">
        <v>45176</v>
      </c>
      <c r="F1342" s="24">
        <v>45187</v>
      </c>
      <c r="G1342" s="22" t="s">
        <v>24</v>
      </c>
      <c r="H1342" s="25">
        <v>5432</v>
      </c>
      <c r="I1342" s="25">
        <v>155</v>
      </c>
      <c r="J1342" s="26">
        <v>280.39</v>
      </c>
      <c r="K1342" s="25">
        <v>28</v>
      </c>
      <c r="L1342" s="21" t="s">
        <v>21</v>
      </c>
      <c r="M1342" s="22" t="s">
        <v>3536</v>
      </c>
      <c r="N1342" s="27">
        <f t="shared" si="160"/>
        <v>11</v>
      </c>
      <c r="O1342" s="28">
        <f t="shared" si="161"/>
        <v>2.853460972017673E-2</v>
      </c>
      <c r="P1342" s="28">
        <f t="shared" si="162"/>
        <v>0.18064516129032257</v>
      </c>
      <c r="Q1342" s="26">
        <f t="shared" si="163"/>
        <v>1.8089677419354837</v>
      </c>
      <c r="R1342" s="29">
        <f t="shared" si="164"/>
        <v>10.01392857142857</v>
      </c>
      <c r="S1342" s="30">
        <f t="shared" si="165"/>
        <v>9</v>
      </c>
      <c r="T1342" s="30">
        <f t="shared" si="166"/>
        <v>2023</v>
      </c>
      <c r="U1342" s="29" t="str">
        <f t="shared" si="167"/>
        <v>September</v>
      </c>
    </row>
    <row r="1343" spans="1:21" ht="17.399999999999999" x14ac:dyDescent="0.3">
      <c r="A1343" s="21" t="s">
        <v>2642</v>
      </c>
      <c r="B1343" s="21" t="s">
        <v>2643</v>
      </c>
      <c r="C1343" s="23" t="s">
        <v>3515</v>
      </c>
      <c r="D1343" s="21" t="s">
        <v>3520</v>
      </c>
      <c r="E1343" s="24">
        <v>45176</v>
      </c>
      <c r="F1343" s="24">
        <v>45189</v>
      </c>
      <c r="G1343" s="22" t="s">
        <v>3535</v>
      </c>
      <c r="H1343" s="25">
        <v>21491</v>
      </c>
      <c r="I1343" s="25">
        <v>909</v>
      </c>
      <c r="J1343" s="26">
        <v>1483.31</v>
      </c>
      <c r="K1343" s="25">
        <v>0</v>
      </c>
      <c r="L1343" s="21" t="s">
        <v>21</v>
      </c>
      <c r="M1343" s="22" t="s">
        <v>3535</v>
      </c>
      <c r="N1343" s="27">
        <f t="shared" si="160"/>
        <v>13</v>
      </c>
      <c r="O1343" s="28">
        <f t="shared" si="161"/>
        <v>4.2296775394351123E-2</v>
      </c>
      <c r="P1343" s="28">
        <f t="shared" si="162"/>
        <v>0</v>
      </c>
      <c r="Q1343" s="26">
        <f t="shared" si="163"/>
        <v>1.6318041804180416</v>
      </c>
      <c r="R1343" s="29" t="str">
        <f t="shared" si="164"/>
        <v>0</v>
      </c>
      <c r="S1343" s="30">
        <f t="shared" si="165"/>
        <v>9</v>
      </c>
      <c r="T1343" s="30">
        <f t="shared" si="166"/>
        <v>2023</v>
      </c>
      <c r="U1343" s="29" t="str">
        <f t="shared" si="167"/>
        <v>September</v>
      </c>
    </row>
    <row r="1344" spans="1:21" ht="17.399999999999999" x14ac:dyDescent="0.3">
      <c r="A1344" s="21" t="s">
        <v>2865</v>
      </c>
      <c r="B1344" s="21" t="s">
        <v>2866</v>
      </c>
      <c r="C1344" s="23" t="s">
        <v>3515</v>
      </c>
      <c r="D1344" s="21" t="s">
        <v>3517</v>
      </c>
      <c r="E1344" s="24">
        <v>45176</v>
      </c>
      <c r="F1344" s="24">
        <v>45194</v>
      </c>
      <c r="G1344" s="22" t="s">
        <v>11</v>
      </c>
      <c r="H1344" s="25">
        <v>38573</v>
      </c>
      <c r="I1344" s="25">
        <v>1625</v>
      </c>
      <c r="J1344" s="26">
        <v>1756.95</v>
      </c>
      <c r="K1344" s="25">
        <v>0</v>
      </c>
      <c r="L1344" s="21" t="s">
        <v>17</v>
      </c>
      <c r="M1344" s="22" t="s">
        <v>11</v>
      </c>
      <c r="N1344" s="27">
        <f t="shared" si="160"/>
        <v>18</v>
      </c>
      <c r="O1344" s="28">
        <f t="shared" si="161"/>
        <v>4.2127913307235629E-2</v>
      </c>
      <c r="P1344" s="28">
        <f t="shared" si="162"/>
        <v>0</v>
      </c>
      <c r="Q1344" s="26">
        <f t="shared" si="163"/>
        <v>1.0811999999999999</v>
      </c>
      <c r="R1344" s="29" t="str">
        <f t="shared" si="164"/>
        <v>0</v>
      </c>
      <c r="S1344" s="30">
        <f t="shared" si="165"/>
        <v>9</v>
      </c>
      <c r="T1344" s="30">
        <f t="shared" si="166"/>
        <v>2023</v>
      </c>
      <c r="U1344" s="29" t="str">
        <f t="shared" si="167"/>
        <v>September</v>
      </c>
    </row>
    <row r="1345" spans="1:21" ht="17.399999999999999" x14ac:dyDescent="0.3">
      <c r="A1345" s="21" t="s">
        <v>1671</v>
      </c>
      <c r="B1345" s="21" t="s">
        <v>1672</v>
      </c>
      <c r="C1345" s="23" t="s">
        <v>3519</v>
      </c>
      <c r="D1345" s="21" t="s">
        <v>3517</v>
      </c>
      <c r="E1345" s="24">
        <v>45177</v>
      </c>
      <c r="F1345" s="24">
        <v>45193</v>
      </c>
      <c r="G1345" s="22" t="s">
        <v>14</v>
      </c>
      <c r="H1345" s="25">
        <v>1302</v>
      </c>
      <c r="I1345" s="25">
        <v>46</v>
      </c>
      <c r="J1345" s="26">
        <v>54.42</v>
      </c>
      <c r="K1345" s="25">
        <v>4</v>
      </c>
      <c r="L1345" s="21" t="s">
        <v>21</v>
      </c>
      <c r="M1345" s="22" t="s">
        <v>3537</v>
      </c>
      <c r="N1345" s="27">
        <f t="shared" si="160"/>
        <v>16</v>
      </c>
      <c r="O1345" s="28">
        <f t="shared" si="161"/>
        <v>3.5330261136712747E-2</v>
      </c>
      <c r="P1345" s="28">
        <f t="shared" si="162"/>
        <v>8.6956521739130432E-2</v>
      </c>
      <c r="Q1345" s="26">
        <f t="shared" si="163"/>
        <v>1.1830434782608696</v>
      </c>
      <c r="R1345" s="29">
        <f t="shared" si="164"/>
        <v>13.605</v>
      </c>
      <c r="S1345" s="30">
        <f t="shared" si="165"/>
        <v>9</v>
      </c>
      <c r="T1345" s="30">
        <f t="shared" si="166"/>
        <v>2023</v>
      </c>
      <c r="U1345" s="29" t="str">
        <f t="shared" si="167"/>
        <v>September</v>
      </c>
    </row>
    <row r="1346" spans="1:21" ht="17.399999999999999" x14ac:dyDescent="0.3">
      <c r="A1346" s="21" t="s">
        <v>1715</v>
      </c>
      <c r="B1346" s="21" t="s">
        <v>1716</v>
      </c>
      <c r="C1346" s="23" t="s">
        <v>3519</v>
      </c>
      <c r="D1346" s="21" t="s">
        <v>3521</v>
      </c>
      <c r="E1346" s="24">
        <v>45177</v>
      </c>
      <c r="F1346" s="24">
        <v>45192</v>
      </c>
      <c r="G1346" s="22" t="s">
        <v>16</v>
      </c>
      <c r="H1346" s="25">
        <v>11267</v>
      </c>
      <c r="I1346" s="25">
        <v>378</v>
      </c>
      <c r="J1346" s="26">
        <v>525.1</v>
      </c>
      <c r="K1346" s="25">
        <v>0</v>
      </c>
      <c r="L1346" s="21" t="s">
        <v>21</v>
      </c>
      <c r="M1346" s="22" t="s">
        <v>16</v>
      </c>
      <c r="N1346" s="27">
        <f t="shared" ref="N1346:N1409" si="168">F1346-E1346</f>
        <v>15</v>
      </c>
      <c r="O1346" s="28">
        <f t="shared" ref="O1346:O1409" si="169">I1346/H1346</f>
        <v>3.3549303275051033E-2</v>
      </c>
      <c r="P1346" s="28">
        <f t="shared" ref="P1346:P1409" si="170">K1346/I1346</f>
        <v>0</v>
      </c>
      <c r="Q1346" s="26">
        <f t="shared" ref="Q1346:Q1409" si="171">J1346/I1346</f>
        <v>1.3891534391534393</v>
      </c>
      <c r="R1346" s="29" t="str">
        <f t="shared" ref="R1346:R1409" si="172">IFERROR(J1346/K1346,"0")</f>
        <v>0</v>
      </c>
      <c r="S1346" s="30">
        <f t="shared" ref="S1346:S1409" si="173">MONTH(E1346)</f>
        <v>9</v>
      </c>
      <c r="T1346" s="30">
        <f t="shared" ref="T1346:T1409" si="174">YEAR(E1346)</f>
        <v>2023</v>
      </c>
      <c r="U1346" s="29" t="str">
        <f t="shared" ref="U1346:U1409" si="175">TEXT(E1346,"mmmm")</f>
        <v>September</v>
      </c>
    </row>
    <row r="1347" spans="1:21" ht="17.399999999999999" x14ac:dyDescent="0.3">
      <c r="A1347" s="21" t="s">
        <v>2172</v>
      </c>
      <c r="B1347" s="21" t="s">
        <v>2173</v>
      </c>
      <c r="C1347" s="23" t="s">
        <v>3519</v>
      </c>
      <c r="D1347" s="21" t="s">
        <v>3520</v>
      </c>
      <c r="E1347" s="24">
        <v>45177</v>
      </c>
      <c r="F1347" s="24">
        <v>45188</v>
      </c>
      <c r="G1347" s="22" t="s">
        <v>16</v>
      </c>
      <c r="H1347" s="25">
        <v>76060</v>
      </c>
      <c r="I1347" s="25">
        <v>2883</v>
      </c>
      <c r="J1347" s="26">
        <v>4498.99</v>
      </c>
      <c r="K1347" s="25">
        <v>256</v>
      </c>
      <c r="L1347" s="21" t="s">
        <v>17</v>
      </c>
      <c r="M1347" s="22" t="s">
        <v>16</v>
      </c>
      <c r="N1347" s="27">
        <f t="shared" si="168"/>
        <v>11</v>
      </c>
      <c r="O1347" s="28">
        <f t="shared" si="169"/>
        <v>3.7904286089929004E-2</v>
      </c>
      <c r="P1347" s="28">
        <f t="shared" si="170"/>
        <v>8.8796392646548733E-2</v>
      </c>
      <c r="Q1347" s="26">
        <f t="shared" si="171"/>
        <v>1.560523759972251</v>
      </c>
      <c r="R1347" s="29">
        <f t="shared" si="172"/>
        <v>17.574179687499999</v>
      </c>
      <c r="S1347" s="30">
        <f t="shared" si="173"/>
        <v>9</v>
      </c>
      <c r="T1347" s="30">
        <f t="shared" si="174"/>
        <v>2023</v>
      </c>
      <c r="U1347" s="29" t="str">
        <f t="shared" si="175"/>
        <v>September</v>
      </c>
    </row>
    <row r="1348" spans="1:21" ht="17.399999999999999" x14ac:dyDescent="0.3">
      <c r="A1348" s="21" t="s">
        <v>1329</v>
      </c>
      <c r="B1348" s="21" t="s">
        <v>1330</v>
      </c>
      <c r="C1348" s="23" t="s">
        <v>3518</v>
      </c>
      <c r="D1348" s="21" t="s">
        <v>3517</v>
      </c>
      <c r="E1348" s="24">
        <v>45177</v>
      </c>
      <c r="F1348" s="24">
        <v>45204</v>
      </c>
      <c r="G1348" s="22" t="s">
        <v>16</v>
      </c>
      <c r="H1348" s="25">
        <v>12023</v>
      </c>
      <c r="I1348" s="25">
        <v>539</v>
      </c>
      <c r="J1348" s="26">
        <v>344.91</v>
      </c>
      <c r="K1348" s="25">
        <v>72</v>
      </c>
      <c r="L1348" s="21" t="s">
        <v>17</v>
      </c>
      <c r="M1348" s="22" t="s">
        <v>16</v>
      </c>
      <c r="N1348" s="27">
        <f t="shared" si="168"/>
        <v>27</v>
      </c>
      <c r="O1348" s="28">
        <f t="shared" si="169"/>
        <v>4.483074107959744E-2</v>
      </c>
      <c r="P1348" s="28">
        <f t="shared" si="170"/>
        <v>0.13358070500927643</v>
      </c>
      <c r="Q1348" s="26">
        <f t="shared" si="171"/>
        <v>0.63990723562152141</v>
      </c>
      <c r="R1348" s="29">
        <f t="shared" si="172"/>
        <v>4.7904166666666672</v>
      </c>
      <c r="S1348" s="30">
        <f t="shared" si="173"/>
        <v>9</v>
      </c>
      <c r="T1348" s="30">
        <f t="shared" si="174"/>
        <v>2023</v>
      </c>
      <c r="U1348" s="29" t="str">
        <f t="shared" si="175"/>
        <v>September</v>
      </c>
    </row>
    <row r="1349" spans="1:21" ht="17.399999999999999" x14ac:dyDescent="0.3">
      <c r="A1349" s="21" t="s">
        <v>1449</v>
      </c>
      <c r="B1349" s="22" t="s">
        <v>3892</v>
      </c>
      <c r="C1349" s="23" t="s">
        <v>3518</v>
      </c>
      <c r="D1349" s="22" t="s">
        <v>3545</v>
      </c>
      <c r="E1349" s="24">
        <v>45177</v>
      </c>
      <c r="F1349" s="24">
        <v>45190</v>
      </c>
      <c r="G1349" s="22" t="s">
        <v>3535</v>
      </c>
      <c r="H1349" s="25">
        <v>70172</v>
      </c>
      <c r="I1349" s="25">
        <v>3434</v>
      </c>
      <c r="J1349" s="26">
        <v>6366.84</v>
      </c>
      <c r="K1349" s="25">
        <v>229</v>
      </c>
      <c r="L1349" s="21" t="s">
        <v>21</v>
      </c>
      <c r="M1349" s="22" t="s">
        <v>3535</v>
      </c>
      <c r="N1349" s="27">
        <f t="shared" si="168"/>
        <v>13</v>
      </c>
      <c r="O1349" s="28">
        <f t="shared" si="169"/>
        <v>4.893689790799749E-2</v>
      </c>
      <c r="P1349" s="28">
        <f t="shared" si="170"/>
        <v>6.6686080372743151E-2</v>
      </c>
      <c r="Q1349" s="26">
        <f t="shared" si="171"/>
        <v>1.8540594059405942</v>
      </c>
      <c r="R1349" s="29">
        <f t="shared" si="172"/>
        <v>27.802794759825328</v>
      </c>
      <c r="S1349" s="30">
        <f t="shared" si="173"/>
        <v>9</v>
      </c>
      <c r="T1349" s="30">
        <f t="shared" si="174"/>
        <v>2023</v>
      </c>
      <c r="U1349" s="29" t="str">
        <f t="shared" si="175"/>
        <v>September</v>
      </c>
    </row>
    <row r="1350" spans="1:21" ht="17.399999999999999" x14ac:dyDescent="0.3">
      <c r="A1350" s="21" t="s">
        <v>393</v>
      </c>
      <c r="B1350" s="22" t="s">
        <v>3893</v>
      </c>
      <c r="C1350" s="23" t="s">
        <v>3515</v>
      </c>
      <c r="D1350" s="22" t="s">
        <v>3545</v>
      </c>
      <c r="E1350" s="24">
        <v>45177</v>
      </c>
      <c r="F1350" s="24">
        <v>45192</v>
      </c>
      <c r="G1350" s="22" t="s">
        <v>11</v>
      </c>
      <c r="H1350" s="25">
        <v>27736</v>
      </c>
      <c r="I1350" s="25">
        <v>482</v>
      </c>
      <c r="J1350" s="26">
        <v>802.63</v>
      </c>
      <c r="K1350" s="25">
        <v>33</v>
      </c>
      <c r="L1350" s="21" t="s">
        <v>21</v>
      </c>
      <c r="M1350" s="22" t="s">
        <v>11</v>
      </c>
      <c r="N1350" s="27">
        <f t="shared" si="168"/>
        <v>15</v>
      </c>
      <c r="O1350" s="28">
        <f t="shared" si="169"/>
        <v>1.7378136717623307E-2</v>
      </c>
      <c r="P1350" s="28">
        <f t="shared" si="170"/>
        <v>6.8464730290456438E-2</v>
      </c>
      <c r="Q1350" s="26">
        <f t="shared" si="171"/>
        <v>1.6652074688796681</v>
      </c>
      <c r="R1350" s="29">
        <f t="shared" si="172"/>
        <v>24.32212121212121</v>
      </c>
      <c r="S1350" s="30">
        <f t="shared" si="173"/>
        <v>9</v>
      </c>
      <c r="T1350" s="30">
        <f t="shared" si="174"/>
        <v>2023</v>
      </c>
      <c r="U1350" s="29" t="str">
        <f t="shared" si="175"/>
        <v>September</v>
      </c>
    </row>
    <row r="1351" spans="1:21" ht="17.399999999999999" x14ac:dyDescent="0.3">
      <c r="A1351" s="21" t="s">
        <v>683</v>
      </c>
      <c r="B1351" s="21" t="s">
        <v>684</v>
      </c>
      <c r="C1351" s="23" t="s">
        <v>3515</v>
      </c>
      <c r="D1351" s="21" t="s">
        <v>3520</v>
      </c>
      <c r="E1351" s="24">
        <v>45177</v>
      </c>
      <c r="F1351" s="24">
        <v>45180</v>
      </c>
      <c r="G1351" s="22" t="s">
        <v>16</v>
      </c>
      <c r="H1351" s="25">
        <v>33745</v>
      </c>
      <c r="I1351" s="25">
        <v>1486</v>
      </c>
      <c r="J1351" s="26">
        <v>1871.61</v>
      </c>
      <c r="K1351" s="25">
        <v>270</v>
      </c>
      <c r="L1351" s="21" t="s">
        <v>21</v>
      </c>
      <c r="M1351" s="22" t="s">
        <v>16</v>
      </c>
      <c r="N1351" s="27">
        <f t="shared" si="168"/>
        <v>3</v>
      </c>
      <c r="O1351" s="28">
        <f t="shared" si="169"/>
        <v>4.4036153504222846E-2</v>
      </c>
      <c r="P1351" s="28">
        <f t="shared" si="170"/>
        <v>0.18169582772543741</v>
      </c>
      <c r="Q1351" s="26">
        <f t="shared" si="171"/>
        <v>1.2594952893674294</v>
      </c>
      <c r="R1351" s="29">
        <f t="shared" si="172"/>
        <v>6.9318888888888885</v>
      </c>
      <c r="S1351" s="30">
        <f t="shared" si="173"/>
        <v>9</v>
      </c>
      <c r="T1351" s="30">
        <f t="shared" si="174"/>
        <v>2023</v>
      </c>
      <c r="U1351" s="29" t="str">
        <f t="shared" si="175"/>
        <v>September</v>
      </c>
    </row>
    <row r="1352" spans="1:21" ht="17.399999999999999" x14ac:dyDescent="0.3">
      <c r="A1352" s="21" t="s">
        <v>1444</v>
      </c>
      <c r="B1352" s="21" t="s">
        <v>1445</v>
      </c>
      <c r="C1352" s="23" t="s">
        <v>3515</v>
      </c>
      <c r="D1352" s="21" t="s">
        <v>3521</v>
      </c>
      <c r="E1352" s="24">
        <v>45177</v>
      </c>
      <c r="F1352" s="24">
        <v>45191</v>
      </c>
      <c r="G1352" s="22" t="s">
        <v>3535</v>
      </c>
      <c r="H1352" s="25">
        <v>51612</v>
      </c>
      <c r="I1352" s="25">
        <v>2215</v>
      </c>
      <c r="J1352" s="26">
        <v>2577.2600000000002</v>
      </c>
      <c r="K1352" s="25">
        <v>316</v>
      </c>
      <c r="L1352" s="21" t="s">
        <v>17</v>
      </c>
      <c r="M1352" s="22" t="s">
        <v>3535</v>
      </c>
      <c r="N1352" s="27">
        <f t="shared" si="168"/>
        <v>14</v>
      </c>
      <c r="O1352" s="28">
        <f t="shared" si="169"/>
        <v>4.291637603658064E-2</v>
      </c>
      <c r="P1352" s="28">
        <f t="shared" si="170"/>
        <v>0.14266365688487584</v>
      </c>
      <c r="Q1352" s="26">
        <f t="shared" si="171"/>
        <v>1.163548532731377</v>
      </c>
      <c r="R1352" s="29">
        <f t="shared" si="172"/>
        <v>8.1558860759493683</v>
      </c>
      <c r="S1352" s="30">
        <f t="shared" si="173"/>
        <v>9</v>
      </c>
      <c r="T1352" s="30">
        <f t="shared" si="174"/>
        <v>2023</v>
      </c>
      <c r="U1352" s="29" t="str">
        <f t="shared" si="175"/>
        <v>September</v>
      </c>
    </row>
    <row r="1353" spans="1:21" ht="17.399999999999999" x14ac:dyDescent="0.3">
      <c r="A1353" s="21" t="s">
        <v>1643</v>
      </c>
      <c r="B1353" s="22" t="s">
        <v>3894</v>
      </c>
      <c r="C1353" s="23" t="s">
        <v>3515</v>
      </c>
      <c r="D1353" s="22" t="s">
        <v>3545</v>
      </c>
      <c r="E1353" s="24">
        <v>45177</v>
      </c>
      <c r="F1353" s="24">
        <v>45183</v>
      </c>
      <c r="G1353" s="22" t="s">
        <v>24</v>
      </c>
      <c r="H1353" s="25">
        <v>24321</v>
      </c>
      <c r="I1353" s="25">
        <v>754</v>
      </c>
      <c r="J1353" s="26">
        <v>1299.6400000000001</v>
      </c>
      <c r="K1353" s="25">
        <v>138</v>
      </c>
      <c r="L1353" s="21" t="s">
        <v>21</v>
      </c>
      <c r="M1353" s="22" t="s">
        <v>3536</v>
      </c>
      <c r="N1353" s="27">
        <f t="shared" si="168"/>
        <v>6</v>
      </c>
      <c r="O1353" s="28">
        <f t="shared" si="169"/>
        <v>3.1002014719789483E-2</v>
      </c>
      <c r="P1353" s="28">
        <f t="shared" si="170"/>
        <v>0.1830238726790451</v>
      </c>
      <c r="Q1353" s="26">
        <f t="shared" si="171"/>
        <v>1.7236604774535811</v>
      </c>
      <c r="R1353" s="29">
        <f t="shared" si="172"/>
        <v>9.4176811594202903</v>
      </c>
      <c r="S1353" s="30">
        <f t="shared" si="173"/>
        <v>9</v>
      </c>
      <c r="T1353" s="30">
        <f t="shared" si="174"/>
        <v>2023</v>
      </c>
      <c r="U1353" s="29" t="str">
        <f t="shared" si="175"/>
        <v>September</v>
      </c>
    </row>
    <row r="1354" spans="1:21" ht="17.399999999999999" x14ac:dyDescent="0.3">
      <c r="A1354" s="21" t="s">
        <v>2280</v>
      </c>
      <c r="B1354" s="21" t="s">
        <v>2281</v>
      </c>
      <c r="C1354" s="23" t="s">
        <v>3515</v>
      </c>
      <c r="D1354" s="21" t="s">
        <v>3520</v>
      </c>
      <c r="E1354" s="24">
        <v>45177</v>
      </c>
      <c r="F1354" s="24">
        <v>45203</v>
      </c>
      <c r="G1354" s="22" t="s">
        <v>24</v>
      </c>
      <c r="H1354" s="25">
        <v>90106</v>
      </c>
      <c r="I1354" s="25">
        <v>3880</v>
      </c>
      <c r="J1354" s="26">
        <v>5431.81</v>
      </c>
      <c r="K1354" s="25">
        <v>579</v>
      </c>
      <c r="L1354" s="21" t="s">
        <v>21</v>
      </c>
      <c r="M1354" s="22" t="s">
        <v>3536</v>
      </c>
      <c r="N1354" s="27">
        <f t="shared" si="168"/>
        <v>26</v>
      </c>
      <c r="O1354" s="28">
        <f t="shared" si="169"/>
        <v>4.3060395534148671E-2</v>
      </c>
      <c r="P1354" s="28">
        <f t="shared" si="170"/>
        <v>0.14922680412371134</v>
      </c>
      <c r="Q1354" s="26">
        <f t="shared" si="171"/>
        <v>1.3999510309278351</v>
      </c>
      <c r="R1354" s="29">
        <f t="shared" si="172"/>
        <v>9.3813644214162348</v>
      </c>
      <c r="S1354" s="30">
        <f t="shared" si="173"/>
        <v>9</v>
      </c>
      <c r="T1354" s="30">
        <f t="shared" si="174"/>
        <v>2023</v>
      </c>
      <c r="U1354" s="29" t="str">
        <f t="shared" si="175"/>
        <v>September</v>
      </c>
    </row>
    <row r="1355" spans="1:21" ht="17.399999999999999" x14ac:dyDescent="0.3">
      <c r="A1355" s="21" t="s">
        <v>3052</v>
      </c>
      <c r="B1355" s="21" t="s">
        <v>3053</v>
      </c>
      <c r="C1355" s="23" t="s">
        <v>3515</v>
      </c>
      <c r="D1355" s="21" t="s">
        <v>3521</v>
      </c>
      <c r="E1355" s="24">
        <v>45177</v>
      </c>
      <c r="F1355" s="24">
        <v>45193</v>
      </c>
      <c r="G1355" s="22" t="s">
        <v>16</v>
      </c>
      <c r="H1355" s="25">
        <v>49874</v>
      </c>
      <c r="I1355" s="25">
        <v>682</v>
      </c>
      <c r="J1355" s="26">
        <v>1082.3599999999999</v>
      </c>
      <c r="K1355" s="25">
        <v>98</v>
      </c>
      <c r="L1355" s="21" t="s">
        <v>21</v>
      </c>
      <c r="M1355" s="22" t="s">
        <v>16</v>
      </c>
      <c r="N1355" s="27">
        <f t="shared" si="168"/>
        <v>16</v>
      </c>
      <c r="O1355" s="28">
        <f t="shared" si="169"/>
        <v>1.3674459638288486E-2</v>
      </c>
      <c r="P1355" s="28">
        <f t="shared" si="170"/>
        <v>0.14369501466275661</v>
      </c>
      <c r="Q1355" s="26">
        <f t="shared" si="171"/>
        <v>1.5870381231671553</v>
      </c>
      <c r="R1355" s="29">
        <f t="shared" si="172"/>
        <v>11.044489795918366</v>
      </c>
      <c r="S1355" s="30">
        <f t="shared" si="173"/>
        <v>9</v>
      </c>
      <c r="T1355" s="30">
        <f t="shared" si="174"/>
        <v>2023</v>
      </c>
      <c r="U1355" s="29" t="str">
        <f t="shared" si="175"/>
        <v>September</v>
      </c>
    </row>
    <row r="1356" spans="1:21" ht="17.399999999999999" x14ac:dyDescent="0.3">
      <c r="A1356" s="21" t="s">
        <v>1520</v>
      </c>
      <c r="B1356" s="22" t="s">
        <v>3895</v>
      </c>
      <c r="C1356" s="23" t="s">
        <v>3518</v>
      </c>
      <c r="D1356" s="22" t="s">
        <v>3545</v>
      </c>
      <c r="E1356" s="24">
        <v>45178</v>
      </c>
      <c r="F1356" s="24">
        <v>45200</v>
      </c>
      <c r="G1356" s="22" t="s">
        <v>24</v>
      </c>
      <c r="H1356" s="25">
        <v>38441</v>
      </c>
      <c r="I1356" s="25">
        <v>715</v>
      </c>
      <c r="J1356" s="26">
        <v>698.88</v>
      </c>
      <c r="K1356" s="25">
        <v>113</v>
      </c>
      <c r="L1356" s="21" t="s">
        <v>17</v>
      </c>
      <c r="M1356" s="22" t="s">
        <v>3536</v>
      </c>
      <c r="N1356" s="27">
        <f t="shared" si="168"/>
        <v>22</v>
      </c>
      <c r="O1356" s="28">
        <f t="shared" si="169"/>
        <v>1.8599932363882313E-2</v>
      </c>
      <c r="P1356" s="28">
        <f t="shared" si="170"/>
        <v>0.15804195804195803</v>
      </c>
      <c r="Q1356" s="26">
        <f t="shared" si="171"/>
        <v>0.97745454545454546</v>
      </c>
      <c r="R1356" s="29">
        <f t="shared" si="172"/>
        <v>6.1847787610619465</v>
      </c>
      <c r="S1356" s="30">
        <f t="shared" si="173"/>
        <v>9</v>
      </c>
      <c r="T1356" s="30">
        <f t="shared" si="174"/>
        <v>2023</v>
      </c>
      <c r="U1356" s="29" t="str">
        <f t="shared" si="175"/>
        <v>September</v>
      </c>
    </row>
    <row r="1357" spans="1:21" ht="17.399999999999999" x14ac:dyDescent="0.3">
      <c r="A1357" s="21" t="s">
        <v>1567</v>
      </c>
      <c r="B1357" s="21" t="s">
        <v>1568</v>
      </c>
      <c r="C1357" s="23" t="s">
        <v>3518</v>
      </c>
      <c r="D1357" s="21" t="s">
        <v>3517</v>
      </c>
      <c r="E1357" s="24">
        <v>45178</v>
      </c>
      <c r="F1357" s="24">
        <v>45180</v>
      </c>
      <c r="G1357" s="22" t="s">
        <v>11</v>
      </c>
      <c r="H1357" s="25">
        <v>88369</v>
      </c>
      <c r="I1357" s="25">
        <v>3385</v>
      </c>
      <c r="J1357" s="26">
        <v>5609.85</v>
      </c>
      <c r="K1357" s="25">
        <v>329</v>
      </c>
      <c r="L1357" s="21" t="s">
        <v>21</v>
      </c>
      <c r="M1357" s="22" t="s">
        <v>11</v>
      </c>
      <c r="N1357" s="27">
        <f t="shared" si="168"/>
        <v>2</v>
      </c>
      <c r="O1357" s="28">
        <f t="shared" si="169"/>
        <v>3.8305288053502924E-2</v>
      </c>
      <c r="P1357" s="28">
        <f t="shared" si="170"/>
        <v>9.7193500738552444E-2</v>
      </c>
      <c r="Q1357" s="26">
        <f t="shared" si="171"/>
        <v>1.6572673559822748</v>
      </c>
      <c r="R1357" s="29">
        <f t="shared" si="172"/>
        <v>17.051215805471127</v>
      </c>
      <c r="S1357" s="30">
        <f t="shared" si="173"/>
        <v>9</v>
      </c>
      <c r="T1357" s="30">
        <f t="shared" si="174"/>
        <v>2023</v>
      </c>
      <c r="U1357" s="29" t="str">
        <f t="shared" si="175"/>
        <v>September</v>
      </c>
    </row>
    <row r="1358" spans="1:21" ht="17.399999999999999" x14ac:dyDescent="0.3">
      <c r="A1358" s="21" t="s">
        <v>1446</v>
      </c>
      <c r="B1358" s="22" t="s">
        <v>3896</v>
      </c>
      <c r="C1358" s="23" t="s">
        <v>3516</v>
      </c>
      <c r="D1358" s="22" t="s">
        <v>3545</v>
      </c>
      <c r="E1358" s="24">
        <v>45178</v>
      </c>
      <c r="F1358" s="24">
        <v>45190</v>
      </c>
      <c r="G1358" s="22" t="s">
        <v>11</v>
      </c>
      <c r="H1358" s="25">
        <v>24574</v>
      </c>
      <c r="I1358" s="25">
        <v>451</v>
      </c>
      <c r="J1358" s="26">
        <v>254.23</v>
      </c>
      <c r="K1358" s="25">
        <v>65</v>
      </c>
      <c r="L1358" s="21" t="s">
        <v>21</v>
      </c>
      <c r="M1358" s="22" t="s">
        <v>11</v>
      </c>
      <c r="N1358" s="27">
        <f t="shared" si="168"/>
        <v>12</v>
      </c>
      <c r="O1358" s="28">
        <f t="shared" si="169"/>
        <v>1.8352730528200537E-2</v>
      </c>
      <c r="P1358" s="28">
        <f t="shared" si="170"/>
        <v>0.14412416851441243</v>
      </c>
      <c r="Q1358" s="26">
        <f t="shared" si="171"/>
        <v>0.5637028824833703</v>
      </c>
      <c r="R1358" s="29">
        <f t="shared" si="172"/>
        <v>3.9112307692307691</v>
      </c>
      <c r="S1358" s="30">
        <f t="shared" si="173"/>
        <v>9</v>
      </c>
      <c r="T1358" s="30">
        <f t="shared" si="174"/>
        <v>2023</v>
      </c>
      <c r="U1358" s="29" t="str">
        <f t="shared" si="175"/>
        <v>September</v>
      </c>
    </row>
    <row r="1359" spans="1:21" ht="17.399999999999999" x14ac:dyDescent="0.3">
      <c r="A1359" s="21" t="s">
        <v>3252</v>
      </c>
      <c r="B1359" s="21" t="s">
        <v>3253</v>
      </c>
      <c r="C1359" s="23" t="s">
        <v>3516</v>
      </c>
      <c r="D1359" s="21" t="s">
        <v>3520</v>
      </c>
      <c r="E1359" s="24">
        <v>45178</v>
      </c>
      <c r="F1359" s="24">
        <v>45200</v>
      </c>
      <c r="G1359" s="22" t="s">
        <v>3535</v>
      </c>
      <c r="H1359" s="25">
        <v>2980</v>
      </c>
      <c r="I1359" s="25">
        <v>30</v>
      </c>
      <c r="J1359" s="26">
        <v>20.43</v>
      </c>
      <c r="K1359" s="25">
        <v>0</v>
      </c>
      <c r="L1359" s="21" t="s">
        <v>21</v>
      </c>
      <c r="M1359" s="22" t="s">
        <v>3535</v>
      </c>
      <c r="N1359" s="27">
        <f t="shared" si="168"/>
        <v>22</v>
      </c>
      <c r="O1359" s="28">
        <f t="shared" si="169"/>
        <v>1.0067114093959731E-2</v>
      </c>
      <c r="P1359" s="28">
        <f t="shared" si="170"/>
        <v>0</v>
      </c>
      <c r="Q1359" s="26">
        <f t="shared" si="171"/>
        <v>0.68099999999999994</v>
      </c>
      <c r="R1359" s="29" t="str">
        <f t="shared" si="172"/>
        <v>0</v>
      </c>
      <c r="S1359" s="30">
        <f t="shared" si="173"/>
        <v>9</v>
      </c>
      <c r="T1359" s="30">
        <f t="shared" si="174"/>
        <v>2023</v>
      </c>
      <c r="U1359" s="29" t="str">
        <f t="shared" si="175"/>
        <v>September</v>
      </c>
    </row>
    <row r="1360" spans="1:21" ht="17.399999999999999" x14ac:dyDescent="0.3">
      <c r="A1360" s="21" t="s">
        <v>1669</v>
      </c>
      <c r="B1360" s="21" t="s">
        <v>1670</v>
      </c>
      <c r="C1360" s="23" t="s">
        <v>3515</v>
      </c>
      <c r="D1360" s="21" t="s">
        <v>3521</v>
      </c>
      <c r="E1360" s="24">
        <v>45178</v>
      </c>
      <c r="F1360" s="24">
        <v>45185</v>
      </c>
      <c r="G1360" s="22" t="s">
        <v>16</v>
      </c>
      <c r="H1360" s="25">
        <v>88731</v>
      </c>
      <c r="I1360" s="25">
        <v>3686</v>
      </c>
      <c r="J1360" s="26">
        <v>4037.73</v>
      </c>
      <c r="K1360" s="25">
        <v>661</v>
      </c>
      <c r="L1360" s="21" t="s">
        <v>17</v>
      </c>
      <c r="M1360" s="22" t="s">
        <v>16</v>
      </c>
      <c r="N1360" s="27">
        <f t="shared" si="168"/>
        <v>7</v>
      </c>
      <c r="O1360" s="28">
        <f t="shared" si="169"/>
        <v>4.1541287712298973E-2</v>
      </c>
      <c r="P1360" s="28">
        <f t="shared" si="170"/>
        <v>0.17932718393922953</v>
      </c>
      <c r="Q1360" s="26">
        <f t="shared" si="171"/>
        <v>1.0954232230059686</v>
      </c>
      <c r="R1360" s="29">
        <f t="shared" si="172"/>
        <v>6.1085173978819967</v>
      </c>
      <c r="S1360" s="30">
        <f t="shared" si="173"/>
        <v>9</v>
      </c>
      <c r="T1360" s="30">
        <f t="shared" si="174"/>
        <v>2023</v>
      </c>
      <c r="U1360" s="29" t="str">
        <f t="shared" si="175"/>
        <v>September</v>
      </c>
    </row>
    <row r="1361" spans="1:21" ht="17.399999999999999" x14ac:dyDescent="0.3">
      <c r="A1361" s="21" t="s">
        <v>2501</v>
      </c>
      <c r="B1361" s="22" t="s">
        <v>3897</v>
      </c>
      <c r="C1361" s="23" t="s">
        <v>3515</v>
      </c>
      <c r="D1361" s="22" t="s">
        <v>3545</v>
      </c>
      <c r="E1361" s="24">
        <v>45178</v>
      </c>
      <c r="F1361" s="24">
        <v>45186</v>
      </c>
      <c r="G1361" s="22" t="s">
        <v>24</v>
      </c>
      <c r="H1361" s="25">
        <v>30402</v>
      </c>
      <c r="I1361" s="25">
        <v>1057</v>
      </c>
      <c r="J1361" s="26">
        <v>1983.74</v>
      </c>
      <c r="K1361" s="25">
        <v>154</v>
      </c>
      <c r="L1361" s="21" t="s">
        <v>17</v>
      </c>
      <c r="M1361" s="22" t="s">
        <v>3536</v>
      </c>
      <c r="N1361" s="27">
        <f t="shared" si="168"/>
        <v>8</v>
      </c>
      <c r="O1361" s="28">
        <f t="shared" si="169"/>
        <v>3.4767449509900662E-2</v>
      </c>
      <c r="P1361" s="28">
        <f t="shared" si="170"/>
        <v>0.14569536423841059</v>
      </c>
      <c r="Q1361" s="26">
        <f t="shared" si="171"/>
        <v>1.8767644276253548</v>
      </c>
      <c r="R1361" s="29">
        <f t="shared" si="172"/>
        <v>12.881428571428572</v>
      </c>
      <c r="S1361" s="30">
        <f t="shared" si="173"/>
        <v>9</v>
      </c>
      <c r="T1361" s="30">
        <f t="shared" si="174"/>
        <v>2023</v>
      </c>
      <c r="U1361" s="29" t="str">
        <f t="shared" si="175"/>
        <v>September</v>
      </c>
    </row>
    <row r="1362" spans="1:21" ht="17.399999999999999" x14ac:dyDescent="0.3">
      <c r="A1362" s="21" t="s">
        <v>1985</v>
      </c>
      <c r="B1362" s="21" t="s">
        <v>1986</v>
      </c>
      <c r="C1362" s="23" t="s">
        <v>3519</v>
      </c>
      <c r="D1362" s="21" t="s">
        <v>3520</v>
      </c>
      <c r="E1362" s="24">
        <v>45179</v>
      </c>
      <c r="F1362" s="24">
        <v>45180</v>
      </c>
      <c r="G1362" s="22" t="s">
        <v>11</v>
      </c>
      <c r="H1362" s="25">
        <v>19381</v>
      </c>
      <c r="I1362" s="25">
        <v>718</v>
      </c>
      <c r="J1362" s="26">
        <v>652.64</v>
      </c>
      <c r="K1362" s="25">
        <v>100</v>
      </c>
      <c r="L1362" s="21" t="s">
        <v>17</v>
      </c>
      <c r="M1362" s="22" t="s">
        <v>11</v>
      </c>
      <c r="N1362" s="27">
        <f t="shared" si="168"/>
        <v>1</v>
      </c>
      <c r="O1362" s="28">
        <f t="shared" si="169"/>
        <v>3.7046592023115422E-2</v>
      </c>
      <c r="P1362" s="28">
        <f t="shared" si="170"/>
        <v>0.1392757660167131</v>
      </c>
      <c r="Q1362" s="26">
        <f t="shared" si="171"/>
        <v>0.90896935933147627</v>
      </c>
      <c r="R1362" s="29">
        <f t="shared" si="172"/>
        <v>6.5263999999999998</v>
      </c>
      <c r="S1362" s="30">
        <f t="shared" si="173"/>
        <v>9</v>
      </c>
      <c r="T1362" s="30">
        <f t="shared" si="174"/>
        <v>2023</v>
      </c>
      <c r="U1362" s="29" t="str">
        <f t="shared" si="175"/>
        <v>September</v>
      </c>
    </row>
    <row r="1363" spans="1:21" ht="17.399999999999999" x14ac:dyDescent="0.3">
      <c r="A1363" s="21" t="s">
        <v>1548</v>
      </c>
      <c r="B1363" s="21" t="s">
        <v>1549</v>
      </c>
      <c r="C1363" s="23" t="s">
        <v>3518</v>
      </c>
      <c r="D1363" s="21" t="s">
        <v>3517</v>
      </c>
      <c r="E1363" s="24">
        <v>45179</v>
      </c>
      <c r="F1363" s="24">
        <v>45202</v>
      </c>
      <c r="G1363" s="22" t="s">
        <v>11</v>
      </c>
      <c r="H1363" s="25">
        <v>54413</v>
      </c>
      <c r="I1363" s="25">
        <v>1037</v>
      </c>
      <c r="J1363" s="26">
        <v>1712.34</v>
      </c>
      <c r="K1363" s="25">
        <v>195</v>
      </c>
      <c r="L1363" s="21" t="s">
        <v>21</v>
      </c>
      <c r="M1363" s="22" t="s">
        <v>11</v>
      </c>
      <c r="N1363" s="27">
        <f t="shared" si="168"/>
        <v>23</v>
      </c>
      <c r="O1363" s="28">
        <f t="shared" si="169"/>
        <v>1.9057945711502766E-2</v>
      </c>
      <c r="P1363" s="28">
        <f t="shared" si="170"/>
        <v>0.18804243008678881</v>
      </c>
      <c r="Q1363" s="26">
        <f t="shared" si="171"/>
        <v>1.6512439729990356</v>
      </c>
      <c r="R1363" s="29">
        <f t="shared" si="172"/>
        <v>8.7812307692307687</v>
      </c>
      <c r="S1363" s="30">
        <f t="shared" si="173"/>
        <v>9</v>
      </c>
      <c r="T1363" s="30">
        <f t="shared" si="174"/>
        <v>2023</v>
      </c>
      <c r="U1363" s="29" t="str">
        <f t="shared" si="175"/>
        <v>September</v>
      </c>
    </row>
    <row r="1364" spans="1:21" ht="17.399999999999999" x14ac:dyDescent="0.3">
      <c r="A1364" s="21" t="s">
        <v>1847</v>
      </c>
      <c r="B1364" s="21" t="s">
        <v>1848</v>
      </c>
      <c r="C1364" s="23" t="s">
        <v>3519</v>
      </c>
      <c r="D1364" s="21" t="s">
        <v>3520</v>
      </c>
      <c r="E1364" s="24">
        <v>45181</v>
      </c>
      <c r="F1364" s="24">
        <v>45183</v>
      </c>
      <c r="G1364" s="22" t="s">
        <v>11</v>
      </c>
      <c r="H1364" s="25">
        <v>59067</v>
      </c>
      <c r="I1364" s="25">
        <v>1101</v>
      </c>
      <c r="J1364" s="26">
        <v>570.88</v>
      </c>
      <c r="K1364" s="25">
        <v>138</v>
      </c>
      <c r="L1364" s="21" t="s">
        <v>21</v>
      </c>
      <c r="M1364" s="22" t="s">
        <v>11</v>
      </c>
      <c r="N1364" s="27">
        <f t="shared" si="168"/>
        <v>2</v>
      </c>
      <c r="O1364" s="28">
        <f t="shared" si="169"/>
        <v>1.8639849662247954E-2</v>
      </c>
      <c r="P1364" s="28">
        <f t="shared" si="170"/>
        <v>0.12534059945504086</v>
      </c>
      <c r="Q1364" s="26">
        <f t="shared" si="171"/>
        <v>0.51851044504995458</v>
      </c>
      <c r="R1364" s="29">
        <f t="shared" si="172"/>
        <v>4.1368115942028982</v>
      </c>
      <c r="S1364" s="30">
        <f t="shared" si="173"/>
        <v>9</v>
      </c>
      <c r="T1364" s="30">
        <f t="shared" si="174"/>
        <v>2023</v>
      </c>
      <c r="U1364" s="29" t="str">
        <f t="shared" si="175"/>
        <v>September</v>
      </c>
    </row>
    <row r="1365" spans="1:21" ht="17.399999999999999" x14ac:dyDescent="0.3">
      <c r="A1365" s="21" t="s">
        <v>2384</v>
      </c>
      <c r="B1365" s="21" t="s">
        <v>2385</v>
      </c>
      <c r="C1365" s="23" t="s">
        <v>3519</v>
      </c>
      <c r="D1365" s="21" t="s">
        <v>3517</v>
      </c>
      <c r="E1365" s="24">
        <v>45181</v>
      </c>
      <c r="F1365" s="24">
        <v>45272</v>
      </c>
      <c r="G1365" s="22" t="s">
        <v>11</v>
      </c>
      <c r="H1365" s="25">
        <v>37220</v>
      </c>
      <c r="I1365" s="25">
        <v>1597</v>
      </c>
      <c r="J1365" s="26">
        <v>1636.44</v>
      </c>
      <c r="K1365" s="25">
        <v>289</v>
      </c>
      <c r="L1365" s="21" t="s">
        <v>21</v>
      </c>
      <c r="M1365" s="22" t="s">
        <v>11</v>
      </c>
      <c r="N1365" s="27">
        <f t="shared" si="168"/>
        <v>91</v>
      </c>
      <c r="O1365" s="28">
        <f t="shared" si="169"/>
        <v>4.2907039226222458E-2</v>
      </c>
      <c r="P1365" s="28">
        <f t="shared" si="170"/>
        <v>0.18096430807764557</v>
      </c>
      <c r="Q1365" s="26">
        <f t="shared" si="171"/>
        <v>1.0246963055729492</v>
      </c>
      <c r="R1365" s="29">
        <f t="shared" si="172"/>
        <v>5.66242214532872</v>
      </c>
      <c r="S1365" s="30">
        <f t="shared" si="173"/>
        <v>9</v>
      </c>
      <c r="T1365" s="30">
        <f t="shared" si="174"/>
        <v>2023</v>
      </c>
      <c r="U1365" s="29" t="str">
        <f t="shared" si="175"/>
        <v>September</v>
      </c>
    </row>
    <row r="1366" spans="1:21" ht="17.399999999999999" x14ac:dyDescent="0.3">
      <c r="A1366" s="21" t="s">
        <v>1837</v>
      </c>
      <c r="B1366" s="21" t="s">
        <v>1838</v>
      </c>
      <c r="C1366" s="23" t="s">
        <v>3518</v>
      </c>
      <c r="D1366" s="21" t="s">
        <v>3517</v>
      </c>
      <c r="E1366" s="24">
        <v>45181</v>
      </c>
      <c r="F1366" s="24">
        <v>45203</v>
      </c>
      <c r="G1366" s="22" t="s">
        <v>31</v>
      </c>
      <c r="H1366" s="25">
        <v>98579</v>
      </c>
      <c r="I1366" s="25">
        <v>3085</v>
      </c>
      <c r="J1366" s="26">
        <v>5187.78</v>
      </c>
      <c r="K1366" s="25">
        <v>573</v>
      </c>
      <c r="L1366" s="21" t="s">
        <v>21</v>
      </c>
      <c r="M1366" s="22" t="s">
        <v>31</v>
      </c>
      <c r="N1366" s="27">
        <f t="shared" si="168"/>
        <v>22</v>
      </c>
      <c r="O1366" s="28">
        <f t="shared" si="169"/>
        <v>3.1294697653658485E-2</v>
      </c>
      <c r="P1366" s="28">
        <f t="shared" si="170"/>
        <v>0.18573743922204214</v>
      </c>
      <c r="Q1366" s="26">
        <f t="shared" si="171"/>
        <v>1.681614262560778</v>
      </c>
      <c r="R1366" s="29">
        <f t="shared" si="172"/>
        <v>9.0537172774869106</v>
      </c>
      <c r="S1366" s="30">
        <f t="shared" si="173"/>
        <v>9</v>
      </c>
      <c r="T1366" s="30">
        <f t="shared" si="174"/>
        <v>2023</v>
      </c>
      <c r="U1366" s="29" t="str">
        <f t="shared" si="175"/>
        <v>September</v>
      </c>
    </row>
    <row r="1367" spans="1:21" ht="17.399999999999999" x14ac:dyDescent="0.3">
      <c r="A1367" s="21" t="s">
        <v>2024</v>
      </c>
      <c r="B1367" s="21" t="s">
        <v>2025</v>
      </c>
      <c r="C1367" s="23" t="s">
        <v>3516</v>
      </c>
      <c r="D1367" s="21" t="s">
        <v>3520</v>
      </c>
      <c r="E1367" s="24">
        <v>45181</v>
      </c>
      <c r="F1367" s="24">
        <v>45209</v>
      </c>
      <c r="G1367" s="22" t="s">
        <v>16</v>
      </c>
      <c r="H1367" s="25">
        <v>99723</v>
      </c>
      <c r="I1367" s="25">
        <v>3362</v>
      </c>
      <c r="J1367" s="26">
        <v>3744.02</v>
      </c>
      <c r="K1367" s="25">
        <v>394</v>
      </c>
      <c r="L1367" s="21" t="s">
        <v>21</v>
      </c>
      <c r="M1367" s="22" t="s">
        <v>16</v>
      </c>
      <c r="N1367" s="27">
        <f t="shared" si="168"/>
        <v>28</v>
      </c>
      <c r="O1367" s="28">
        <f t="shared" si="169"/>
        <v>3.371338607944005E-2</v>
      </c>
      <c r="P1367" s="28">
        <f t="shared" si="170"/>
        <v>0.11719214753123142</v>
      </c>
      <c r="Q1367" s="26">
        <f t="shared" si="171"/>
        <v>1.1136287923854848</v>
      </c>
      <c r="R1367" s="29">
        <f t="shared" si="172"/>
        <v>9.5025888324873105</v>
      </c>
      <c r="S1367" s="30">
        <f t="shared" si="173"/>
        <v>9</v>
      </c>
      <c r="T1367" s="30">
        <f t="shared" si="174"/>
        <v>2023</v>
      </c>
      <c r="U1367" s="29" t="str">
        <f t="shared" si="175"/>
        <v>September</v>
      </c>
    </row>
    <row r="1368" spans="1:21" ht="17.399999999999999" x14ac:dyDescent="0.3">
      <c r="A1368" s="21" t="s">
        <v>1149</v>
      </c>
      <c r="B1368" s="21" t="s">
        <v>1150</v>
      </c>
      <c r="C1368" s="23" t="s">
        <v>3515</v>
      </c>
      <c r="D1368" s="21" t="s">
        <v>3517</v>
      </c>
      <c r="E1368" s="24">
        <v>45181</v>
      </c>
      <c r="F1368" s="24">
        <v>45203</v>
      </c>
      <c r="G1368" s="22" t="s">
        <v>16</v>
      </c>
      <c r="H1368" s="25">
        <v>22689</v>
      </c>
      <c r="I1368" s="25">
        <v>376</v>
      </c>
      <c r="J1368" s="26">
        <v>393.36</v>
      </c>
      <c r="K1368" s="25">
        <v>30</v>
      </c>
      <c r="L1368" s="21" t="s">
        <v>21</v>
      </c>
      <c r="M1368" s="22" t="s">
        <v>16</v>
      </c>
      <c r="N1368" s="27">
        <f t="shared" si="168"/>
        <v>22</v>
      </c>
      <c r="O1368" s="28">
        <f t="shared" si="169"/>
        <v>1.6571907091542156E-2</v>
      </c>
      <c r="P1368" s="28">
        <f t="shared" si="170"/>
        <v>7.9787234042553196E-2</v>
      </c>
      <c r="Q1368" s="26">
        <f t="shared" si="171"/>
        <v>1.0461702127659576</v>
      </c>
      <c r="R1368" s="29">
        <f t="shared" si="172"/>
        <v>13.112</v>
      </c>
      <c r="S1368" s="30">
        <f t="shared" si="173"/>
        <v>9</v>
      </c>
      <c r="T1368" s="30">
        <f t="shared" si="174"/>
        <v>2023</v>
      </c>
      <c r="U1368" s="29" t="str">
        <f t="shared" si="175"/>
        <v>September</v>
      </c>
    </row>
    <row r="1369" spans="1:21" ht="17.399999999999999" x14ac:dyDescent="0.3">
      <c r="A1369" s="21" t="s">
        <v>1428</v>
      </c>
      <c r="B1369" s="21" t="s">
        <v>1429</v>
      </c>
      <c r="C1369" s="23" t="s">
        <v>3515</v>
      </c>
      <c r="D1369" s="21" t="s">
        <v>3517</v>
      </c>
      <c r="E1369" s="24">
        <v>45181</v>
      </c>
      <c r="F1369" s="24">
        <v>45187</v>
      </c>
      <c r="G1369" s="22" t="s">
        <v>11</v>
      </c>
      <c r="H1369" s="25">
        <v>41943</v>
      </c>
      <c r="I1369" s="25">
        <v>1636</v>
      </c>
      <c r="J1369" s="26">
        <v>2873.3</v>
      </c>
      <c r="K1369" s="25">
        <v>229</v>
      </c>
      <c r="L1369" s="21" t="s">
        <v>21</v>
      </c>
      <c r="M1369" s="22" t="s">
        <v>11</v>
      </c>
      <c r="N1369" s="27">
        <f t="shared" si="168"/>
        <v>6</v>
      </c>
      <c r="O1369" s="28">
        <f t="shared" si="169"/>
        <v>3.9005316739384406E-2</v>
      </c>
      <c r="P1369" s="28">
        <f t="shared" si="170"/>
        <v>0.13997555012224938</v>
      </c>
      <c r="Q1369" s="26">
        <f t="shared" si="171"/>
        <v>1.7562958435207825</v>
      </c>
      <c r="R1369" s="29">
        <f t="shared" si="172"/>
        <v>12.547161572052403</v>
      </c>
      <c r="S1369" s="30">
        <f t="shared" si="173"/>
        <v>9</v>
      </c>
      <c r="T1369" s="30">
        <f t="shared" si="174"/>
        <v>2023</v>
      </c>
      <c r="U1369" s="29" t="str">
        <f t="shared" si="175"/>
        <v>September</v>
      </c>
    </row>
    <row r="1370" spans="1:21" ht="17.399999999999999" x14ac:dyDescent="0.3">
      <c r="A1370" s="21" t="s">
        <v>2314</v>
      </c>
      <c r="B1370" s="22" t="s">
        <v>3898</v>
      </c>
      <c r="C1370" s="23" t="s">
        <v>3515</v>
      </c>
      <c r="D1370" s="22" t="s">
        <v>3545</v>
      </c>
      <c r="E1370" s="24">
        <v>45181</v>
      </c>
      <c r="F1370" s="24">
        <v>45208</v>
      </c>
      <c r="G1370" s="22" t="s">
        <v>14</v>
      </c>
      <c r="H1370" s="25">
        <v>76629</v>
      </c>
      <c r="I1370" s="25">
        <v>1326</v>
      </c>
      <c r="J1370" s="26">
        <v>830.58</v>
      </c>
      <c r="K1370" s="25">
        <v>157</v>
      </c>
      <c r="L1370" s="21" t="s">
        <v>17</v>
      </c>
      <c r="M1370" s="22" t="s">
        <v>3537</v>
      </c>
      <c r="N1370" s="27">
        <f t="shared" si="168"/>
        <v>27</v>
      </c>
      <c r="O1370" s="28">
        <f t="shared" si="169"/>
        <v>1.730415377990056E-2</v>
      </c>
      <c r="P1370" s="28">
        <f t="shared" si="170"/>
        <v>0.11840120663650075</v>
      </c>
      <c r="Q1370" s="26">
        <f t="shared" si="171"/>
        <v>0.62638009049773757</v>
      </c>
      <c r="R1370" s="29">
        <f t="shared" si="172"/>
        <v>5.2903184713375797</v>
      </c>
      <c r="S1370" s="30">
        <f t="shared" si="173"/>
        <v>9</v>
      </c>
      <c r="T1370" s="30">
        <f t="shared" si="174"/>
        <v>2023</v>
      </c>
      <c r="U1370" s="29" t="str">
        <f t="shared" si="175"/>
        <v>September</v>
      </c>
    </row>
    <row r="1371" spans="1:21" ht="17.399999999999999" x14ac:dyDescent="0.3">
      <c r="A1371" s="21" t="s">
        <v>3311</v>
      </c>
      <c r="B1371" s="22" t="s">
        <v>3899</v>
      </c>
      <c r="C1371" s="23" t="s">
        <v>3515</v>
      </c>
      <c r="D1371" s="22" t="s">
        <v>3545</v>
      </c>
      <c r="E1371" s="24">
        <v>45181</v>
      </c>
      <c r="F1371" s="24">
        <v>45200</v>
      </c>
      <c r="G1371" s="22" t="s">
        <v>24</v>
      </c>
      <c r="H1371" s="25">
        <v>66455</v>
      </c>
      <c r="I1371" s="25">
        <v>2763</v>
      </c>
      <c r="J1371" s="26">
        <v>2336.34</v>
      </c>
      <c r="K1371" s="25">
        <v>365</v>
      </c>
      <c r="L1371" s="21" t="s">
        <v>21</v>
      </c>
      <c r="M1371" s="22" t="s">
        <v>3536</v>
      </c>
      <c r="N1371" s="27">
        <f t="shared" si="168"/>
        <v>19</v>
      </c>
      <c r="O1371" s="28">
        <f t="shared" si="169"/>
        <v>4.1577006997216163E-2</v>
      </c>
      <c r="P1371" s="28">
        <f t="shared" si="170"/>
        <v>0.13210278682591386</v>
      </c>
      <c r="Q1371" s="26">
        <f t="shared" si="171"/>
        <v>0.84558089033659067</v>
      </c>
      <c r="R1371" s="29">
        <f t="shared" si="172"/>
        <v>6.4009315068493153</v>
      </c>
      <c r="S1371" s="30">
        <f t="shared" si="173"/>
        <v>9</v>
      </c>
      <c r="T1371" s="30">
        <f t="shared" si="174"/>
        <v>2023</v>
      </c>
      <c r="U1371" s="29" t="str">
        <f t="shared" si="175"/>
        <v>September</v>
      </c>
    </row>
    <row r="1372" spans="1:21" ht="17.399999999999999" x14ac:dyDescent="0.3">
      <c r="A1372" s="21" t="s">
        <v>3362</v>
      </c>
      <c r="B1372" s="21" t="s">
        <v>3363</v>
      </c>
      <c r="C1372" s="23" t="s">
        <v>3515</v>
      </c>
      <c r="D1372" s="21" t="s">
        <v>3517</v>
      </c>
      <c r="E1372" s="24">
        <v>45181</v>
      </c>
      <c r="F1372" s="24">
        <v>45203</v>
      </c>
      <c r="G1372" s="22" t="s">
        <v>14</v>
      </c>
      <c r="H1372" s="25">
        <v>44408</v>
      </c>
      <c r="I1372" s="25">
        <v>1415</v>
      </c>
      <c r="J1372" s="26">
        <v>1648.96</v>
      </c>
      <c r="K1372" s="25">
        <v>184</v>
      </c>
      <c r="L1372" s="21" t="s">
        <v>21</v>
      </c>
      <c r="M1372" s="22" t="s">
        <v>3537</v>
      </c>
      <c r="N1372" s="27">
        <f t="shared" si="168"/>
        <v>22</v>
      </c>
      <c r="O1372" s="28">
        <f t="shared" si="169"/>
        <v>3.1863628175103582E-2</v>
      </c>
      <c r="P1372" s="28">
        <f t="shared" si="170"/>
        <v>0.13003533568904593</v>
      </c>
      <c r="Q1372" s="26">
        <f t="shared" si="171"/>
        <v>1.1653427561837455</v>
      </c>
      <c r="R1372" s="29">
        <f t="shared" si="172"/>
        <v>8.9617391304347827</v>
      </c>
      <c r="S1372" s="30">
        <f t="shared" si="173"/>
        <v>9</v>
      </c>
      <c r="T1372" s="30">
        <f t="shared" si="174"/>
        <v>2023</v>
      </c>
      <c r="U1372" s="29" t="str">
        <f t="shared" si="175"/>
        <v>September</v>
      </c>
    </row>
    <row r="1373" spans="1:21" ht="17.399999999999999" x14ac:dyDescent="0.3">
      <c r="A1373" s="21" t="s">
        <v>1797</v>
      </c>
      <c r="B1373" s="22" t="s">
        <v>3900</v>
      </c>
      <c r="C1373" s="23" t="s">
        <v>3518</v>
      </c>
      <c r="D1373" s="22" t="s">
        <v>3545</v>
      </c>
      <c r="E1373" s="24">
        <v>45182</v>
      </c>
      <c r="F1373" s="24">
        <v>45190</v>
      </c>
      <c r="G1373" s="22" t="s">
        <v>24</v>
      </c>
      <c r="H1373" s="25">
        <v>86655</v>
      </c>
      <c r="I1373" s="25">
        <v>2771</v>
      </c>
      <c r="J1373" s="26">
        <v>5149.37</v>
      </c>
      <c r="K1373" s="25">
        <v>414</v>
      </c>
      <c r="L1373" s="21" t="s">
        <v>21</v>
      </c>
      <c r="M1373" s="22" t="s">
        <v>3536</v>
      </c>
      <c r="N1373" s="27">
        <f t="shared" si="168"/>
        <v>8</v>
      </c>
      <c r="O1373" s="28">
        <f t="shared" si="169"/>
        <v>3.1977381570596042E-2</v>
      </c>
      <c r="P1373" s="28">
        <f t="shared" si="170"/>
        <v>0.14940454709491158</v>
      </c>
      <c r="Q1373" s="26">
        <f t="shared" si="171"/>
        <v>1.8583074702273548</v>
      </c>
      <c r="R1373" s="29">
        <f t="shared" si="172"/>
        <v>12.438091787439614</v>
      </c>
      <c r="S1373" s="30">
        <f t="shared" si="173"/>
        <v>9</v>
      </c>
      <c r="T1373" s="30">
        <f t="shared" si="174"/>
        <v>2023</v>
      </c>
      <c r="U1373" s="29" t="str">
        <f t="shared" si="175"/>
        <v>September</v>
      </c>
    </row>
    <row r="1374" spans="1:21" ht="17.399999999999999" x14ac:dyDescent="0.3">
      <c r="A1374" s="21" t="s">
        <v>2975</v>
      </c>
      <c r="B1374" s="22" t="s">
        <v>3901</v>
      </c>
      <c r="C1374" s="23" t="s">
        <v>3518</v>
      </c>
      <c r="D1374" s="22" t="s">
        <v>3545</v>
      </c>
      <c r="E1374" s="24">
        <v>45182</v>
      </c>
      <c r="F1374" s="24">
        <v>45195</v>
      </c>
      <c r="G1374" s="22" t="s">
        <v>16</v>
      </c>
      <c r="H1374" s="25">
        <v>43520</v>
      </c>
      <c r="I1374" s="25">
        <v>1489</v>
      </c>
      <c r="J1374" s="26">
        <v>2612.89</v>
      </c>
      <c r="K1374" s="25">
        <v>90</v>
      </c>
      <c r="L1374" s="21" t="s">
        <v>21</v>
      </c>
      <c r="M1374" s="22" t="s">
        <v>16</v>
      </c>
      <c r="N1374" s="27">
        <f t="shared" si="168"/>
        <v>13</v>
      </c>
      <c r="O1374" s="28">
        <f t="shared" si="169"/>
        <v>3.4214154411764709E-2</v>
      </c>
      <c r="P1374" s="28">
        <f t="shared" si="170"/>
        <v>6.0443250503693757E-2</v>
      </c>
      <c r="Q1374" s="26">
        <f t="shared" si="171"/>
        <v>1.7547951645399595</v>
      </c>
      <c r="R1374" s="29">
        <f t="shared" si="172"/>
        <v>29.03211111111111</v>
      </c>
      <c r="S1374" s="30">
        <f t="shared" si="173"/>
        <v>9</v>
      </c>
      <c r="T1374" s="30">
        <f t="shared" si="174"/>
        <v>2023</v>
      </c>
      <c r="U1374" s="29" t="str">
        <f t="shared" si="175"/>
        <v>September</v>
      </c>
    </row>
    <row r="1375" spans="1:21" ht="17.399999999999999" x14ac:dyDescent="0.3">
      <c r="A1375" s="21" t="s">
        <v>1849</v>
      </c>
      <c r="B1375" s="21" t="s">
        <v>1850</v>
      </c>
      <c r="C1375" s="23" t="s">
        <v>3516</v>
      </c>
      <c r="D1375" s="21" t="s">
        <v>3517</v>
      </c>
      <c r="E1375" s="24">
        <v>45182</v>
      </c>
      <c r="F1375" s="24">
        <v>45190</v>
      </c>
      <c r="G1375" s="22" t="s">
        <v>14</v>
      </c>
      <c r="H1375" s="25">
        <v>50376</v>
      </c>
      <c r="I1375" s="25">
        <v>1443</v>
      </c>
      <c r="J1375" s="26">
        <v>1030.94</v>
      </c>
      <c r="K1375" s="25">
        <v>85</v>
      </c>
      <c r="L1375" s="21" t="s">
        <v>21</v>
      </c>
      <c r="M1375" s="22" t="s">
        <v>3537</v>
      </c>
      <c r="N1375" s="27">
        <f t="shared" si="168"/>
        <v>8</v>
      </c>
      <c r="O1375" s="28">
        <f t="shared" si="169"/>
        <v>2.864459266317294E-2</v>
      </c>
      <c r="P1375" s="28">
        <f t="shared" si="170"/>
        <v>5.8905058905058906E-2</v>
      </c>
      <c r="Q1375" s="26">
        <f t="shared" si="171"/>
        <v>0.71444213444213445</v>
      </c>
      <c r="R1375" s="29">
        <f t="shared" si="172"/>
        <v>12.128705882352941</v>
      </c>
      <c r="S1375" s="30">
        <f t="shared" si="173"/>
        <v>9</v>
      </c>
      <c r="T1375" s="30">
        <f t="shared" si="174"/>
        <v>2023</v>
      </c>
      <c r="U1375" s="29" t="str">
        <f t="shared" si="175"/>
        <v>September</v>
      </c>
    </row>
    <row r="1376" spans="1:21" ht="17.399999999999999" x14ac:dyDescent="0.3">
      <c r="A1376" s="21" t="s">
        <v>1953</v>
      </c>
      <c r="B1376" s="21" t="s">
        <v>1954</v>
      </c>
      <c r="C1376" s="23" t="s">
        <v>3516</v>
      </c>
      <c r="D1376" s="21" t="s">
        <v>3520</v>
      </c>
      <c r="E1376" s="24">
        <v>45182</v>
      </c>
      <c r="F1376" s="24">
        <v>45188</v>
      </c>
      <c r="G1376" s="22" t="s">
        <v>11</v>
      </c>
      <c r="H1376" s="25">
        <v>83985</v>
      </c>
      <c r="I1376" s="25">
        <v>2331</v>
      </c>
      <c r="J1376" s="26">
        <v>1892.01</v>
      </c>
      <c r="K1376" s="25">
        <v>0</v>
      </c>
      <c r="L1376" s="21" t="s">
        <v>17</v>
      </c>
      <c r="M1376" s="22" t="s">
        <v>11</v>
      </c>
      <c r="N1376" s="27">
        <f t="shared" si="168"/>
        <v>6</v>
      </c>
      <c r="O1376" s="28">
        <f t="shared" si="169"/>
        <v>2.7754956242186105E-2</v>
      </c>
      <c r="P1376" s="28">
        <f t="shared" si="170"/>
        <v>0</v>
      </c>
      <c r="Q1376" s="26">
        <f t="shared" si="171"/>
        <v>0.81167310167310169</v>
      </c>
      <c r="R1376" s="29" t="str">
        <f t="shared" si="172"/>
        <v>0</v>
      </c>
      <c r="S1376" s="30">
        <f t="shared" si="173"/>
        <v>9</v>
      </c>
      <c r="T1376" s="30">
        <f t="shared" si="174"/>
        <v>2023</v>
      </c>
      <c r="U1376" s="29" t="str">
        <f t="shared" si="175"/>
        <v>September</v>
      </c>
    </row>
    <row r="1377" spans="1:21" ht="17.399999999999999" x14ac:dyDescent="0.3">
      <c r="A1377" s="21" t="s">
        <v>2382</v>
      </c>
      <c r="B1377" s="21" t="s">
        <v>2383</v>
      </c>
      <c r="C1377" s="23" t="s">
        <v>3516</v>
      </c>
      <c r="D1377" s="21" t="s">
        <v>3520</v>
      </c>
      <c r="E1377" s="24">
        <v>45182</v>
      </c>
      <c r="F1377" s="24">
        <v>45210</v>
      </c>
      <c r="G1377" s="22" t="s">
        <v>16</v>
      </c>
      <c r="H1377" s="25">
        <v>21079</v>
      </c>
      <c r="I1377" s="25">
        <v>773</v>
      </c>
      <c r="J1377" s="26">
        <v>468.73</v>
      </c>
      <c r="K1377" s="25">
        <v>99</v>
      </c>
      <c r="L1377" s="21" t="s">
        <v>21</v>
      </c>
      <c r="M1377" s="22" t="s">
        <v>16</v>
      </c>
      <c r="N1377" s="27">
        <f t="shared" si="168"/>
        <v>28</v>
      </c>
      <c r="O1377" s="28">
        <f t="shared" si="169"/>
        <v>3.6671568860002848E-2</v>
      </c>
      <c r="P1377" s="28">
        <f t="shared" si="170"/>
        <v>0.12807244501940493</v>
      </c>
      <c r="Q1377" s="26">
        <f t="shared" si="171"/>
        <v>0.60637774902975428</v>
      </c>
      <c r="R1377" s="29">
        <f t="shared" si="172"/>
        <v>4.734646464646465</v>
      </c>
      <c r="S1377" s="30">
        <f t="shared" si="173"/>
        <v>9</v>
      </c>
      <c r="T1377" s="30">
        <f t="shared" si="174"/>
        <v>2023</v>
      </c>
      <c r="U1377" s="29" t="str">
        <f t="shared" si="175"/>
        <v>September</v>
      </c>
    </row>
    <row r="1378" spans="1:21" ht="17.399999999999999" x14ac:dyDescent="0.3">
      <c r="A1378" s="21" t="s">
        <v>2861</v>
      </c>
      <c r="B1378" s="21" t="s">
        <v>2862</v>
      </c>
      <c r="C1378" s="23" t="s">
        <v>3516</v>
      </c>
      <c r="D1378" s="21" t="s">
        <v>3517</v>
      </c>
      <c r="E1378" s="24">
        <v>45182</v>
      </c>
      <c r="F1378" s="24">
        <v>45207</v>
      </c>
      <c r="G1378" s="22" t="s">
        <v>31</v>
      </c>
      <c r="H1378" s="25">
        <v>46028</v>
      </c>
      <c r="I1378" s="25">
        <v>792</v>
      </c>
      <c r="J1378" s="26">
        <v>419.79</v>
      </c>
      <c r="K1378" s="25">
        <v>147</v>
      </c>
      <c r="L1378" s="21" t="s">
        <v>21</v>
      </c>
      <c r="M1378" s="22" t="s">
        <v>31</v>
      </c>
      <c r="N1378" s="27">
        <f t="shared" si="168"/>
        <v>25</v>
      </c>
      <c r="O1378" s="28">
        <f t="shared" si="169"/>
        <v>1.7206917528460937E-2</v>
      </c>
      <c r="P1378" s="28">
        <f t="shared" si="170"/>
        <v>0.18560606060606061</v>
      </c>
      <c r="Q1378" s="26">
        <f t="shared" si="171"/>
        <v>0.53003787878787878</v>
      </c>
      <c r="R1378" s="29">
        <f t="shared" si="172"/>
        <v>2.8557142857142859</v>
      </c>
      <c r="S1378" s="30">
        <f t="shared" si="173"/>
        <v>9</v>
      </c>
      <c r="T1378" s="30">
        <f t="shared" si="174"/>
        <v>2023</v>
      </c>
      <c r="U1378" s="29" t="str">
        <f t="shared" si="175"/>
        <v>September</v>
      </c>
    </row>
    <row r="1379" spans="1:21" ht="17.399999999999999" x14ac:dyDescent="0.3">
      <c r="A1379" s="21" t="s">
        <v>976</v>
      </c>
      <c r="B1379" s="22" t="s">
        <v>3902</v>
      </c>
      <c r="C1379" s="23" t="s">
        <v>3515</v>
      </c>
      <c r="D1379" s="22" t="s">
        <v>3545</v>
      </c>
      <c r="E1379" s="24">
        <v>45182</v>
      </c>
      <c r="F1379" s="24">
        <v>45186</v>
      </c>
      <c r="G1379" s="22" t="s">
        <v>11</v>
      </c>
      <c r="H1379" s="25">
        <v>71588</v>
      </c>
      <c r="I1379" s="25">
        <v>978</v>
      </c>
      <c r="J1379" s="26">
        <v>807.27</v>
      </c>
      <c r="K1379" s="25">
        <v>74</v>
      </c>
      <c r="L1379" s="21" t="s">
        <v>21</v>
      </c>
      <c r="M1379" s="22" t="s">
        <v>11</v>
      </c>
      <c r="N1379" s="27">
        <f t="shared" si="168"/>
        <v>4</v>
      </c>
      <c r="O1379" s="28">
        <f t="shared" si="169"/>
        <v>1.3661507515226016E-2</v>
      </c>
      <c r="P1379" s="28">
        <f t="shared" si="170"/>
        <v>7.5664621676891614E-2</v>
      </c>
      <c r="Q1379" s="26">
        <f t="shared" si="171"/>
        <v>0.82542944785276073</v>
      </c>
      <c r="R1379" s="29">
        <f t="shared" si="172"/>
        <v>10.909054054054053</v>
      </c>
      <c r="S1379" s="30">
        <f t="shared" si="173"/>
        <v>9</v>
      </c>
      <c r="T1379" s="30">
        <f t="shared" si="174"/>
        <v>2023</v>
      </c>
      <c r="U1379" s="29" t="str">
        <f t="shared" si="175"/>
        <v>September</v>
      </c>
    </row>
    <row r="1380" spans="1:21" ht="17.399999999999999" x14ac:dyDescent="0.3">
      <c r="A1380" s="21" t="s">
        <v>3208</v>
      </c>
      <c r="B1380" s="21" t="s">
        <v>3209</v>
      </c>
      <c r="C1380" s="23" t="s">
        <v>3519</v>
      </c>
      <c r="D1380" s="21" t="s">
        <v>3521</v>
      </c>
      <c r="E1380" s="24">
        <v>45183</v>
      </c>
      <c r="F1380" s="24">
        <v>45195</v>
      </c>
      <c r="G1380" s="22" t="s">
        <v>31</v>
      </c>
      <c r="H1380" s="25">
        <v>24411</v>
      </c>
      <c r="I1380" s="25">
        <v>385</v>
      </c>
      <c r="J1380" s="26">
        <v>553.71</v>
      </c>
      <c r="K1380" s="25">
        <v>48</v>
      </c>
      <c r="L1380" s="21" t="s">
        <v>17</v>
      </c>
      <c r="M1380" s="22" t="s">
        <v>31</v>
      </c>
      <c r="N1380" s="27">
        <f t="shared" si="168"/>
        <v>12</v>
      </c>
      <c r="O1380" s="28">
        <f t="shared" si="169"/>
        <v>1.5771578386792839E-2</v>
      </c>
      <c r="P1380" s="28">
        <f t="shared" si="170"/>
        <v>0.12467532467532468</v>
      </c>
      <c r="Q1380" s="26">
        <f t="shared" si="171"/>
        <v>1.4382077922077923</v>
      </c>
      <c r="R1380" s="29">
        <f t="shared" si="172"/>
        <v>11.535625000000001</v>
      </c>
      <c r="S1380" s="30">
        <f t="shared" si="173"/>
        <v>9</v>
      </c>
      <c r="T1380" s="30">
        <f t="shared" si="174"/>
        <v>2023</v>
      </c>
      <c r="U1380" s="29" t="str">
        <f t="shared" si="175"/>
        <v>September</v>
      </c>
    </row>
    <row r="1381" spans="1:21" ht="17.399999999999999" x14ac:dyDescent="0.3">
      <c r="A1381" s="21" t="s">
        <v>876</v>
      </c>
      <c r="B1381" s="22" t="s">
        <v>3903</v>
      </c>
      <c r="C1381" s="23" t="s">
        <v>3516</v>
      </c>
      <c r="D1381" s="22" t="s">
        <v>3545</v>
      </c>
      <c r="E1381" s="24">
        <v>45183</v>
      </c>
      <c r="F1381" s="24">
        <v>45201</v>
      </c>
      <c r="G1381" s="22" t="s">
        <v>31</v>
      </c>
      <c r="H1381" s="25">
        <v>86067</v>
      </c>
      <c r="I1381" s="25">
        <v>2321</v>
      </c>
      <c r="J1381" s="26">
        <v>4605.21</v>
      </c>
      <c r="K1381" s="25">
        <v>134</v>
      </c>
      <c r="L1381" s="21" t="s">
        <v>17</v>
      </c>
      <c r="M1381" s="22" t="s">
        <v>31</v>
      </c>
      <c r="N1381" s="27">
        <f t="shared" si="168"/>
        <v>18</v>
      </c>
      <c r="O1381" s="28">
        <f t="shared" si="169"/>
        <v>2.6967362636085838E-2</v>
      </c>
      <c r="P1381" s="28">
        <f t="shared" si="170"/>
        <v>5.7733735458853942E-2</v>
      </c>
      <c r="Q1381" s="26">
        <f t="shared" si="171"/>
        <v>1.9841490736751402</v>
      </c>
      <c r="R1381" s="29">
        <f t="shared" si="172"/>
        <v>34.367238805970146</v>
      </c>
      <c r="S1381" s="30">
        <f t="shared" si="173"/>
        <v>9</v>
      </c>
      <c r="T1381" s="30">
        <f t="shared" si="174"/>
        <v>2023</v>
      </c>
      <c r="U1381" s="29" t="str">
        <f t="shared" si="175"/>
        <v>September</v>
      </c>
    </row>
    <row r="1382" spans="1:21" ht="17.399999999999999" x14ac:dyDescent="0.3">
      <c r="A1382" s="21" t="s">
        <v>3145</v>
      </c>
      <c r="B1382" s="21" t="s">
        <v>3146</v>
      </c>
      <c r="C1382" s="23" t="s">
        <v>3516</v>
      </c>
      <c r="D1382" s="21" t="s">
        <v>3517</v>
      </c>
      <c r="E1382" s="24">
        <v>45183</v>
      </c>
      <c r="F1382" s="24">
        <v>45204</v>
      </c>
      <c r="G1382" s="22" t="s">
        <v>16</v>
      </c>
      <c r="H1382" s="25">
        <v>64888</v>
      </c>
      <c r="I1382" s="25">
        <v>1572</v>
      </c>
      <c r="J1382" s="26">
        <v>1411.36</v>
      </c>
      <c r="K1382" s="25">
        <v>243</v>
      </c>
      <c r="L1382" s="21" t="s">
        <v>21</v>
      </c>
      <c r="M1382" s="22" t="s">
        <v>16</v>
      </c>
      <c r="N1382" s="27">
        <f t="shared" si="168"/>
        <v>21</v>
      </c>
      <c r="O1382" s="28">
        <f t="shared" si="169"/>
        <v>2.4226359265195414E-2</v>
      </c>
      <c r="P1382" s="28">
        <f t="shared" si="170"/>
        <v>0.15458015267175573</v>
      </c>
      <c r="Q1382" s="26">
        <f t="shared" si="171"/>
        <v>0.89781170483460548</v>
      </c>
      <c r="R1382" s="29">
        <f t="shared" si="172"/>
        <v>5.8080658436213985</v>
      </c>
      <c r="S1382" s="30">
        <f t="shared" si="173"/>
        <v>9</v>
      </c>
      <c r="T1382" s="30">
        <f t="shared" si="174"/>
        <v>2023</v>
      </c>
      <c r="U1382" s="29" t="str">
        <f t="shared" si="175"/>
        <v>September</v>
      </c>
    </row>
    <row r="1383" spans="1:21" ht="17.399999999999999" x14ac:dyDescent="0.3">
      <c r="A1383" s="21" t="s">
        <v>1176</v>
      </c>
      <c r="B1383" s="21" t="s">
        <v>1177</v>
      </c>
      <c r="C1383" s="23" t="s">
        <v>3515</v>
      </c>
      <c r="D1383" s="21" t="s">
        <v>3520</v>
      </c>
      <c r="E1383" s="24">
        <v>45183</v>
      </c>
      <c r="F1383" s="24">
        <v>45195</v>
      </c>
      <c r="G1383" s="22" t="s">
        <v>3535</v>
      </c>
      <c r="H1383" s="25">
        <v>45261</v>
      </c>
      <c r="I1383" s="25">
        <v>1730</v>
      </c>
      <c r="J1383" s="26">
        <v>1538.11</v>
      </c>
      <c r="K1383" s="25">
        <v>216</v>
      </c>
      <c r="L1383" s="21" t="s">
        <v>17</v>
      </c>
      <c r="M1383" s="22" t="s">
        <v>3535</v>
      </c>
      <c r="N1383" s="27">
        <f t="shared" si="168"/>
        <v>12</v>
      </c>
      <c r="O1383" s="28">
        <f t="shared" si="169"/>
        <v>3.8222752480060095E-2</v>
      </c>
      <c r="P1383" s="28">
        <f t="shared" si="170"/>
        <v>0.12485549132947976</v>
      </c>
      <c r="Q1383" s="26">
        <f t="shared" si="171"/>
        <v>0.88908092485549128</v>
      </c>
      <c r="R1383" s="29">
        <f t="shared" si="172"/>
        <v>7.1208796296296288</v>
      </c>
      <c r="S1383" s="30">
        <f t="shared" si="173"/>
        <v>9</v>
      </c>
      <c r="T1383" s="30">
        <f t="shared" si="174"/>
        <v>2023</v>
      </c>
      <c r="U1383" s="29" t="str">
        <f t="shared" si="175"/>
        <v>September</v>
      </c>
    </row>
    <row r="1384" spans="1:21" ht="17.399999999999999" x14ac:dyDescent="0.3">
      <c r="A1384" s="21" t="s">
        <v>2272</v>
      </c>
      <c r="B1384" s="21" t="s">
        <v>2273</v>
      </c>
      <c r="C1384" s="23" t="s">
        <v>3518</v>
      </c>
      <c r="D1384" s="21" t="s">
        <v>3521</v>
      </c>
      <c r="E1384" s="24">
        <v>45184</v>
      </c>
      <c r="F1384" s="24">
        <v>45195</v>
      </c>
      <c r="G1384" s="22" t="s">
        <v>14</v>
      </c>
      <c r="H1384" s="25">
        <v>43460</v>
      </c>
      <c r="I1384" s="25">
        <v>1026</v>
      </c>
      <c r="J1384" s="26">
        <v>1903.1</v>
      </c>
      <c r="K1384" s="25">
        <v>144</v>
      </c>
      <c r="L1384" s="21" t="s">
        <v>21</v>
      </c>
      <c r="M1384" s="22" t="s">
        <v>3537</v>
      </c>
      <c r="N1384" s="27">
        <f t="shared" si="168"/>
        <v>11</v>
      </c>
      <c r="O1384" s="28">
        <f t="shared" si="169"/>
        <v>2.3607915324436263E-2</v>
      </c>
      <c r="P1384" s="28">
        <f t="shared" si="170"/>
        <v>0.14035087719298245</v>
      </c>
      <c r="Q1384" s="26">
        <f t="shared" si="171"/>
        <v>1.8548732943469786</v>
      </c>
      <c r="R1384" s="29">
        <f t="shared" si="172"/>
        <v>13.215972222222222</v>
      </c>
      <c r="S1384" s="30">
        <f t="shared" si="173"/>
        <v>9</v>
      </c>
      <c r="T1384" s="30">
        <f t="shared" si="174"/>
        <v>2023</v>
      </c>
      <c r="U1384" s="29" t="str">
        <f t="shared" si="175"/>
        <v>September</v>
      </c>
    </row>
    <row r="1385" spans="1:21" ht="17.399999999999999" x14ac:dyDescent="0.3">
      <c r="A1385" s="21" t="s">
        <v>2833</v>
      </c>
      <c r="B1385" s="21" t="s">
        <v>2834</v>
      </c>
      <c r="C1385" s="23" t="s">
        <v>3518</v>
      </c>
      <c r="D1385" s="21" t="s">
        <v>3521</v>
      </c>
      <c r="E1385" s="24">
        <v>45184</v>
      </c>
      <c r="F1385" s="24">
        <v>45185</v>
      </c>
      <c r="G1385" s="22" t="s">
        <v>24</v>
      </c>
      <c r="H1385" s="25">
        <v>35801</v>
      </c>
      <c r="I1385" s="25">
        <v>1099</v>
      </c>
      <c r="J1385" s="26">
        <v>1462.04</v>
      </c>
      <c r="K1385" s="25">
        <v>148</v>
      </c>
      <c r="L1385" s="21" t="s">
        <v>21</v>
      </c>
      <c r="M1385" s="22" t="s">
        <v>3536</v>
      </c>
      <c r="N1385" s="27">
        <f t="shared" si="168"/>
        <v>1</v>
      </c>
      <c r="O1385" s="28">
        <f t="shared" si="169"/>
        <v>3.0697466551213654E-2</v>
      </c>
      <c r="P1385" s="28">
        <f t="shared" si="170"/>
        <v>0.13466787989080983</v>
      </c>
      <c r="Q1385" s="26">
        <f t="shared" si="171"/>
        <v>1.330336669699727</v>
      </c>
      <c r="R1385" s="29">
        <f t="shared" si="172"/>
        <v>9.8786486486486478</v>
      </c>
      <c r="S1385" s="30">
        <f t="shared" si="173"/>
        <v>9</v>
      </c>
      <c r="T1385" s="30">
        <f t="shared" si="174"/>
        <v>2023</v>
      </c>
      <c r="U1385" s="29" t="str">
        <f t="shared" si="175"/>
        <v>September</v>
      </c>
    </row>
    <row r="1386" spans="1:21" ht="17.399999999999999" x14ac:dyDescent="0.3">
      <c r="A1386" s="21" t="s">
        <v>936</v>
      </c>
      <c r="B1386" s="21" t="s">
        <v>937</v>
      </c>
      <c r="C1386" s="23" t="s">
        <v>3515</v>
      </c>
      <c r="D1386" s="21" t="s">
        <v>3517</v>
      </c>
      <c r="E1386" s="24">
        <v>45184</v>
      </c>
      <c r="F1386" s="24">
        <v>45213</v>
      </c>
      <c r="G1386" s="22" t="s">
        <v>16</v>
      </c>
      <c r="H1386" s="25">
        <v>61160</v>
      </c>
      <c r="I1386" s="25">
        <v>1825</v>
      </c>
      <c r="J1386" s="26">
        <v>3453.18</v>
      </c>
      <c r="K1386" s="25">
        <v>0</v>
      </c>
      <c r="L1386" s="21" t="s">
        <v>17</v>
      </c>
      <c r="M1386" s="22" t="s">
        <v>16</v>
      </c>
      <c r="N1386" s="27">
        <f t="shared" si="168"/>
        <v>29</v>
      </c>
      <c r="O1386" s="28">
        <f t="shared" si="169"/>
        <v>2.9839764551994767E-2</v>
      </c>
      <c r="P1386" s="28">
        <f t="shared" si="170"/>
        <v>0</v>
      </c>
      <c r="Q1386" s="26">
        <f t="shared" si="171"/>
        <v>1.8921534246575342</v>
      </c>
      <c r="R1386" s="29" t="str">
        <f t="shared" si="172"/>
        <v>0</v>
      </c>
      <c r="S1386" s="30">
        <f t="shared" si="173"/>
        <v>9</v>
      </c>
      <c r="T1386" s="30">
        <f t="shared" si="174"/>
        <v>2023</v>
      </c>
      <c r="U1386" s="29" t="str">
        <f t="shared" si="175"/>
        <v>September</v>
      </c>
    </row>
    <row r="1387" spans="1:21" ht="17.399999999999999" x14ac:dyDescent="0.3">
      <c r="A1387" s="21" t="s">
        <v>3248</v>
      </c>
      <c r="B1387" s="21" t="s">
        <v>3249</v>
      </c>
      <c r="C1387" s="23" t="s">
        <v>3515</v>
      </c>
      <c r="D1387" s="21" t="s">
        <v>3520</v>
      </c>
      <c r="E1387" s="24">
        <v>45184</v>
      </c>
      <c r="F1387" s="24">
        <v>45201</v>
      </c>
      <c r="G1387" s="22" t="s">
        <v>24</v>
      </c>
      <c r="H1387" s="25">
        <v>20982</v>
      </c>
      <c r="I1387" s="25">
        <v>584</v>
      </c>
      <c r="J1387" s="26">
        <v>847.87</v>
      </c>
      <c r="K1387" s="25">
        <v>57</v>
      </c>
      <c r="L1387" s="21" t="s">
        <v>21</v>
      </c>
      <c r="M1387" s="22" t="s">
        <v>3536</v>
      </c>
      <c r="N1387" s="27">
        <f t="shared" si="168"/>
        <v>17</v>
      </c>
      <c r="O1387" s="28">
        <f t="shared" si="169"/>
        <v>2.7833380993232293E-2</v>
      </c>
      <c r="P1387" s="28">
        <f t="shared" si="170"/>
        <v>9.7602739726027399E-2</v>
      </c>
      <c r="Q1387" s="26">
        <f t="shared" si="171"/>
        <v>1.4518321917808219</v>
      </c>
      <c r="R1387" s="29">
        <f t="shared" si="172"/>
        <v>14.874912280701755</v>
      </c>
      <c r="S1387" s="30">
        <f t="shared" si="173"/>
        <v>9</v>
      </c>
      <c r="T1387" s="30">
        <f t="shared" si="174"/>
        <v>2023</v>
      </c>
      <c r="U1387" s="29" t="str">
        <f t="shared" si="175"/>
        <v>September</v>
      </c>
    </row>
    <row r="1388" spans="1:21" ht="17.399999999999999" x14ac:dyDescent="0.3">
      <c r="A1388" s="21" t="s">
        <v>2417</v>
      </c>
      <c r="B1388" s="22" t="s">
        <v>3904</v>
      </c>
      <c r="C1388" s="23" t="s">
        <v>3519</v>
      </c>
      <c r="D1388" s="22" t="s">
        <v>3545</v>
      </c>
      <c r="E1388" s="24">
        <v>45185</v>
      </c>
      <c r="F1388" s="24">
        <v>45186</v>
      </c>
      <c r="G1388" s="22" t="s">
        <v>14</v>
      </c>
      <c r="H1388" s="25">
        <v>8083</v>
      </c>
      <c r="I1388" s="25">
        <v>327</v>
      </c>
      <c r="J1388" s="26">
        <v>223.29</v>
      </c>
      <c r="K1388" s="25">
        <v>33</v>
      </c>
      <c r="L1388" s="21" t="s">
        <v>21</v>
      </c>
      <c r="M1388" s="22" t="s">
        <v>3537</v>
      </c>
      <c r="N1388" s="27">
        <f t="shared" si="168"/>
        <v>1</v>
      </c>
      <c r="O1388" s="28">
        <f t="shared" si="169"/>
        <v>4.0455276506247681E-2</v>
      </c>
      <c r="P1388" s="28">
        <f t="shared" si="170"/>
        <v>0.10091743119266056</v>
      </c>
      <c r="Q1388" s="26">
        <f t="shared" si="171"/>
        <v>0.68284403669724769</v>
      </c>
      <c r="R1388" s="29">
        <f t="shared" si="172"/>
        <v>6.7663636363636357</v>
      </c>
      <c r="S1388" s="30">
        <f t="shared" si="173"/>
        <v>9</v>
      </c>
      <c r="T1388" s="30">
        <f t="shared" si="174"/>
        <v>2023</v>
      </c>
      <c r="U1388" s="29" t="str">
        <f t="shared" si="175"/>
        <v>September</v>
      </c>
    </row>
    <row r="1389" spans="1:21" ht="17.399999999999999" x14ac:dyDescent="0.3">
      <c r="A1389" s="21" t="s">
        <v>310</v>
      </c>
      <c r="B1389" s="21" t="s">
        <v>311</v>
      </c>
      <c r="C1389" s="23" t="s">
        <v>3518</v>
      </c>
      <c r="D1389" s="21" t="s">
        <v>3517</v>
      </c>
      <c r="E1389" s="24">
        <v>45185</v>
      </c>
      <c r="F1389" s="24">
        <v>45196</v>
      </c>
      <c r="G1389" s="22" t="s">
        <v>3535</v>
      </c>
      <c r="H1389" s="25">
        <v>43941</v>
      </c>
      <c r="I1389" s="25">
        <v>1392</v>
      </c>
      <c r="J1389" s="26">
        <v>1479.92</v>
      </c>
      <c r="K1389" s="25">
        <v>183</v>
      </c>
      <c r="L1389" s="21" t="s">
        <v>21</v>
      </c>
      <c r="M1389" s="22" t="s">
        <v>3535</v>
      </c>
      <c r="N1389" s="27">
        <f t="shared" si="168"/>
        <v>11</v>
      </c>
      <c r="O1389" s="28">
        <f t="shared" si="169"/>
        <v>3.1678842083703147E-2</v>
      </c>
      <c r="P1389" s="28">
        <f t="shared" si="170"/>
        <v>0.13146551724137931</v>
      </c>
      <c r="Q1389" s="26">
        <f t="shared" si="171"/>
        <v>1.0631609195402298</v>
      </c>
      <c r="R1389" s="29">
        <f t="shared" si="172"/>
        <v>8.0869945355191266</v>
      </c>
      <c r="S1389" s="30">
        <f t="shared" si="173"/>
        <v>9</v>
      </c>
      <c r="T1389" s="30">
        <f t="shared" si="174"/>
        <v>2023</v>
      </c>
      <c r="U1389" s="29" t="str">
        <f t="shared" si="175"/>
        <v>September</v>
      </c>
    </row>
    <row r="1390" spans="1:21" ht="17.399999999999999" x14ac:dyDescent="0.3">
      <c r="A1390" s="21" t="s">
        <v>1457</v>
      </c>
      <c r="B1390" s="22" t="s">
        <v>3905</v>
      </c>
      <c r="C1390" s="23" t="s">
        <v>3518</v>
      </c>
      <c r="D1390" s="22" t="s">
        <v>3545</v>
      </c>
      <c r="E1390" s="24">
        <v>45185</v>
      </c>
      <c r="F1390" s="24">
        <v>45198</v>
      </c>
      <c r="G1390" s="22" t="s">
        <v>24</v>
      </c>
      <c r="H1390" s="25">
        <v>57397</v>
      </c>
      <c r="I1390" s="25">
        <v>2842</v>
      </c>
      <c r="J1390" s="26">
        <v>3384.84</v>
      </c>
      <c r="K1390" s="25">
        <v>192</v>
      </c>
      <c r="L1390" s="21" t="s">
        <v>17</v>
      </c>
      <c r="M1390" s="22" t="s">
        <v>3536</v>
      </c>
      <c r="N1390" s="27">
        <f t="shared" si="168"/>
        <v>13</v>
      </c>
      <c r="O1390" s="28">
        <f t="shared" si="169"/>
        <v>4.9514783002595958E-2</v>
      </c>
      <c r="P1390" s="28">
        <f t="shared" si="170"/>
        <v>6.755805770584096E-2</v>
      </c>
      <c r="Q1390" s="26">
        <f t="shared" si="171"/>
        <v>1.19100633356791</v>
      </c>
      <c r="R1390" s="29">
        <f t="shared" si="172"/>
        <v>17.629375</v>
      </c>
      <c r="S1390" s="30">
        <f t="shared" si="173"/>
        <v>9</v>
      </c>
      <c r="T1390" s="30">
        <f t="shared" si="174"/>
        <v>2023</v>
      </c>
      <c r="U1390" s="29" t="str">
        <f t="shared" si="175"/>
        <v>September</v>
      </c>
    </row>
    <row r="1391" spans="1:21" ht="17.399999999999999" x14ac:dyDescent="0.3">
      <c r="A1391" s="21" t="s">
        <v>1668</v>
      </c>
      <c r="B1391" s="22" t="s">
        <v>3906</v>
      </c>
      <c r="C1391" s="23" t="s">
        <v>3518</v>
      </c>
      <c r="D1391" s="22" t="s">
        <v>3545</v>
      </c>
      <c r="E1391" s="24">
        <v>45185</v>
      </c>
      <c r="F1391" s="24">
        <v>45188</v>
      </c>
      <c r="G1391" s="22" t="s">
        <v>3535</v>
      </c>
      <c r="H1391" s="25">
        <v>51428</v>
      </c>
      <c r="I1391" s="25">
        <v>1430</v>
      </c>
      <c r="J1391" s="26">
        <v>1696.22</v>
      </c>
      <c r="K1391" s="25">
        <v>82</v>
      </c>
      <c r="L1391" s="21" t="s">
        <v>17</v>
      </c>
      <c r="M1391" s="22" t="s">
        <v>3535</v>
      </c>
      <c r="N1391" s="27">
        <f t="shared" si="168"/>
        <v>3</v>
      </c>
      <c r="O1391" s="28">
        <f t="shared" si="169"/>
        <v>2.7805864509605663E-2</v>
      </c>
      <c r="P1391" s="28">
        <f t="shared" si="170"/>
        <v>5.7342657342657345E-2</v>
      </c>
      <c r="Q1391" s="26">
        <f t="shared" si="171"/>
        <v>1.1861678321678322</v>
      </c>
      <c r="R1391" s="29">
        <f t="shared" si="172"/>
        <v>20.685609756097563</v>
      </c>
      <c r="S1391" s="30">
        <f t="shared" si="173"/>
        <v>9</v>
      </c>
      <c r="T1391" s="30">
        <f t="shared" si="174"/>
        <v>2023</v>
      </c>
      <c r="U1391" s="29" t="str">
        <f t="shared" si="175"/>
        <v>September</v>
      </c>
    </row>
    <row r="1392" spans="1:21" ht="17.399999999999999" x14ac:dyDescent="0.3">
      <c r="A1392" s="21" t="s">
        <v>1324</v>
      </c>
      <c r="B1392" s="21" t="s">
        <v>1325</v>
      </c>
      <c r="C1392" s="23" t="s">
        <v>3515</v>
      </c>
      <c r="D1392" s="21" t="s">
        <v>3520</v>
      </c>
      <c r="E1392" s="24">
        <v>45185</v>
      </c>
      <c r="F1392" s="24">
        <v>45189</v>
      </c>
      <c r="G1392" s="22" t="s">
        <v>3535</v>
      </c>
      <c r="H1392" s="25">
        <v>8114</v>
      </c>
      <c r="I1392" s="25">
        <v>338</v>
      </c>
      <c r="J1392" s="26">
        <v>428.4</v>
      </c>
      <c r="K1392" s="25">
        <v>62</v>
      </c>
      <c r="L1392" s="21" t="s">
        <v>21</v>
      </c>
      <c r="M1392" s="22" t="s">
        <v>3535</v>
      </c>
      <c r="N1392" s="27">
        <f t="shared" si="168"/>
        <v>4</v>
      </c>
      <c r="O1392" s="28">
        <f t="shared" si="169"/>
        <v>4.1656396351984225E-2</v>
      </c>
      <c r="P1392" s="28">
        <f t="shared" si="170"/>
        <v>0.18343195266272189</v>
      </c>
      <c r="Q1392" s="26">
        <f t="shared" si="171"/>
        <v>1.2674556213017751</v>
      </c>
      <c r="R1392" s="29">
        <f t="shared" si="172"/>
        <v>6.9096774193548383</v>
      </c>
      <c r="S1392" s="30">
        <f t="shared" si="173"/>
        <v>9</v>
      </c>
      <c r="T1392" s="30">
        <f t="shared" si="174"/>
        <v>2023</v>
      </c>
      <c r="U1392" s="29" t="str">
        <f t="shared" si="175"/>
        <v>September</v>
      </c>
    </row>
    <row r="1393" spans="1:21" ht="17.399999999999999" x14ac:dyDescent="0.3">
      <c r="A1393" s="21" t="s">
        <v>2506</v>
      </c>
      <c r="B1393" s="22" t="s">
        <v>3907</v>
      </c>
      <c r="C1393" s="23" t="s">
        <v>3515</v>
      </c>
      <c r="D1393" s="22" t="s">
        <v>3545</v>
      </c>
      <c r="E1393" s="24">
        <v>45185</v>
      </c>
      <c r="F1393" s="24">
        <v>45193</v>
      </c>
      <c r="G1393" s="22" t="s">
        <v>24</v>
      </c>
      <c r="H1393" s="25">
        <v>47828</v>
      </c>
      <c r="I1393" s="25">
        <v>1081</v>
      </c>
      <c r="J1393" s="26">
        <v>1757.05</v>
      </c>
      <c r="K1393" s="25">
        <v>197</v>
      </c>
      <c r="L1393" s="21" t="s">
        <v>17</v>
      </c>
      <c r="M1393" s="22" t="s">
        <v>3536</v>
      </c>
      <c r="N1393" s="27">
        <f t="shared" si="168"/>
        <v>8</v>
      </c>
      <c r="O1393" s="28">
        <f t="shared" si="169"/>
        <v>2.2601823199799281E-2</v>
      </c>
      <c r="P1393" s="28">
        <f t="shared" si="170"/>
        <v>0.18223866790009249</v>
      </c>
      <c r="Q1393" s="26">
        <f t="shared" si="171"/>
        <v>1.6253931544865865</v>
      </c>
      <c r="R1393" s="29">
        <f t="shared" si="172"/>
        <v>8.9190355329949238</v>
      </c>
      <c r="S1393" s="30">
        <f t="shared" si="173"/>
        <v>9</v>
      </c>
      <c r="T1393" s="30">
        <f t="shared" si="174"/>
        <v>2023</v>
      </c>
      <c r="U1393" s="29" t="str">
        <f t="shared" si="175"/>
        <v>September</v>
      </c>
    </row>
    <row r="1394" spans="1:21" ht="17.399999999999999" x14ac:dyDescent="0.3">
      <c r="A1394" s="21" t="s">
        <v>91</v>
      </c>
      <c r="B1394" s="21" t="s">
        <v>92</v>
      </c>
      <c r="C1394" s="23" t="s">
        <v>3518</v>
      </c>
      <c r="D1394" s="21" t="s">
        <v>3521</v>
      </c>
      <c r="E1394" s="24">
        <v>45186</v>
      </c>
      <c r="F1394" s="24">
        <v>45202</v>
      </c>
      <c r="G1394" s="22" t="s">
        <v>11</v>
      </c>
      <c r="H1394" s="25">
        <v>88313</v>
      </c>
      <c r="I1394" s="25">
        <v>1127</v>
      </c>
      <c r="J1394" s="26">
        <v>670.24</v>
      </c>
      <c r="K1394" s="25">
        <v>96</v>
      </c>
      <c r="L1394" s="21" t="s">
        <v>17</v>
      </c>
      <c r="M1394" s="22" t="s">
        <v>11</v>
      </c>
      <c r="N1394" s="27">
        <f t="shared" si="168"/>
        <v>16</v>
      </c>
      <c r="O1394" s="28">
        <f t="shared" si="169"/>
        <v>1.2761428102317892E-2</v>
      </c>
      <c r="P1394" s="28">
        <f t="shared" si="170"/>
        <v>8.5181898846495116E-2</v>
      </c>
      <c r="Q1394" s="26">
        <f t="shared" si="171"/>
        <v>0.5947116237799468</v>
      </c>
      <c r="R1394" s="29">
        <f t="shared" si="172"/>
        <v>6.9816666666666665</v>
      </c>
      <c r="S1394" s="30">
        <f t="shared" si="173"/>
        <v>9</v>
      </c>
      <c r="T1394" s="30">
        <f t="shared" si="174"/>
        <v>2023</v>
      </c>
      <c r="U1394" s="29" t="str">
        <f t="shared" si="175"/>
        <v>September</v>
      </c>
    </row>
    <row r="1395" spans="1:21" ht="17.399999999999999" x14ac:dyDescent="0.3">
      <c r="A1395" s="21" t="s">
        <v>2222</v>
      </c>
      <c r="B1395" s="21" t="s">
        <v>2223</v>
      </c>
      <c r="C1395" s="23" t="s">
        <v>3516</v>
      </c>
      <c r="D1395" s="21" t="s">
        <v>3520</v>
      </c>
      <c r="E1395" s="24">
        <v>45186</v>
      </c>
      <c r="F1395" s="24">
        <v>45209</v>
      </c>
      <c r="G1395" s="22" t="s">
        <v>16</v>
      </c>
      <c r="H1395" s="25">
        <v>11395</v>
      </c>
      <c r="I1395" s="25">
        <v>320</v>
      </c>
      <c r="J1395" s="26">
        <v>232.66</v>
      </c>
      <c r="K1395" s="25">
        <v>40</v>
      </c>
      <c r="L1395" s="21" t="s">
        <v>21</v>
      </c>
      <c r="M1395" s="22" t="s">
        <v>16</v>
      </c>
      <c r="N1395" s="27">
        <f t="shared" si="168"/>
        <v>23</v>
      </c>
      <c r="O1395" s="28">
        <f t="shared" si="169"/>
        <v>2.8082492321193506E-2</v>
      </c>
      <c r="P1395" s="28">
        <f t="shared" si="170"/>
        <v>0.125</v>
      </c>
      <c r="Q1395" s="26">
        <f t="shared" si="171"/>
        <v>0.72706249999999994</v>
      </c>
      <c r="R1395" s="29">
        <f t="shared" si="172"/>
        <v>5.8164999999999996</v>
      </c>
      <c r="S1395" s="30">
        <f t="shared" si="173"/>
        <v>9</v>
      </c>
      <c r="T1395" s="30">
        <f t="shared" si="174"/>
        <v>2023</v>
      </c>
      <c r="U1395" s="29" t="str">
        <f t="shared" si="175"/>
        <v>September</v>
      </c>
    </row>
    <row r="1396" spans="1:21" ht="17.399999999999999" x14ac:dyDescent="0.3">
      <c r="A1396" s="21" t="s">
        <v>3034</v>
      </c>
      <c r="B1396" s="21" t="s">
        <v>3035</v>
      </c>
      <c r="C1396" s="23" t="s">
        <v>3516</v>
      </c>
      <c r="D1396" s="21" t="s">
        <v>3521</v>
      </c>
      <c r="E1396" s="24">
        <v>45186</v>
      </c>
      <c r="F1396" s="24">
        <v>45196</v>
      </c>
      <c r="G1396" s="22" t="s">
        <v>14</v>
      </c>
      <c r="H1396" s="25">
        <v>84624</v>
      </c>
      <c r="I1396" s="25">
        <v>2981</v>
      </c>
      <c r="J1396" s="26">
        <v>4953.32</v>
      </c>
      <c r="K1396" s="25">
        <v>358</v>
      </c>
      <c r="L1396" s="21" t="s">
        <v>17</v>
      </c>
      <c r="M1396" s="22" t="s">
        <v>3537</v>
      </c>
      <c r="N1396" s="27">
        <f t="shared" si="168"/>
        <v>10</v>
      </c>
      <c r="O1396" s="28">
        <f t="shared" si="169"/>
        <v>3.5226413310644737E-2</v>
      </c>
      <c r="P1396" s="28">
        <f t="shared" si="170"/>
        <v>0.1200939282120094</v>
      </c>
      <c r="Q1396" s="26">
        <f t="shared" si="171"/>
        <v>1.6616303253941629</v>
      </c>
      <c r="R1396" s="29">
        <f t="shared" si="172"/>
        <v>13.83608938547486</v>
      </c>
      <c r="S1396" s="30">
        <f t="shared" si="173"/>
        <v>9</v>
      </c>
      <c r="T1396" s="30">
        <f t="shared" si="174"/>
        <v>2023</v>
      </c>
      <c r="U1396" s="29" t="str">
        <f t="shared" si="175"/>
        <v>September</v>
      </c>
    </row>
    <row r="1397" spans="1:21" ht="17.399999999999999" x14ac:dyDescent="0.3">
      <c r="A1397" s="21" t="s">
        <v>3379</v>
      </c>
      <c r="B1397" s="21" t="s">
        <v>3380</v>
      </c>
      <c r="C1397" s="23" t="s">
        <v>3516</v>
      </c>
      <c r="D1397" s="21" t="s">
        <v>3520</v>
      </c>
      <c r="E1397" s="24">
        <v>45186</v>
      </c>
      <c r="F1397" s="24">
        <v>45206</v>
      </c>
      <c r="G1397" s="22" t="s">
        <v>3535</v>
      </c>
      <c r="H1397" s="25">
        <v>75441</v>
      </c>
      <c r="I1397" s="25">
        <v>2300</v>
      </c>
      <c r="J1397" s="26">
        <v>1533.47</v>
      </c>
      <c r="K1397" s="25">
        <v>453</v>
      </c>
      <c r="L1397" s="21" t="s">
        <v>21</v>
      </c>
      <c r="M1397" s="22" t="s">
        <v>3535</v>
      </c>
      <c r="N1397" s="27">
        <f t="shared" si="168"/>
        <v>20</v>
      </c>
      <c r="O1397" s="28">
        <f t="shared" si="169"/>
        <v>3.0487400750255165E-2</v>
      </c>
      <c r="P1397" s="28">
        <f t="shared" si="170"/>
        <v>0.19695652173913045</v>
      </c>
      <c r="Q1397" s="26">
        <f t="shared" si="171"/>
        <v>0.6667260869565218</v>
      </c>
      <c r="R1397" s="29">
        <f t="shared" si="172"/>
        <v>3.3851434878587199</v>
      </c>
      <c r="S1397" s="30">
        <f t="shared" si="173"/>
        <v>9</v>
      </c>
      <c r="T1397" s="30">
        <f t="shared" si="174"/>
        <v>2023</v>
      </c>
      <c r="U1397" s="29" t="str">
        <f t="shared" si="175"/>
        <v>September</v>
      </c>
    </row>
    <row r="1398" spans="1:21" ht="17.399999999999999" x14ac:dyDescent="0.3">
      <c r="A1398" s="21" t="s">
        <v>987</v>
      </c>
      <c r="B1398" s="21" t="s">
        <v>988</v>
      </c>
      <c r="C1398" s="23" t="s">
        <v>3515</v>
      </c>
      <c r="D1398" s="21" t="s">
        <v>3520</v>
      </c>
      <c r="E1398" s="24">
        <v>45186</v>
      </c>
      <c r="F1398" s="24">
        <v>45215</v>
      </c>
      <c r="G1398" s="22" t="s">
        <v>11</v>
      </c>
      <c r="H1398" s="25">
        <v>21764</v>
      </c>
      <c r="I1398" s="25">
        <v>864</v>
      </c>
      <c r="J1398" s="26">
        <v>1103.69</v>
      </c>
      <c r="K1398" s="25">
        <v>46</v>
      </c>
      <c r="L1398" s="21" t="s">
        <v>21</v>
      </c>
      <c r="M1398" s="22" t="s">
        <v>11</v>
      </c>
      <c r="N1398" s="27">
        <f t="shared" si="168"/>
        <v>29</v>
      </c>
      <c r="O1398" s="28">
        <f t="shared" si="169"/>
        <v>3.9698584818967105E-2</v>
      </c>
      <c r="P1398" s="28">
        <f t="shared" si="170"/>
        <v>5.3240740740740741E-2</v>
      </c>
      <c r="Q1398" s="26">
        <f t="shared" si="171"/>
        <v>1.2774189814814816</v>
      </c>
      <c r="R1398" s="29">
        <f t="shared" si="172"/>
        <v>23.993260869565219</v>
      </c>
      <c r="S1398" s="30">
        <f t="shared" si="173"/>
        <v>9</v>
      </c>
      <c r="T1398" s="30">
        <f t="shared" si="174"/>
        <v>2023</v>
      </c>
      <c r="U1398" s="29" t="str">
        <f t="shared" si="175"/>
        <v>September</v>
      </c>
    </row>
    <row r="1399" spans="1:21" ht="17.399999999999999" x14ac:dyDescent="0.3">
      <c r="A1399" s="21" t="s">
        <v>1588</v>
      </c>
      <c r="B1399" s="21" t="s">
        <v>1589</v>
      </c>
      <c r="C1399" s="23" t="s">
        <v>3515</v>
      </c>
      <c r="D1399" s="21" t="s">
        <v>3521</v>
      </c>
      <c r="E1399" s="24">
        <v>45186</v>
      </c>
      <c r="F1399" s="24">
        <v>45190</v>
      </c>
      <c r="G1399" s="22" t="s">
        <v>24</v>
      </c>
      <c r="H1399" s="25">
        <v>7254</v>
      </c>
      <c r="I1399" s="25">
        <v>203</v>
      </c>
      <c r="J1399" s="26">
        <v>223.05</v>
      </c>
      <c r="K1399" s="25">
        <v>10</v>
      </c>
      <c r="L1399" s="21" t="s">
        <v>21</v>
      </c>
      <c r="M1399" s="22" t="s">
        <v>3536</v>
      </c>
      <c r="N1399" s="27">
        <f t="shared" si="168"/>
        <v>4</v>
      </c>
      <c r="O1399" s="28">
        <f t="shared" si="169"/>
        <v>2.7984560242624759E-2</v>
      </c>
      <c r="P1399" s="28">
        <f t="shared" si="170"/>
        <v>4.9261083743842367E-2</v>
      </c>
      <c r="Q1399" s="26">
        <f t="shared" si="171"/>
        <v>1.098768472906404</v>
      </c>
      <c r="R1399" s="29">
        <f t="shared" si="172"/>
        <v>22.305</v>
      </c>
      <c r="S1399" s="30">
        <f t="shared" si="173"/>
        <v>9</v>
      </c>
      <c r="T1399" s="30">
        <f t="shared" si="174"/>
        <v>2023</v>
      </c>
      <c r="U1399" s="29" t="str">
        <f t="shared" si="175"/>
        <v>September</v>
      </c>
    </row>
    <row r="1400" spans="1:21" ht="17.399999999999999" x14ac:dyDescent="0.3">
      <c r="A1400" s="21" t="s">
        <v>1187</v>
      </c>
      <c r="B1400" s="21" t="s">
        <v>1188</v>
      </c>
      <c r="C1400" s="23" t="s">
        <v>3519</v>
      </c>
      <c r="D1400" s="21" t="s">
        <v>3517</v>
      </c>
      <c r="E1400" s="24">
        <v>45187</v>
      </c>
      <c r="F1400" s="24">
        <v>45214</v>
      </c>
      <c r="G1400" s="22" t="s">
        <v>16</v>
      </c>
      <c r="H1400" s="25">
        <v>63856</v>
      </c>
      <c r="I1400" s="25">
        <v>656</v>
      </c>
      <c r="J1400" s="26">
        <v>610.73</v>
      </c>
      <c r="K1400" s="25">
        <v>0</v>
      </c>
      <c r="L1400" s="21" t="s">
        <v>17</v>
      </c>
      <c r="M1400" s="22" t="s">
        <v>16</v>
      </c>
      <c r="N1400" s="27">
        <f t="shared" si="168"/>
        <v>27</v>
      </c>
      <c r="O1400" s="28">
        <f t="shared" si="169"/>
        <v>1.0273114507642195E-2</v>
      </c>
      <c r="P1400" s="28">
        <f t="shared" si="170"/>
        <v>0</v>
      </c>
      <c r="Q1400" s="26">
        <f t="shared" si="171"/>
        <v>0.93099085365853662</v>
      </c>
      <c r="R1400" s="29" t="str">
        <f t="shared" si="172"/>
        <v>0</v>
      </c>
      <c r="S1400" s="30">
        <f t="shared" si="173"/>
        <v>9</v>
      </c>
      <c r="T1400" s="30">
        <f t="shared" si="174"/>
        <v>2023</v>
      </c>
      <c r="U1400" s="29" t="str">
        <f t="shared" si="175"/>
        <v>September</v>
      </c>
    </row>
    <row r="1401" spans="1:21" ht="17.399999999999999" x14ac:dyDescent="0.3">
      <c r="A1401" s="21" t="s">
        <v>2422</v>
      </c>
      <c r="B1401" s="21" t="s">
        <v>2423</v>
      </c>
      <c r="C1401" s="23" t="s">
        <v>3519</v>
      </c>
      <c r="D1401" s="21" t="s">
        <v>3517</v>
      </c>
      <c r="E1401" s="24">
        <v>45187</v>
      </c>
      <c r="F1401" s="24">
        <v>45207</v>
      </c>
      <c r="G1401" s="22" t="s">
        <v>16</v>
      </c>
      <c r="H1401" s="25">
        <v>46648</v>
      </c>
      <c r="I1401" s="25">
        <v>876</v>
      </c>
      <c r="J1401" s="26">
        <v>959.34</v>
      </c>
      <c r="K1401" s="25">
        <v>83</v>
      </c>
      <c r="L1401" s="21" t="s">
        <v>21</v>
      </c>
      <c r="M1401" s="22" t="s">
        <v>16</v>
      </c>
      <c r="N1401" s="27">
        <f t="shared" si="168"/>
        <v>20</v>
      </c>
      <c r="O1401" s="28">
        <f t="shared" si="169"/>
        <v>1.8778940147487565E-2</v>
      </c>
      <c r="P1401" s="28">
        <f t="shared" si="170"/>
        <v>9.4748858447488579E-2</v>
      </c>
      <c r="Q1401" s="26">
        <f t="shared" si="171"/>
        <v>1.0951369863013698</v>
      </c>
      <c r="R1401" s="29">
        <f t="shared" si="172"/>
        <v>11.558313253012049</v>
      </c>
      <c r="S1401" s="30">
        <f t="shared" si="173"/>
        <v>9</v>
      </c>
      <c r="T1401" s="30">
        <f t="shared" si="174"/>
        <v>2023</v>
      </c>
      <c r="U1401" s="29" t="str">
        <f t="shared" si="175"/>
        <v>September</v>
      </c>
    </row>
    <row r="1402" spans="1:21" ht="17.399999999999999" x14ac:dyDescent="0.3">
      <c r="A1402" s="21" t="s">
        <v>74</v>
      </c>
      <c r="B1402" s="21" t="s">
        <v>75</v>
      </c>
      <c r="C1402" s="23" t="s">
        <v>3518</v>
      </c>
      <c r="D1402" s="21" t="s">
        <v>3521</v>
      </c>
      <c r="E1402" s="24">
        <v>45187</v>
      </c>
      <c r="F1402" s="24">
        <v>45191</v>
      </c>
      <c r="G1402" s="22" t="s">
        <v>24</v>
      </c>
      <c r="H1402" s="25">
        <v>68435</v>
      </c>
      <c r="I1402" s="25">
        <v>1959</v>
      </c>
      <c r="J1402" s="26">
        <v>2546.46</v>
      </c>
      <c r="K1402" s="25">
        <v>128</v>
      </c>
      <c r="L1402" s="21" t="s">
        <v>21</v>
      </c>
      <c r="M1402" s="22" t="s">
        <v>3536</v>
      </c>
      <c r="N1402" s="27">
        <f t="shared" si="168"/>
        <v>4</v>
      </c>
      <c r="O1402" s="28">
        <f t="shared" si="169"/>
        <v>2.8625703222035507E-2</v>
      </c>
      <c r="P1402" s="28">
        <f t="shared" si="170"/>
        <v>6.5339458907605924E-2</v>
      </c>
      <c r="Q1402" s="26">
        <f t="shared" si="171"/>
        <v>1.2998774885145483</v>
      </c>
      <c r="R1402" s="29">
        <f t="shared" si="172"/>
        <v>19.89421875</v>
      </c>
      <c r="S1402" s="30">
        <f t="shared" si="173"/>
        <v>9</v>
      </c>
      <c r="T1402" s="30">
        <f t="shared" si="174"/>
        <v>2023</v>
      </c>
      <c r="U1402" s="29" t="str">
        <f t="shared" si="175"/>
        <v>September</v>
      </c>
    </row>
    <row r="1403" spans="1:21" ht="17.399999999999999" x14ac:dyDescent="0.3">
      <c r="A1403" s="21" t="s">
        <v>537</v>
      </c>
      <c r="B1403" s="21" t="s">
        <v>538</v>
      </c>
      <c r="C1403" s="23" t="s">
        <v>3516</v>
      </c>
      <c r="D1403" s="21" t="s">
        <v>3517</v>
      </c>
      <c r="E1403" s="24">
        <v>45187</v>
      </c>
      <c r="F1403" s="24">
        <v>45190</v>
      </c>
      <c r="G1403" s="22" t="s">
        <v>31</v>
      </c>
      <c r="H1403" s="25">
        <v>33711</v>
      </c>
      <c r="I1403" s="25">
        <v>1354</v>
      </c>
      <c r="J1403" s="26">
        <v>2203.65</v>
      </c>
      <c r="K1403" s="25">
        <v>190</v>
      </c>
      <c r="L1403" s="21" t="s">
        <v>21</v>
      </c>
      <c r="M1403" s="22" t="s">
        <v>31</v>
      </c>
      <c r="N1403" s="27">
        <f t="shared" si="168"/>
        <v>3</v>
      </c>
      <c r="O1403" s="28">
        <f t="shared" si="169"/>
        <v>4.0164931328053155E-2</v>
      </c>
      <c r="P1403" s="28">
        <f t="shared" si="170"/>
        <v>0.14032496307237813</v>
      </c>
      <c r="Q1403" s="26">
        <f t="shared" si="171"/>
        <v>1.6275110782865585</v>
      </c>
      <c r="R1403" s="29">
        <f t="shared" si="172"/>
        <v>11.598157894736843</v>
      </c>
      <c r="S1403" s="30">
        <f t="shared" si="173"/>
        <v>9</v>
      </c>
      <c r="T1403" s="30">
        <f t="shared" si="174"/>
        <v>2023</v>
      </c>
      <c r="U1403" s="29" t="str">
        <f t="shared" si="175"/>
        <v>September</v>
      </c>
    </row>
    <row r="1404" spans="1:21" ht="17.399999999999999" x14ac:dyDescent="0.3">
      <c r="A1404" s="21" t="s">
        <v>2527</v>
      </c>
      <c r="B1404" s="22" t="s">
        <v>3908</v>
      </c>
      <c r="C1404" s="23" t="s">
        <v>3516</v>
      </c>
      <c r="D1404" s="22" t="s">
        <v>3545</v>
      </c>
      <c r="E1404" s="24">
        <v>45187</v>
      </c>
      <c r="F1404" s="24">
        <v>45195</v>
      </c>
      <c r="G1404" s="22" t="s">
        <v>3535</v>
      </c>
      <c r="H1404" s="25">
        <v>62120</v>
      </c>
      <c r="I1404" s="25">
        <v>771</v>
      </c>
      <c r="J1404" s="26">
        <v>1004.19</v>
      </c>
      <c r="K1404" s="25">
        <v>144</v>
      </c>
      <c r="L1404" s="21" t="s">
        <v>17</v>
      </c>
      <c r="M1404" s="22" t="s">
        <v>3535</v>
      </c>
      <c r="N1404" s="27">
        <f t="shared" si="168"/>
        <v>8</v>
      </c>
      <c r="O1404" s="28">
        <f t="shared" si="169"/>
        <v>1.2411461687057309E-2</v>
      </c>
      <c r="P1404" s="28">
        <f t="shared" si="170"/>
        <v>0.1867704280155642</v>
      </c>
      <c r="Q1404" s="26">
        <f t="shared" si="171"/>
        <v>1.3024513618677043</v>
      </c>
      <c r="R1404" s="29">
        <f t="shared" si="172"/>
        <v>6.9735416666666667</v>
      </c>
      <c r="S1404" s="30">
        <f t="shared" si="173"/>
        <v>9</v>
      </c>
      <c r="T1404" s="30">
        <f t="shared" si="174"/>
        <v>2023</v>
      </c>
      <c r="U1404" s="29" t="str">
        <f t="shared" si="175"/>
        <v>September</v>
      </c>
    </row>
    <row r="1405" spans="1:21" ht="17.399999999999999" x14ac:dyDescent="0.3">
      <c r="A1405" s="21" t="s">
        <v>1855</v>
      </c>
      <c r="B1405" s="22" t="s">
        <v>3909</v>
      </c>
      <c r="C1405" s="23" t="s">
        <v>3515</v>
      </c>
      <c r="D1405" s="22" t="s">
        <v>3545</v>
      </c>
      <c r="E1405" s="24">
        <v>45187</v>
      </c>
      <c r="F1405" s="24">
        <v>45197</v>
      </c>
      <c r="G1405" s="22" t="s">
        <v>24</v>
      </c>
      <c r="H1405" s="25">
        <v>68584</v>
      </c>
      <c r="I1405" s="25">
        <v>1748</v>
      </c>
      <c r="J1405" s="26">
        <v>2441.98</v>
      </c>
      <c r="K1405" s="25">
        <v>137</v>
      </c>
      <c r="L1405" s="21" t="s">
        <v>17</v>
      </c>
      <c r="M1405" s="22" t="s">
        <v>3536</v>
      </c>
      <c r="N1405" s="27">
        <f t="shared" si="168"/>
        <v>10</v>
      </c>
      <c r="O1405" s="28">
        <f t="shared" si="169"/>
        <v>2.5486994051090634E-2</v>
      </c>
      <c r="P1405" s="28">
        <f t="shared" si="170"/>
        <v>7.8375286041189929E-2</v>
      </c>
      <c r="Q1405" s="26">
        <f t="shared" si="171"/>
        <v>1.3970137299771168</v>
      </c>
      <c r="R1405" s="29">
        <f t="shared" si="172"/>
        <v>17.824671532846715</v>
      </c>
      <c r="S1405" s="30">
        <f t="shared" si="173"/>
        <v>9</v>
      </c>
      <c r="T1405" s="30">
        <f t="shared" si="174"/>
        <v>2023</v>
      </c>
      <c r="U1405" s="29" t="str">
        <f t="shared" si="175"/>
        <v>September</v>
      </c>
    </row>
    <row r="1406" spans="1:21" ht="17.399999999999999" x14ac:dyDescent="0.3">
      <c r="A1406" s="21" t="s">
        <v>2304</v>
      </c>
      <c r="B1406" s="21" t="s">
        <v>2305</v>
      </c>
      <c r="C1406" s="23" t="s">
        <v>3518</v>
      </c>
      <c r="D1406" s="21" t="s">
        <v>3517</v>
      </c>
      <c r="E1406" s="24">
        <v>45188</v>
      </c>
      <c r="F1406" s="24">
        <v>45208</v>
      </c>
      <c r="G1406" s="22" t="s">
        <v>24</v>
      </c>
      <c r="H1406" s="25">
        <v>53487</v>
      </c>
      <c r="I1406" s="25">
        <v>2341</v>
      </c>
      <c r="J1406" s="26">
        <v>2245.1799999999998</v>
      </c>
      <c r="K1406" s="25">
        <v>404</v>
      </c>
      <c r="L1406" s="21" t="s">
        <v>21</v>
      </c>
      <c r="M1406" s="22" t="s">
        <v>3536</v>
      </c>
      <c r="N1406" s="27">
        <f t="shared" si="168"/>
        <v>20</v>
      </c>
      <c r="O1406" s="28">
        <f t="shared" si="169"/>
        <v>4.3767644474358255E-2</v>
      </c>
      <c r="P1406" s="28">
        <f t="shared" si="170"/>
        <v>0.17257582229816318</v>
      </c>
      <c r="Q1406" s="26">
        <f t="shared" si="171"/>
        <v>0.95906877402819302</v>
      </c>
      <c r="R1406" s="29">
        <f t="shared" si="172"/>
        <v>5.5573762376237621</v>
      </c>
      <c r="S1406" s="30">
        <f t="shared" si="173"/>
        <v>9</v>
      </c>
      <c r="T1406" s="30">
        <f t="shared" si="174"/>
        <v>2023</v>
      </c>
      <c r="U1406" s="29" t="str">
        <f t="shared" si="175"/>
        <v>September</v>
      </c>
    </row>
    <row r="1407" spans="1:21" ht="17.399999999999999" x14ac:dyDescent="0.3">
      <c r="A1407" s="21" t="s">
        <v>3297</v>
      </c>
      <c r="B1407" s="22" t="s">
        <v>3910</v>
      </c>
      <c r="C1407" s="23" t="s">
        <v>3518</v>
      </c>
      <c r="D1407" s="22" t="s">
        <v>3545</v>
      </c>
      <c r="E1407" s="24">
        <v>45188</v>
      </c>
      <c r="F1407" s="24">
        <v>45201</v>
      </c>
      <c r="G1407" s="22" t="s">
        <v>14</v>
      </c>
      <c r="H1407" s="25">
        <v>1526</v>
      </c>
      <c r="I1407" s="25">
        <v>43</v>
      </c>
      <c r="J1407" s="26">
        <v>56.5</v>
      </c>
      <c r="K1407" s="25">
        <v>7</v>
      </c>
      <c r="L1407" s="21" t="s">
        <v>21</v>
      </c>
      <c r="M1407" s="22" t="s">
        <v>3537</v>
      </c>
      <c r="N1407" s="27">
        <f t="shared" si="168"/>
        <v>13</v>
      </c>
      <c r="O1407" s="28">
        <f t="shared" si="169"/>
        <v>2.8178243774574049E-2</v>
      </c>
      <c r="P1407" s="28">
        <f t="shared" si="170"/>
        <v>0.16279069767441862</v>
      </c>
      <c r="Q1407" s="26">
        <f t="shared" si="171"/>
        <v>1.3139534883720929</v>
      </c>
      <c r="R1407" s="29">
        <f t="shared" si="172"/>
        <v>8.0714285714285712</v>
      </c>
      <c r="S1407" s="30">
        <f t="shared" si="173"/>
        <v>9</v>
      </c>
      <c r="T1407" s="30">
        <f t="shared" si="174"/>
        <v>2023</v>
      </c>
      <c r="U1407" s="29" t="str">
        <f t="shared" si="175"/>
        <v>September</v>
      </c>
    </row>
    <row r="1408" spans="1:21" ht="17.399999999999999" x14ac:dyDescent="0.3">
      <c r="A1408" s="21" t="s">
        <v>841</v>
      </c>
      <c r="B1408" s="21" t="s">
        <v>842</v>
      </c>
      <c r="C1408" s="23" t="s">
        <v>3516</v>
      </c>
      <c r="D1408" s="21" t="s">
        <v>3517</v>
      </c>
      <c r="E1408" s="24">
        <v>45188</v>
      </c>
      <c r="F1408" s="24">
        <v>45195</v>
      </c>
      <c r="G1408" s="22" t="s">
        <v>14</v>
      </c>
      <c r="H1408" s="25">
        <v>90480</v>
      </c>
      <c r="I1408" s="25">
        <v>1077</v>
      </c>
      <c r="J1408" s="26">
        <v>1668.87</v>
      </c>
      <c r="K1408" s="25">
        <v>67</v>
      </c>
      <c r="L1408" s="21" t="s">
        <v>21</v>
      </c>
      <c r="M1408" s="22" t="s">
        <v>3537</v>
      </c>
      <c r="N1408" s="27">
        <f t="shared" si="168"/>
        <v>7</v>
      </c>
      <c r="O1408" s="28">
        <f t="shared" si="169"/>
        <v>1.1903183023872679E-2</v>
      </c>
      <c r="P1408" s="28">
        <f t="shared" si="170"/>
        <v>6.2209842154131847E-2</v>
      </c>
      <c r="Q1408" s="26">
        <f t="shared" si="171"/>
        <v>1.5495543175487465</v>
      </c>
      <c r="R1408" s="29">
        <f t="shared" si="172"/>
        <v>24.908507462686565</v>
      </c>
      <c r="S1408" s="30">
        <f t="shared" si="173"/>
        <v>9</v>
      </c>
      <c r="T1408" s="30">
        <f t="shared" si="174"/>
        <v>2023</v>
      </c>
      <c r="U1408" s="29" t="str">
        <f t="shared" si="175"/>
        <v>September</v>
      </c>
    </row>
    <row r="1409" spans="1:21" ht="17.399999999999999" x14ac:dyDescent="0.3">
      <c r="A1409" s="21" t="s">
        <v>1331</v>
      </c>
      <c r="B1409" s="21" t="s">
        <v>1332</v>
      </c>
      <c r="C1409" s="23" t="s">
        <v>3516</v>
      </c>
      <c r="D1409" s="21" t="s">
        <v>3517</v>
      </c>
      <c r="E1409" s="24">
        <v>45188</v>
      </c>
      <c r="F1409" s="24">
        <v>45214</v>
      </c>
      <c r="G1409" s="22" t="s">
        <v>24</v>
      </c>
      <c r="H1409" s="25">
        <v>22447</v>
      </c>
      <c r="I1409" s="25">
        <v>713</v>
      </c>
      <c r="J1409" s="26">
        <v>1387.31</v>
      </c>
      <c r="K1409" s="25">
        <v>140</v>
      </c>
      <c r="L1409" s="21" t="s">
        <v>17</v>
      </c>
      <c r="M1409" s="22" t="s">
        <v>3536</v>
      </c>
      <c r="N1409" s="27">
        <f t="shared" si="168"/>
        <v>26</v>
      </c>
      <c r="O1409" s="28">
        <f t="shared" si="169"/>
        <v>3.1763710072615498E-2</v>
      </c>
      <c r="P1409" s="28">
        <f t="shared" si="170"/>
        <v>0.19635343618513323</v>
      </c>
      <c r="Q1409" s="26">
        <f t="shared" si="171"/>
        <v>1.9457363253856941</v>
      </c>
      <c r="R1409" s="29">
        <f t="shared" si="172"/>
        <v>9.909357142857143</v>
      </c>
      <c r="S1409" s="30">
        <f t="shared" si="173"/>
        <v>9</v>
      </c>
      <c r="T1409" s="30">
        <f t="shared" si="174"/>
        <v>2023</v>
      </c>
      <c r="U1409" s="29" t="str">
        <f t="shared" si="175"/>
        <v>September</v>
      </c>
    </row>
    <row r="1410" spans="1:21" ht="17.399999999999999" x14ac:dyDescent="0.3">
      <c r="A1410" s="21" t="s">
        <v>2828</v>
      </c>
      <c r="B1410" s="21" t="s">
        <v>2829</v>
      </c>
      <c r="C1410" s="23" t="s">
        <v>3515</v>
      </c>
      <c r="D1410" s="21" t="s">
        <v>3521</v>
      </c>
      <c r="E1410" s="24">
        <v>45188</v>
      </c>
      <c r="F1410" s="24">
        <v>45217</v>
      </c>
      <c r="G1410" s="22" t="s">
        <v>11</v>
      </c>
      <c r="H1410" s="25">
        <v>34933</v>
      </c>
      <c r="I1410" s="25">
        <v>1402</v>
      </c>
      <c r="J1410" s="26">
        <v>2445.1999999999998</v>
      </c>
      <c r="K1410" s="25">
        <v>81</v>
      </c>
      <c r="L1410" s="21" t="s">
        <v>17</v>
      </c>
      <c r="M1410" s="22" t="s">
        <v>11</v>
      </c>
      <c r="N1410" s="27">
        <f t="shared" ref="N1410:N1473" si="176">F1410-E1410</f>
        <v>29</v>
      </c>
      <c r="O1410" s="28">
        <f t="shared" ref="O1410:O1473" si="177">I1410/H1410</f>
        <v>4.0133970743995648E-2</v>
      </c>
      <c r="P1410" s="28">
        <f t="shared" ref="P1410:P1473" si="178">K1410/I1410</f>
        <v>5.7774607703281029E-2</v>
      </c>
      <c r="Q1410" s="26">
        <f t="shared" ref="Q1410:Q1473" si="179">J1410/I1410</f>
        <v>1.7440798858773179</v>
      </c>
      <c r="R1410" s="29">
        <f t="shared" ref="R1410:R1473" si="180">IFERROR(J1410/K1410,"0")</f>
        <v>30.187654320987651</v>
      </c>
      <c r="S1410" s="30">
        <f t="shared" ref="S1410:S1473" si="181">MONTH(E1410)</f>
        <v>9</v>
      </c>
      <c r="T1410" s="30">
        <f t="shared" ref="T1410:T1473" si="182">YEAR(E1410)</f>
        <v>2023</v>
      </c>
      <c r="U1410" s="29" t="str">
        <f t="shared" ref="U1410:U1473" si="183">TEXT(E1410,"mmmm")</f>
        <v>September</v>
      </c>
    </row>
    <row r="1411" spans="1:21" ht="17.399999999999999" x14ac:dyDescent="0.3">
      <c r="A1411" s="21" t="s">
        <v>3107</v>
      </c>
      <c r="B1411" s="22" t="s">
        <v>3911</v>
      </c>
      <c r="C1411" s="23" t="s">
        <v>3515</v>
      </c>
      <c r="D1411" s="22" t="s">
        <v>3545</v>
      </c>
      <c r="E1411" s="24">
        <v>45188</v>
      </c>
      <c r="F1411" s="24">
        <v>45203</v>
      </c>
      <c r="G1411" s="22" t="s">
        <v>16</v>
      </c>
      <c r="H1411" s="25">
        <v>32575</v>
      </c>
      <c r="I1411" s="25">
        <v>1289</v>
      </c>
      <c r="J1411" s="26">
        <v>1703.13</v>
      </c>
      <c r="K1411" s="25">
        <v>124</v>
      </c>
      <c r="L1411" s="21" t="s">
        <v>21</v>
      </c>
      <c r="M1411" s="22" t="s">
        <v>16</v>
      </c>
      <c r="N1411" s="27">
        <f t="shared" si="176"/>
        <v>15</v>
      </c>
      <c r="O1411" s="28">
        <f t="shared" si="177"/>
        <v>3.9570222563315424E-2</v>
      </c>
      <c r="P1411" s="28">
        <f t="shared" si="178"/>
        <v>9.6198603568657878E-2</v>
      </c>
      <c r="Q1411" s="26">
        <f t="shared" si="179"/>
        <v>1.3212800620636154</v>
      </c>
      <c r="R1411" s="29">
        <f t="shared" si="180"/>
        <v>13.734919354838711</v>
      </c>
      <c r="S1411" s="30">
        <f t="shared" si="181"/>
        <v>9</v>
      </c>
      <c r="T1411" s="30">
        <f t="shared" si="182"/>
        <v>2023</v>
      </c>
      <c r="U1411" s="29" t="str">
        <f t="shared" si="183"/>
        <v>September</v>
      </c>
    </row>
    <row r="1412" spans="1:21" ht="17.399999999999999" x14ac:dyDescent="0.3">
      <c r="A1412" s="21" t="s">
        <v>1043</v>
      </c>
      <c r="B1412" s="21" t="s">
        <v>1044</v>
      </c>
      <c r="C1412" s="23" t="s">
        <v>3519</v>
      </c>
      <c r="D1412" s="21" t="s">
        <v>3521</v>
      </c>
      <c r="E1412" s="24">
        <v>45189</v>
      </c>
      <c r="F1412" s="24">
        <v>45190</v>
      </c>
      <c r="G1412" s="22" t="s">
        <v>11</v>
      </c>
      <c r="H1412" s="25">
        <v>39756</v>
      </c>
      <c r="I1412" s="25">
        <v>1476</v>
      </c>
      <c r="J1412" s="26">
        <v>2734.1</v>
      </c>
      <c r="K1412" s="25">
        <v>140</v>
      </c>
      <c r="L1412" s="21" t="s">
        <v>21</v>
      </c>
      <c r="M1412" s="22" t="s">
        <v>11</v>
      </c>
      <c r="N1412" s="27">
        <f t="shared" si="176"/>
        <v>1</v>
      </c>
      <c r="O1412" s="28">
        <f t="shared" si="177"/>
        <v>3.712647147600362E-2</v>
      </c>
      <c r="P1412" s="28">
        <f t="shared" si="178"/>
        <v>9.4850948509485097E-2</v>
      </c>
      <c r="Q1412" s="26">
        <f t="shared" si="179"/>
        <v>1.8523712737127371</v>
      </c>
      <c r="R1412" s="29">
        <f t="shared" si="180"/>
        <v>19.529285714285713</v>
      </c>
      <c r="S1412" s="30">
        <f t="shared" si="181"/>
        <v>9</v>
      </c>
      <c r="T1412" s="30">
        <f t="shared" si="182"/>
        <v>2023</v>
      </c>
      <c r="U1412" s="29" t="str">
        <f t="shared" si="183"/>
        <v>September</v>
      </c>
    </row>
    <row r="1413" spans="1:21" ht="17.399999999999999" x14ac:dyDescent="0.3">
      <c r="A1413" s="21" t="s">
        <v>2436</v>
      </c>
      <c r="B1413" s="21" t="s">
        <v>2437</v>
      </c>
      <c r="C1413" s="23" t="s">
        <v>3519</v>
      </c>
      <c r="D1413" s="21" t="s">
        <v>3520</v>
      </c>
      <c r="E1413" s="24">
        <v>45189</v>
      </c>
      <c r="F1413" s="24">
        <v>45209</v>
      </c>
      <c r="G1413" s="22" t="s">
        <v>11</v>
      </c>
      <c r="H1413" s="25">
        <v>29529</v>
      </c>
      <c r="I1413" s="25">
        <v>809</v>
      </c>
      <c r="J1413" s="26">
        <v>1490.65</v>
      </c>
      <c r="K1413" s="25">
        <v>70</v>
      </c>
      <c r="L1413" s="21" t="s">
        <v>17</v>
      </c>
      <c r="M1413" s="22" t="s">
        <v>11</v>
      </c>
      <c r="N1413" s="27">
        <f t="shared" si="176"/>
        <v>20</v>
      </c>
      <c r="O1413" s="28">
        <f t="shared" si="177"/>
        <v>2.7396796369670493E-2</v>
      </c>
      <c r="P1413" s="28">
        <f t="shared" si="178"/>
        <v>8.6526576019777507E-2</v>
      </c>
      <c r="Q1413" s="26">
        <f t="shared" si="179"/>
        <v>1.842583436341162</v>
      </c>
      <c r="R1413" s="29">
        <f t="shared" si="180"/>
        <v>21.295000000000002</v>
      </c>
      <c r="S1413" s="30">
        <f t="shared" si="181"/>
        <v>9</v>
      </c>
      <c r="T1413" s="30">
        <f t="shared" si="182"/>
        <v>2023</v>
      </c>
      <c r="U1413" s="29" t="str">
        <f t="shared" si="183"/>
        <v>September</v>
      </c>
    </row>
    <row r="1414" spans="1:21" ht="17.399999999999999" x14ac:dyDescent="0.3">
      <c r="A1414" s="21" t="s">
        <v>804</v>
      </c>
      <c r="B1414" s="21" t="s">
        <v>805</v>
      </c>
      <c r="C1414" s="23" t="s">
        <v>3515</v>
      </c>
      <c r="D1414" s="21" t="s">
        <v>3517</v>
      </c>
      <c r="E1414" s="24">
        <v>45189</v>
      </c>
      <c r="F1414" s="24">
        <v>45218</v>
      </c>
      <c r="G1414" s="22" t="s">
        <v>3535</v>
      </c>
      <c r="H1414" s="25">
        <v>81738</v>
      </c>
      <c r="I1414" s="25">
        <v>1151</v>
      </c>
      <c r="J1414" s="26">
        <v>601.70000000000005</v>
      </c>
      <c r="K1414" s="25">
        <v>194</v>
      </c>
      <c r="L1414" s="21" t="s">
        <v>21</v>
      </c>
      <c r="M1414" s="22" t="s">
        <v>3535</v>
      </c>
      <c r="N1414" s="27">
        <f t="shared" si="176"/>
        <v>29</v>
      </c>
      <c r="O1414" s="28">
        <f t="shared" si="177"/>
        <v>1.4081577723947246E-2</v>
      </c>
      <c r="P1414" s="28">
        <f t="shared" si="178"/>
        <v>0.16854908774978281</v>
      </c>
      <c r="Q1414" s="26">
        <f t="shared" si="179"/>
        <v>0.52276281494352739</v>
      </c>
      <c r="R1414" s="29">
        <f t="shared" si="180"/>
        <v>3.1015463917525774</v>
      </c>
      <c r="S1414" s="30">
        <f t="shared" si="181"/>
        <v>9</v>
      </c>
      <c r="T1414" s="30">
        <f t="shared" si="182"/>
        <v>2023</v>
      </c>
      <c r="U1414" s="29" t="str">
        <f t="shared" si="183"/>
        <v>September</v>
      </c>
    </row>
    <row r="1415" spans="1:21" ht="17.399999999999999" x14ac:dyDescent="0.3">
      <c r="A1415" s="21" t="s">
        <v>2579</v>
      </c>
      <c r="B1415" s="21" t="s">
        <v>2580</v>
      </c>
      <c r="C1415" s="23" t="s">
        <v>3515</v>
      </c>
      <c r="D1415" s="21" t="s">
        <v>3520</v>
      </c>
      <c r="E1415" s="24">
        <v>45189</v>
      </c>
      <c r="F1415" s="24">
        <v>45196</v>
      </c>
      <c r="G1415" s="22" t="s">
        <v>14</v>
      </c>
      <c r="H1415" s="25">
        <v>39890</v>
      </c>
      <c r="I1415" s="25">
        <v>1193</v>
      </c>
      <c r="J1415" s="26">
        <v>500000</v>
      </c>
      <c r="K1415" s="25">
        <v>160</v>
      </c>
      <c r="L1415" s="21" t="s">
        <v>21</v>
      </c>
      <c r="M1415" s="22" t="s">
        <v>3537</v>
      </c>
      <c r="N1415" s="27">
        <f t="shared" si="176"/>
        <v>7</v>
      </c>
      <c r="O1415" s="28">
        <f t="shared" si="177"/>
        <v>2.9907244923539734E-2</v>
      </c>
      <c r="P1415" s="28">
        <f t="shared" si="178"/>
        <v>0.13411567476948869</v>
      </c>
      <c r="Q1415" s="26">
        <f t="shared" si="179"/>
        <v>419.11148365465215</v>
      </c>
      <c r="R1415" s="29">
        <f t="shared" si="180"/>
        <v>3125</v>
      </c>
      <c r="S1415" s="30">
        <f t="shared" si="181"/>
        <v>9</v>
      </c>
      <c r="T1415" s="30">
        <f t="shared" si="182"/>
        <v>2023</v>
      </c>
      <c r="U1415" s="29" t="str">
        <f t="shared" si="183"/>
        <v>September</v>
      </c>
    </row>
    <row r="1416" spans="1:21" ht="17.399999999999999" x14ac:dyDescent="0.3">
      <c r="A1416" s="21" t="s">
        <v>2786</v>
      </c>
      <c r="B1416" s="22" t="s">
        <v>3912</v>
      </c>
      <c r="C1416" s="23" t="s">
        <v>3515</v>
      </c>
      <c r="D1416" s="22" t="s">
        <v>3545</v>
      </c>
      <c r="E1416" s="24">
        <v>45189</v>
      </c>
      <c r="F1416" s="24">
        <v>45197</v>
      </c>
      <c r="G1416" s="22" t="s">
        <v>24</v>
      </c>
      <c r="H1416" s="25">
        <v>97122</v>
      </c>
      <c r="I1416" s="25">
        <v>4400</v>
      </c>
      <c r="J1416" s="26">
        <v>4063.63</v>
      </c>
      <c r="K1416" s="25">
        <v>265</v>
      </c>
      <c r="L1416" s="21" t="s">
        <v>17</v>
      </c>
      <c r="M1416" s="22" t="s">
        <v>3536</v>
      </c>
      <c r="N1416" s="27">
        <f t="shared" si="176"/>
        <v>8</v>
      </c>
      <c r="O1416" s="28">
        <f t="shared" si="177"/>
        <v>4.5303844648998171E-2</v>
      </c>
      <c r="P1416" s="28">
        <f t="shared" si="178"/>
        <v>6.0227272727272727E-2</v>
      </c>
      <c r="Q1416" s="26">
        <f t="shared" si="179"/>
        <v>0.9235522727272728</v>
      </c>
      <c r="R1416" s="29">
        <f t="shared" si="180"/>
        <v>15.334452830188679</v>
      </c>
      <c r="S1416" s="30">
        <f t="shared" si="181"/>
        <v>9</v>
      </c>
      <c r="T1416" s="30">
        <f t="shared" si="182"/>
        <v>2023</v>
      </c>
      <c r="U1416" s="29" t="str">
        <f t="shared" si="183"/>
        <v>September</v>
      </c>
    </row>
    <row r="1417" spans="1:21" ht="17.399999999999999" x14ac:dyDescent="0.3">
      <c r="A1417" s="21" t="s">
        <v>2402</v>
      </c>
      <c r="B1417" s="21" t="s">
        <v>2403</v>
      </c>
      <c r="C1417" s="23" t="s">
        <v>3516</v>
      </c>
      <c r="D1417" s="21" t="s">
        <v>3517</v>
      </c>
      <c r="E1417" s="24">
        <v>45189</v>
      </c>
      <c r="F1417" s="24">
        <v>45194</v>
      </c>
      <c r="G1417" s="22" t="s">
        <v>24</v>
      </c>
      <c r="H1417" s="25">
        <v>95914</v>
      </c>
      <c r="I1417" s="25">
        <v>3783</v>
      </c>
      <c r="J1417" s="26">
        <v>3148.5</v>
      </c>
      <c r="K1417" s="25">
        <v>307</v>
      </c>
      <c r="L1417" s="21" t="s">
        <v>21</v>
      </c>
      <c r="M1417" s="22" t="s">
        <v>3536</v>
      </c>
      <c r="N1417" s="27">
        <f t="shared" si="176"/>
        <v>5</v>
      </c>
      <c r="O1417" s="28">
        <f t="shared" si="177"/>
        <v>3.944158308484684E-2</v>
      </c>
      <c r="P1417" s="28">
        <f t="shared" si="178"/>
        <v>8.1152524451493527E-2</v>
      </c>
      <c r="Q1417" s="26">
        <f t="shared" si="179"/>
        <v>0.83227597145122922</v>
      </c>
      <c r="R1417" s="29">
        <f t="shared" si="180"/>
        <v>10.255700325732899</v>
      </c>
      <c r="S1417" s="30">
        <f t="shared" si="181"/>
        <v>9</v>
      </c>
      <c r="T1417" s="30">
        <f t="shared" si="182"/>
        <v>2023</v>
      </c>
      <c r="U1417" s="29" t="str">
        <f t="shared" si="183"/>
        <v>September</v>
      </c>
    </row>
    <row r="1418" spans="1:21" ht="17.399999999999999" x14ac:dyDescent="0.3">
      <c r="A1418" s="21" t="s">
        <v>821</v>
      </c>
      <c r="B1418" s="22" t="s">
        <v>3913</v>
      </c>
      <c r="C1418" s="23" t="s">
        <v>3516</v>
      </c>
      <c r="D1418" s="22" t="s">
        <v>3545</v>
      </c>
      <c r="E1418" s="24">
        <v>45189</v>
      </c>
      <c r="F1418" s="24">
        <v>45269</v>
      </c>
      <c r="G1418" s="22" t="s">
        <v>16</v>
      </c>
      <c r="H1418" s="25">
        <v>74847</v>
      </c>
      <c r="I1418" s="25">
        <v>3218</v>
      </c>
      <c r="J1418" s="26">
        <v>2008.36</v>
      </c>
      <c r="K1418" s="25">
        <v>244</v>
      </c>
      <c r="L1418" s="21" t="s">
        <v>17</v>
      </c>
      <c r="M1418" s="22" t="s">
        <v>16</v>
      </c>
      <c r="N1418" s="27">
        <f t="shared" si="176"/>
        <v>80</v>
      </c>
      <c r="O1418" s="28">
        <f t="shared" si="177"/>
        <v>4.2994375192058468E-2</v>
      </c>
      <c r="P1418" s="28">
        <f t="shared" si="178"/>
        <v>7.5823492852703539E-2</v>
      </c>
      <c r="Q1418" s="26">
        <f t="shared" si="179"/>
        <v>0.62410192666252329</v>
      </c>
      <c r="R1418" s="29">
        <f t="shared" si="180"/>
        <v>8.2309836065573769</v>
      </c>
      <c r="S1418" s="30">
        <f t="shared" si="181"/>
        <v>9</v>
      </c>
      <c r="T1418" s="30">
        <f t="shared" si="182"/>
        <v>2023</v>
      </c>
      <c r="U1418" s="29" t="str">
        <f t="shared" si="183"/>
        <v>September</v>
      </c>
    </row>
    <row r="1419" spans="1:21" ht="17.399999999999999" x14ac:dyDescent="0.3">
      <c r="A1419" s="21" t="s">
        <v>1181</v>
      </c>
      <c r="B1419" s="21" t="s">
        <v>1182</v>
      </c>
      <c r="C1419" s="23" t="s">
        <v>3518</v>
      </c>
      <c r="D1419" s="21" t="s">
        <v>3520</v>
      </c>
      <c r="E1419" s="24">
        <v>45190</v>
      </c>
      <c r="F1419" s="24">
        <v>45215</v>
      </c>
      <c r="G1419" s="22" t="s">
        <v>24</v>
      </c>
      <c r="H1419" s="25">
        <v>47732</v>
      </c>
      <c r="I1419" s="25">
        <v>2203</v>
      </c>
      <c r="J1419" s="26">
        <v>1740.09</v>
      </c>
      <c r="K1419" s="25">
        <v>114</v>
      </c>
      <c r="L1419" s="21" t="s">
        <v>17</v>
      </c>
      <c r="M1419" s="22" t="s">
        <v>3536</v>
      </c>
      <c r="N1419" s="27">
        <f t="shared" si="176"/>
        <v>25</v>
      </c>
      <c r="O1419" s="28">
        <f t="shared" si="177"/>
        <v>4.6153523841448087E-2</v>
      </c>
      <c r="P1419" s="28">
        <f t="shared" si="178"/>
        <v>5.1747616886064454E-2</v>
      </c>
      <c r="Q1419" s="26">
        <f t="shared" si="179"/>
        <v>0.7898729005901044</v>
      </c>
      <c r="R1419" s="29">
        <f t="shared" si="180"/>
        <v>15.263947368421052</v>
      </c>
      <c r="S1419" s="30">
        <f t="shared" si="181"/>
        <v>9</v>
      </c>
      <c r="T1419" s="30">
        <f t="shared" si="182"/>
        <v>2023</v>
      </c>
      <c r="U1419" s="29" t="str">
        <f t="shared" si="183"/>
        <v>September</v>
      </c>
    </row>
    <row r="1420" spans="1:21" ht="17.399999999999999" x14ac:dyDescent="0.3">
      <c r="A1420" s="21" t="s">
        <v>1706</v>
      </c>
      <c r="B1420" s="22" t="s">
        <v>3914</v>
      </c>
      <c r="C1420" s="23" t="s">
        <v>3518</v>
      </c>
      <c r="D1420" s="22" t="s">
        <v>3545</v>
      </c>
      <c r="E1420" s="24">
        <v>45190</v>
      </c>
      <c r="F1420" s="24">
        <v>45212</v>
      </c>
      <c r="G1420" s="22" t="s">
        <v>16</v>
      </c>
      <c r="H1420" s="25">
        <v>89869</v>
      </c>
      <c r="I1420" s="25">
        <v>2518</v>
      </c>
      <c r="J1420" s="26">
        <v>1631.39</v>
      </c>
      <c r="K1420" s="25">
        <v>164</v>
      </c>
      <c r="L1420" s="21" t="s">
        <v>21</v>
      </c>
      <c r="M1420" s="22" t="s">
        <v>16</v>
      </c>
      <c r="N1420" s="27">
        <f t="shared" si="176"/>
        <v>22</v>
      </c>
      <c r="O1420" s="28">
        <f t="shared" si="177"/>
        <v>2.8018560348952365E-2</v>
      </c>
      <c r="P1420" s="28">
        <f t="shared" si="178"/>
        <v>6.5131056393963466E-2</v>
      </c>
      <c r="Q1420" s="26">
        <f t="shared" si="179"/>
        <v>0.64789118347895158</v>
      </c>
      <c r="R1420" s="29">
        <f t="shared" si="180"/>
        <v>9.9474999999999998</v>
      </c>
      <c r="S1420" s="30">
        <f t="shared" si="181"/>
        <v>9</v>
      </c>
      <c r="T1420" s="30">
        <f t="shared" si="182"/>
        <v>2023</v>
      </c>
      <c r="U1420" s="29" t="str">
        <f t="shared" si="183"/>
        <v>September</v>
      </c>
    </row>
    <row r="1421" spans="1:21" ht="17.399999999999999" x14ac:dyDescent="0.3">
      <c r="A1421" s="21" t="s">
        <v>977</v>
      </c>
      <c r="B1421" s="22" t="s">
        <v>3915</v>
      </c>
      <c r="C1421" s="23" t="s">
        <v>3516</v>
      </c>
      <c r="D1421" s="22" t="s">
        <v>3545</v>
      </c>
      <c r="E1421" s="24">
        <v>45190</v>
      </c>
      <c r="F1421" s="24">
        <v>45220</v>
      </c>
      <c r="G1421" s="22" t="s">
        <v>11</v>
      </c>
      <c r="H1421" s="25">
        <v>94610</v>
      </c>
      <c r="I1421" s="25">
        <v>4598</v>
      </c>
      <c r="J1421" s="26">
        <v>4285.37</v>
      </c>
      <c r="K1421" s="25">
        <v>472</v>
      </c>
      <c r="L1421" s="21" t="s">
        <v>21</v>
      </c>
      <c r="M1421" s="22" t="s">
        <v>11</v>
      </c>
      <c r="N1421" s="27">
        <f t="shared" si="176"/>
        <v>30</v>
      </c>
      <c r="O1421" s="28">
        <f t="shared" si="177"/>
        <v>4.859951379346792E-2</v>
      </c>
      <c r="P1421" s="28">
        <f t="shared" si="178"/>
        <v>0.10265332753371031</v>
      </c>
      <c r="Q1421" s="26">
        <f t="shared" si="179"/>
        <v>0.93200739451935621</v>
      </c>
      <c r="R1421" s="29">
        <f t="shared" si="180"/>
        <v>9.0791737288135597</v>
      </c>
      <c r="S1421" s="30">
        <f t="shared" si="181"/>
        <v>9</v>
      </c>
      <c r="T1421" s="30">
        <f t="shared" si="182"/>
        <v>2023</v>
      </c>
      <c r="U1421" s="29" t="str">
        <f t="shared" si="183"/>
        <v>September</v>
      </c>
    </row>
    <row r="1422" spans="1:21" ht="17.399999999999999" x14ac:dyDescent="0.3">
      <c r="A1422" s="21" t="s">
        <v>1147</v>
      </c>
      <c r="B1422" s="21" t="s">
        <v>1148</v>
      </c>
      <c r="C1422" s="23" t="s">
        <v>3516</v>
      </c>
      <c r="D1422" s="21" t="s">
        <v>3520</v>
      </c>
      <c r="E1422" s="24">
        <v>45190</v>
      </c>
      <c r="F1422" s="24">
        <v>45202</v>
      </c>
      <c r="G1422" s="22" t="s">
        <v>24</v>
      </c>
      <c r="H1422" s="25">
        <v>22545</v>
      </c>
      <c r="I1422" s="25">
        <v>1108</v>
      </c>
      <c r="J1422" s="26">
        <v>1713.6</v>
      </c>
      <c r="K1422" s="25">
        <v>112</v>
      </c>
      <c r="L1422" s="21" t="s">
        <v>17</v>
      </c>
      <c r="M1422" s="22" t="s">
        <v>3536</v>
      </c>
      <c r="N1422" s="27">
        <f t="shared" si="176"/>
        <v>12</v>
      </c>
      <c r="O1422" s="28">
        <f t="shared" si="177"/>
        <v>4.9146152140164115E-2</v>
      </c>
      <c r="P1422" s="28">
        <f t="shared" si="178"/>
        <v>0.10108303249097472</v>
      </c>
      <c r="Q1422" s="26">
        <f t="shared" si="179"/>
        <v>1.5465703971119134</v>
      </c>
      <c r="R1422" s="29">
        <f t="shared" si="180"/>
        <v>15.299999999999999</v>
      </c>
      <c r="S1422" s="30">
        <f t="shared" si="181"/>
        <v>9</v>
      </c>
      <c r="T1422" s="30">
        <f t="shared" si="182"/>
        <v>2023</v>
      </c>
      <c r="U1422" s="29" t="str">
        <f t="shared" si="183"/>
        <v>September</v>
      </c>
    </row>
    <row r="1423" spans="1:21" ht="17.399999999999999" x14ac:dyDescent="0.3">
      <c r="A1423" s="21" t="s">
        <v>2665</v>
      </c>
      <c r="B1423" s="21" t="s">
        <v>2666</v>
      </c>
      <c r="C1423" s="23" t="s">
        <v>3516</v>
      </c>
      <c r="D1423" s="21" t="s">
        <v>3517</v>
      </c>
      <c r="E1423" s="24">
        <v>45190</v>
      </c>
      <c r="F1423" s="24">
        <v>45198</v>
      </c>
      <c r="G1423" s="22" t="s">
        <v>3535</v>
      </c>
      <c r="H1423" s="25">
        <v>56761</v>
      </c>
      <c r="I1423" s="25">
        <v>1660</v>
      </c>
      <c r="J1423" s="26">
        <v>3197.54</v>
      </c>
      <c r="K1423" s="25">
        <v>154</v>
      </c>
      <c r="L1423" s="21" t="s">
        <v>21</v>
      </c>
      <c r="M1423" s="22" t="s">
        <v>3535</v>
      </c>
      <c r="N1423" s="27">
        <f t="shared" si="176"/>
        <v>8</v>
      </c>
      <c r="O1423" s="28">
        <f t="shared" si="177"/>
        <v>2.9245432603372035E-2</v>
      </c>
      <c r="P1423" s="28">
        <f t="shared" si="178"/>
        <v>9.2771084337349402E-2</v>
      </c>
      <c r="Q1423" s="26">
        <f t="shared" si="179"/>
        <v>1.9262289156626506</v>
      </c>
      <c r="R1423" s="29">
        <f t="shared" si="180"/>
        <v>20.763246753246754</v>
      </c>
      <c r="S1423" s="30">
        <f t="shared" si="181"/>
        <v>9</v>
      </c>
      <c r="T1423" s="30">
        <f t="shared" si="182"/>
        <v>2023</v>
      </c>
      <c r="U1423" s="29" t="str">
        <f t="shared" si="183"/>
        <v>September</v>
      </c>
    </row>
    <row r="1424" spans="1:21" ht="17.399999999999999" x14ac:dyDescent="0.3">
      <c r="A1424" s="21" t="s">
        <v>3423</v>
      </c>
      <c r="B1424" s="22" t="s">
        <v>3916</v>
      </c>
      <c r="C1424" s="23" t="s">
        <v>3515</v>
      </c>
      <c r="D1424" s="22" t="s">
        <v>3545</v>
      </c>
      <c r="E1424" s="24">
        <v>45190</v>
      </c>
      <c r="F1424" s="24">
        <v>45195</v>
      </c>
      <c r="G1424" s="22" t="s">
        <v>16</v>
      </c>
      <c r="H1424" s="25">
        <v>63768</v>
      </c>
      <c r="I1424" s="25">
        <v>1939</v>
      </c>
      <c r="J1424" s="26">
        <v>2297.9</v>
      </c>
      <c r="K1424" s="25">
        <v>111</v>
      </c>
      <c r="L1424" s="21" t="s">
        <v>17</v>
      </c>
      <c r="M1424" s="22" t="s">
        <v>16</v>
      </c>
      <c r="N1424" s="27">
        <f t="shared" si="176"/>
        <v>5</v>
      </c>
      <c r="O1424" s="28">
        <f t="shared" si="177"/>
        <v>3.0407100740183164E-2</v>
      </c>
      <c r="P1424" s="28">
        <f t="shared" si="178"/>
        <v>5.7246003094378543E-2</v>
      </c>
      <c r="Q1424" s="26">
        <f t="shared" si="179"/>
        <v>1.1850954100051574</v>
      </c>
      <c r="R1424" s="29">
        <f t="shared" si="180"/>
        <v>20.701801801801803</v>
      </c>
      <c r="S1424" s="30">
        <f t="shared" si="181"/>
        <v>9</v>
      </c>
      <c r="T1424" s="30">
        <f t="shared" si="182"/>
        <v>2023</v>
      </c>
      <c r="U1424" s="29" t="str">
        <f t="shared" si="183"/>
        <v>September</v>
      </c>
    </row>
    <row r="1425" spans="1:21" ht="17.399999999999999" x14ac:dyDescent="0.3">
      <c r="A1425" s="21" t="s">
        <v>1870</v>
      </c>
      <c r="B1425" s="22" t="s">
        <v>3917</v>
      </c>
      <c r="C1425" s="23" t="s">
        <v>3519</v>
      </c>
      <c r="D1425" s="22" t="s">
        <v>3545</v>
      </c>
      <c r="E1425" s="24">
        <v>45191</v>
      </c>
      <c r="F1425" s="24">
        <v>45208</v>
      </c>
      <c r="G1425" s="22" t="s">
        <v>31</v>
      </c>
      <c r="H1425" s="25">
        <v>21128</v>
      </c>
      <c r="I1425" s="25">
        <v>536</v>
      </c>
      <c r="J1425" s="26">
        <v>273.89999999999998</v>
      </c>
      <c r="K1425" s="25">
        <v>35</v>
      </c>
      <c r="L1425" s="21" t="s">
        <v>21</v>
      </c>
      <c r="M1425" s="22" t="s">
        <v>31</v>
      </c>
      <c r="N1425" s="27">
        <f t="shared" si="176"/>
        <v>17</v>
      </c>
      <c r="O1425" s="28">
        <f t="shared" si="177"/>
        <v>2.5369178341537298E-2</v>
      </c>
      <c r="P1425" s="28">
        <f t="shared" si="178"/>
        <v>6.5298507462686561E-2</v>
      </c>
      <c r="Q1425" s="26">
        <f t="shared" si="179"/>
        <v>0.51100746268656716</v>
      </c>
      <c r="R1425" s="29">
        <f t="shared" si="180"/>
        <v>7.8257142857142847</v>
      </c>
      <c r="S1425" s="30">
        <f t="shared" si="181"/>
        <v>9</v>
      </c>
      <c r="T1425" s="30">
        <f t="shared" si="182"/>
        <v>2023</v>
      </c>
      <c r="U1425" s="29" t="str">
        <f t="shared" si="183"/>
        <v>September</v>
      </c>
    </row>
    <row r="1426" spans="1:21" ht="17.399999999999999" x14ac:dyDescent="0.3">
      <c r="A1426" s="21" t="s">
        <v>2659</v>
      </c>
      <c r="B1426" s="21" t="s">
        <v>2660</v>
      </c>
      <c r="C1426" s="23" t="s">
        <v>3519</v>
      </c>
      <c r="D1426" s="21" t="s">
        <v>3520</v>
      </c>
      <c r="E1426" s="24">
        <v>45191</v>
      </c>
      <c r="F1426" s="24">
        <v>45192</v>
      </c>
      <c r="G1426" s="22" t="s">
        <v>14</v>
      </c>
      <c r="H1426" s="25">
        <v>68957</v>
      </c>
      <c r="I1426" s="25">
        <v>3420</v>
      </c>
      <c r="J1426" s="26">
        <v>3769.68</v>
      </c>
      <c r="K1426" s="25">
        <v>357</v>
      </c>
      <c r="L1426" s="21" t="s">
        <v>21</v>
      </c>
      <c r="M1426" s="22" t="s">
        <v>3537</v>
      </c>
      <c r="N1426" s="27">
        <f t="shared" si="176"/>
        <v>1</v>
      </c>
      <c r="O1426" s="28">
        <f t="shared" si="177"/>
        <v>4.9596125121452499E-2</v>
      </c>
      <c r="P1426" s="28">
        <f t="shared" si="178"/>
        <v>0.10438596491228071</v>
      </c>
      <c r="Q1426" s="26">
        <f t="shared" si="179"/>
        <v>1.1022456140350876</v>
      </c>
      <c r="R1426" s="29">
        <f t="shared" si="180"/>
        <v>10.559327731092436</v>
      </c>
      <c r="S1426" s="30">
        <f t="shared" si="181"/>
        <v>9</v>
      </c>
      <c r="T1426" s="30">
        <f t="shared" si="182"/>
        <v>2023</v>
      </c>
      <c r="U1426" s="29" t="str">
        <f t="shared" si="183"/>
        <v>September</v>
      </c>
    </row>
    <row r="1427" spans="1:21" ht="17.399999999999999" x14ac:dyDescent="0.3">
      <c r="A1427" s="21" t="s">
        <v>116</v>
      </c>
      <c r="B1427" s="21" t="s">
        <v>117</v>
      </c>
      <c r="C1427" s="23" t="s">
        <v>3518</v>
      </c>
      <c r="D1427" s="21" t="s">
        <v>3517</v>
      </c>
      <c r="E1427" s="24">
        <v>45191</v>
      </c>
      <c r="F1427" s="24">
        <v>45211</v>
      </c>
      <c r="G1427" s="22" t="s">
        <v>16</v>
      </c>
      <c r="H1427" s="25">
        <v>70479</v>
      </c>
      <c r="I1427" s="25">
        <v>1823</v>
      </c>
      <c r="J1427" s="26">
        <v>2634.34</v>
      </c>
      <c r="K1427" s="25">
        <v>112</v>
      </c>
      <c r="L1427" s="21" t="s">
        <v>21</v>
      </c>
      <c r="M1427" s="22" t="s">
        <v>16</v>
      </c>
      <c r="N1427" s="27">
        <f t="shared" si="176"/>
        <v>20</v>
      </c>
      <c r="O1427" s="28">
        <f t="shared" si="177"/>
        <v>2.5865860752848364E-2</v>
      </c>
      <c r="P1427" s="28">
        <f t="shared" si="178"/>
        <v>6.1437191442676904E-2</v>
      </c>
      <c r="Q1427" s="26">
        <f t="shared" si="179"/>
        <v>1.4450575973669777</v>
      </c>
      <c r="R1427" s="29">
        <f t="shared" si="180"/>
        <v>23.520892857142858</v>
      </c>
      <c r="S1427" s="30">
        <f t="shared" si="181"/>
        <v>9</v>
      </c>
      <c r="T1427" s="30">
        <f t="shared" si="182"/>
        <v>2023</v>
      </c>
      <c r="U1427" s="29" t="str">
        <f t="shared" si="183"/>
        <v>September</v>
      </c>
    </row>
    <row r="1428" spans="1:21" ht="17.399999999999999" x14ac:dyDescent="0.3">
      <c r="A1428" s="21" t="s">
        <v>411</v>
      </c>
      <c r="B1428" s="22" t="s">
        <v>3918</v>
      </c>
      <c r="C1428" s="23" t="s">
        <v>3518</v>
      </c>
      <c r="D1428" s="22" t="s">
        <v>3545</v>
      </c>
      <c r="E1428" s="24">
        <v>45191</v>
      </c>
      <c r="F1428" s="24">
        <v>45202</v>
      </c>
      <c r="G1428" s="22" t="s">
        <v>16</v>
      </c>
      <c r="H1428" s="25">
        <v>64734</v>
      </c>
      <c r="I1428" s="25">
        <v>2702</v>
      </c>
      <c r="J1428" s="26">
        <v>2614.2800000000002</v>
      </c>
      <c r="K1428" s="25">
        <v>319</v>
      </c>
      <c r="L1428" s="21" t="s">
        <v>17</v>
      </c>
      <c r="M1428" s="22" t="s">
        <v>16</v>
      </c>
      <c r="N1428" s="27">
        <f t="shared" si="176"/>
        <v>11</v>
      </c>
      <c r="O1428" s="28">
        <f t="shared" si="177"/>
        <v>4.1740043871844781E-2</v>
      </c>
      <c r="P1428" s="28">
        <f t="shared" si="178"/>
        <v>0.11806069578090303</v>
      </c>
      <c r="Q1428" s="26">
        <f t="shared" si="179"/>
        <v>0.96753515914137678</v>
      </c>
      <c r="R1428" s="29">
        <f t="shared" si="180"/>
        <v>8.1952351097178688</v>
      </c>
      <c r="S1428" s="30">
        <f t="shared" si="181"/>
        <v>9</v>
      </c>
      <c r="T1428" s="30">
        <f t="shared" si="182"/>
        <v>2023</v>
      </c>
      <c r="U1428" s="29" t="str">
        <f t="shared" si="183"/>
        <v>September</v>
      </c>
    </row>
    <row r="1429" spans="1:21" ht="17.399999999999999" x14ac:dyDescent="0.3">
      <c r="A1429" s="21" t="s">
        <v>1625</v>
      </c>
      <c r="B1429" s="22" t="s">
        <v>3919</v>
      </c>
      <c r="C1429" s="23" t="s">
        <v>3516</v>
      </c>
      <c r="D1429" s="22" t="s">
        <v>3545</v>
      </c>
      <c r="E1429" s="24">
        <v>45191</v>
      </c>
      <c r="F1429" s="24">
        <v>45209</v>
      </c>
      <c r="G1429" s="22" t="s">
        <v>14</v>
      </c>
      <c r="H1429" s="25">
        <v>24061</v>
      </c>
      <c r="I1429" s="25">
        <v>515</v>
      </c>
      <c r="J1429" s="26">
        <v>742.72</v>
      </c>
      <c r="K1429" s="25">
        <v>42</v>
      </c>
      <c r="L1429" s="21" t="s">
        <v>21</v>
      </c>
      <c r="M1429" s="22" t="s">
        <v>3537</v>
      </c>
      <c r="N1429" s="27">
        <f t="shared" si="176"/>
        <v>18</v>
      </c>
      <c r="O1429" s="28">
        <f t="shared" si="177"/>
        <v>2.1403931673662772E-2</v>
      </c>
      <c r="P1429" s="28">
        <f t="shared" si="178"/>
        <v>8.155339805825243E-2</v>
      </c>
      <c r="Q1429" s="26">
        <f t="shared" si="179"/>
        <v>1.4421747572815535</v>
      </c>
      <c r="R1429" s="29">
        <f t="shared" si="180"/>
        <v>17.683809523809526</v>
      </c>
      <c r="S1429" s="30">
        <f t="shared" si="181"/>
        <v>9</v>
      </c>
      <c r="T1429" s="30">
        <f t="shared" si="182"/>
        <v>2023</v>
      </c>
      <c r="U1429" s="29" t="str">
        <f t="shared" si="183"/>
        <v>September</v>
      </c>
    </row>
    <row r="1430" spans="1:21" ht="17.399999999999999" x14ac:dyDescent="0.3">
      <c r="A1430" s="21" t="s">
        <v>2526</v>
      </c>
      <c r="B1430" s="22" t="s">
        <v>3920</v>
      </c>
      <c r="C1430" s="23" t="s">
        <v>3515</v>
      </c>
      <c r="D1430" s="22" t="s">
        <v>3545</v>
      </c>
      <c r="E1430" s="24">
        <v>45191</v>
      </c>
      <c r="F1430" s="24">
        <v>45192</v>
      </c>
      <c r="G1430" s="22" t="s">
        <v>14</v>
      </c>
      <c r="H1430" s="25">
        <v>39709</v>
      </c>
      <c r="I1430" s="25">
        <v>1252</v>
      </c>
      <c r="J1430" s="26">
        <v>685.57</v>
      </c>
      <c r="K1430" s="25">
        <v>0</v>
      </c>
      <c r="L1430" s="21" t="s">
        <v>21</v>
      </c>
      <c r="M1430" s="22" t="s">
        <v>3537</v>
      </c>
      <c r="N1430" s="27">
        <f t="shared" si="176"/>
        <v>1</v>
      </c>
      <c r="O1430" s="28">
        <f t="shared" si="177"/>
        <v>3.1529376211941879E-2</v>
      </c>
      <c r="P1430" s="28">
        <f t="shared" si="178"/>
        <v>0</v>
      </c>
      <c r="Q1430" s="26">
        <f t="shared" si="179"/>
        <v>0.54757987220447291</v>
      </c>
      <c r="R1430" s="29" t="str">
        <f t="shared" si="180"/>
        <v>0</v>
      </c>
      <c r="S1430" s="30">
        <f t="shared" si="181"/>
        <v>9</v>
      </c>
      <c r="T1430" s="30">
        <f t="shared" si="182"/>
        <v>2023</v>
      </c>
      <c r="U1430" s="29" t="str">
        <f t="shared" si="183"/>
        <v>September</v>
      </c>
    </row>
    <row r="1431" spans="1:21" ht="17.399999999999999" x14ac:dyDescent="0.3">
      <c r="A1431" s="21" t="s">
        <v>521</v>
      </c>
      <c r="B1431" s="21" t="s">
        <v>522</v>
      </c>
      <c r="C1431" s="23" t="s">
        <v>3519</v>
      </c>
      <c r="D1431" s="21" t="s">
        <v>3517</v>
      </c>
      <c r="E1431" s="24">
        <v>45192</v>
      </c>
      <c r="F1431" s="24">
        <v>45209</v>
      </c>
      <c r="G1431" s="22" t="s">
        <v>3535</v>
      </c>
      <c r="H1431" s="25">
        <v>16151</v>
      </c>
      <c r="I1431" s="25">
        <v>406</v>
      </c>
      <c r="J1431" s="26">
        <v>647.24</v>
      </c>
      <c r="K1431" s="25">
        <v>41</v>
      </c>
      <c r="L1431" s="21" t="s">
        <v>17</v>
      </c>
      <c r="M1431" s="22" t="s">
        <v>3535</v>
      </c>
      <c r="N1431" s="27">
        <f t="shared" si="176"/>
        <v>17</v>
      </c>
      <c r="O1431" s="28">
        <f t="shared" si="177"/>
        <v>2.5137762367655254E-2</v>
      </c>
      <c r="P1431" s="28">
        <f t="shared" si="178"/>
        <v>0.10098522167487685</v>
      </c>
      <c r="Q1431" s="26">
        <f t="shared" si="179"/>
        <v>1.5941871921182267</v>
      </c>
      <c r="R1431" s="29">
        <f t="shared" si="180"/>
        <v>15.786341463414635</v>
      </c>
      <c r="S1431" s="30">
        <f t="shared" si="181"/>
        <v>9</v>
      </c>
      <c r="T1431" s="30">
        <f t="shared" si="182"/>
        <v>2023</v>
      </c>
      <c r="U1431" s="29" t="str">
        <f t="shared" si="183"/>
        <v>September</v>
      </c>
    </row>
    <row r="1432" spans="1:21" ht="17.399999999999999" x14ac:dyDescent="0.3">
      <c r="A1432" s="21" t="s">
        <v>1105</v>
      </c>
      <c r="B1432" s="21" t="s">
        <v>1106</v>
      </c>
      <c r="C1432" s="23" t="s">
        <v>3519</v>
      </c>
      <c r="D1432" s="21" t="s">
        <v>3520</v>
      </c>
      <c r="E1432" s="24">
        <v>45192</v>
      </c>
      <c r="F1432" s="24">
        <v>45194</v>
      </c>
      <c r="G1432" s="22" t="s">
        <v>24</v>
      </c>
      <c r="H1432" s="25">
        <v>73936</v>
      </c>
      <c r="I1432" s="25">
        <v>3643</v>
      </c>
      <c r="J1432" s="26">
        <v>5594.22</v>
      </c>
      <c r="K1432" s="25">
        <v>382</v>
      </c>
      <c r="L1432" s="21" t="s">
        <v>21</v>
      </c>
      <c r="M1432" s="22" t="s">
        <v>3536</v>
      </c>
      <c r="N1432" s="27">
        <f t="shared" si="176"/>
        <v>2</v>
      </c>
      <c r="O1432" s="28">
        <f t="shared" si="177"/>
        <v>4.9272343648560916E-2</v>
      </c>
      <c r="P1432" s="28">
        <f t="shared" si="178"/>
        <v>0.10485863299478451</v>
      </c>
      <c r="Q1432" s="26">
        <f t="shared" si="179"/>
        <v>1.5356080153719462</v>
      </c>
      <c r="R1432" s="29">
        <f t="shared" si="180"/>
        <v>14.64455497382199</v>
      </c>
      <c r="S1432" s="30">
        <f t="shared" si="181"/>
        <v>9</v>
      </c>
      <c r="T1432" s="30">
        <f t="shared" si="182"/>
        <v>2023</v>
      </c>
      <c r="U1432" s="29" t="str">
        <f t="shared" si="183"/>
        <v>September</v>
      </c>
    </row>
    <row r="1433" spans="1:21" ht="17.399999999999999" x14ac:dyDescent="0.3">
      <c r="A1433" s="21" t="s">
        <v>2760</v>
      </c>
      <c r="B1433" s="21" t="s">
        <v>2761</v>
      </c>
      <c r="C1433" s="23" t="s">
        <v>3518</v>
      </c>
      <c r="D1433" s="21" t="s">
        <v>3520</v>
      </c>
      <c r="E1433" s="24">
        <v>45192</v>
      </c>
      <c r="F1433" s="24">
        <v>45195</v>
      </c>
      <c r="G1433" s="22" t="s">
        <v>31</v>
      </c>
      <c r="H1433" s="25">
        <v>95223</v>
      </c>
      <c r="I1433" s="25">
        <v>1125</v>
      </c>
      <c r="J1433" s="26">
        <v>911.91</v>
      </c>
      <c r="K1433" s="25">
        <v>75</v>
      </c>
      <c r="L1433" s="21" t="s">
        <v>21</v>
      </c>
      <c r="M1433" s="22" t="s">
        <v>31</v>
      </c>
      <c r="N1433" s="27">
        <f t="shared" si="176"/>
        <v>3</v>
      </c>
      <c r="O1433" s="28">
        <f t="shared" si="177"/>
        <v>1.1814372578053621E-2</v>
      </c>
      <c r="P1433" s="28">
        <f t="shared" si="178"/>
        <v>6.6666666666666666E-2</v>
      </c>
      <c r="Q1433" s="26">
        <f t="shared" si="179"/>
        <v>0.81058666666666668</v>
      </c>
      <c r="R1433" s="29">
        <f t="shared" si="180"/>
        <v>12.158799999999999</v>
      </c>
      <c r="S1433" s="30">
        <f t="shared" si="181"/>
        <v>9</v>
      </c>
      <c r="T1433" s="30">
        <f t="shared" si="182"/>
        <v>2023</v>
      </c>
      <c r="U1433" s="29" t="str">
        <f t="shared" si="183"/>
        <v>September</v>
      </c>
    </row>
    <row r="1434" spans="1:21" ht="17.399999999999999" x14ac:dyDescent="0.3">
      <c r="A1434" s="21" t="s">
        <v>3101</v>
      </c>
      <c r="B1434" s="21" t="s">
        <v>3102</v>
      </c>
      <c r="C1434" s="23" t="s">
        <v>3518</v>
      </c>
      <c r="D1434" s="21" t="s">
        <v>3517</v>
      </c>
      <c r="E1434" s="24">
        <v>45192</v>
      </c>
      <c r="F1434" s="24">
        <v>45207</v>
      </c>
      <c r="G1434" s="22" t="s">
        <v>24</v>
      </c>
      <c r="H1434" s="25">
        <v>32966</v>
      </c>
      <c r="I1434" s="25">
        <v>1568</v>
      </c>
      <c r="J1434" s="26">
        <v>1730.23</v>
      </c>
      <c r="K1434" s="25">
        <v>191</v>
      </c>
      <c r="L1434" s="21" t="s">
        <v>17</v>
      </c>
      <c r="M1434" s="22" t="s">
        <v>3536</v>
      </c>
      <c r="N1434" s="27">
        <f t="shared" si="176"/>
        <v>15</v>
      </c>
      <c r="O1434" s="28">
        <f t="shared" si="177"/>
        <v>4.7564157010252989E-2</v>
      </c>
      <c r="P1434" s="28">
        <f t="shared" si="178"/>
        <v>0.12181122448979592</v>
      </c>
      <c r="Q1434" s="26">
        <f t="shared" si="179"/>
        <v>1.1034630102040817</v>
      </c>
      <c r="R1434" s="29">
        <f t="shared" si="180"/>
        <v>9.0587958115183245</v>
      </c>
      <c r="S1434" s="30">
        <f t="shared" si="181"/>
        <v>9</v>
      </c>
      <c r="T1434" s="30">
        <f t="shared" si="182"/>
        <v>2023</v>
      </c>
      <c r="U1434" s="29" t="str">
        <f t="shared" si="183"/>
        <v>September</v>
      </c>
    </row>
    <row r="1435" spans="1:21" ht="17.399999999999999" x14ac:dyDescent="0.3">
      <c r="A1435" s="21" t="s">
        <v>1025</v>
      </c>
      <c r="B1435" s="21" t="s">
        <v>1026</v>
      </c>
      <c r="C1435" s="23" t="s">
        <v>3516</v>
      </c>
      <c r="D1435" s="21" t="s">
        <v>3520</v>
      </c>
      <c r="E1435" s="24">
        <v>45192</v>
      </c>
      <c r="F1435" s="24">
        <v>45208</v>
      </c>
      <c r="G1435" s="22" t="s">
        <v>31</v>
      </c>
      <c r="H1435" s="25">
        <v>39513</v>
      </c>
      <c r="I1435" s="25">
        <v>1482</v>
      </c>
      <c r="J1435" s="26">
        <v>758.92</v>
      </c>
      <c r="K1435" s="25">
        <v>177</v>
      </c>
      <c r="L1435" s="21" t="s">
        <v>17</v>
      </c>
      <c r="M1435" s="22" t="s">
        <v>31</v>
      </c>
      <c r="N1435" s="27">
        <f t="shared" si="176"/>
        <v>16</v>
      </c>
      <c r="O1435" s="28">
        <f t="shared" si="177"/>
        <v>3.750664338319034E-2</v>
      </c>
      <c r="P1435" s="28">
        <f t="shared" si="178"/>
        <v>0.1194331983805668</v>
      </c>
      <c r="Q1435" s="26">
        <f t="shared" si="179"/>
        <v>0.51209176788124156</v>
      </c>
      <c r="R1435" s="29">
        <f t="shared" si="180"/>
        <v>4.2876836158192084</v>
      </c>
      <c r="S1435" s="30">
        <f t="shared" si="181"/>
        <v>9</v>
      </c>
      <c r="T1435" s="30">
        <f t="shared" si="182"/>
        <v>2023</v>
      </c>
      <c r="U1435" s="29" t="str">
        <f t="shared" si="183"/>
        <v>September</v>
      </c>
    </row>
    <row r="1436" spans="1:21" ht="17.399999999999999" x14ac:dyDescent="0.3">
      <c r="A1436" s="21" t="s">
        <v>2837</v>
      </c>
      <c r="B1436" s="21" t="s">
        <v>2838</v>
      </c>
      <c r="C1436" s="23" t="s">
        <v>3516</v>
      </c>
      <c r="D1436" s="21" t="s">
        <v>3520</v>
      </c>
      <c r="E1436" s="24">
        <v>45192</v>
      </c>
      <c r="F1436" s="24">
        <v>45199</v>
      </c>
      <c r="G1436" s="22" t="s">
        <v>14</v>
      </c>
      <c r="H1436" s="25">
        <v>33913</v>
      </c>
      <c r="I1436" s="25">
        <v>1191</v>
      </c>
      <c r="J1436" s="26">
        <v>1365.23</v>
      </c>
      <c r="K1436" s="25">
        <v>194</v>
      </c>
      <c r="L1436" s="21" t="s">
        <v>21</v>
      </c>
      <c r="M1436" s="22" t="s">
        <v>3537</v>
      </c>
      <c r="N1436" s="27">
        <f t="shared" si="176"/>
        <v>7</v>
      </c>
      <c r="O1436" s="28">
        <f t="shared" si="177"/>
        <v>3.5119275793943326E-2</v>
      </c>
      <c r="P1436" s="28">
        <f t="shared" si="178"/>
        <v>0.16288832913518053</v>
      </c>
      <c r="Q1436" s="26">
        <f t="shared" si="179"/>
        <v>1.1462888329135181</v>
      </c>
      <c r="R1436" s="29">
        <f t="shared" si="180"/>
        <v>7.0372680412371134</v>
      </c>
      <c r="S1436" s="30">
        <f t="shared" si="181"/>
        <v>9</v>
      </c>
      <c r="T1436" s="30">
        <f t="shared" si="182"/>
        <v>2023</v>
      </c>
      <c r="U1436" s="29" t="str">
        <f t="shared" si="183"/>
        <v>September</v>
      </c>
    </row>
    <row r="1437" spans="1:21" ht="17.399999999999999" x14ac:dyDescent="0.3">
      <c r="A1437" s="21" t="s">
        <v>2652</v>
      </c>
      <c r="B1437" s="21" t="s">
        <v>2653</v>
      </c>
      <c r="C1437" s="23" t="s">
        <v>3519</v>
      </c>
      <c r="D1437" s="21" t="s">
        <v>3520</v>
      </c>
      <c r="E1437" s="24">
        <v>45193</v>
      </c>
      <c r="F1437" s="24">
        <v>45201</v>
      </c>
      <c r="G1437" s="22" t="s">
        <v>3535</v>
      </c>
      <c r="H1437" s="25">
        <v>13254</v>
      </c>
      <c r="I1437" s="25">
        <v>346</v>
      </c>
      <c r="J1437" s="26">
        <v>603.67999999999995</v>
      </c>
      <c r="K1437" s="25">
        <v>32</v>
      </c>
      <c r="L1437" s="21" t="s">
        <v>21</v>
      </c>
      <c r="M1437" s="22" t="s">
        <v>3535</v>
      </c>
      <c r="N1437" s="27">
        <f t="shared" si="176"/>
        <v>8</v>
      </c>
      <c r="O1437" s="28">
        <f t="shared" si="177"/>
        <v>2.6105326693828278E-2</v>
      </c>
      <c r="P1437" s="28">
        <f t="shared" si="178"/>
        <v>9.2485549132947972E-2</v>
      </c>
      <c r="Q1437" s="26">
        <f t="shared" si="179"/>
        <v>1.7447398843930635</v>
      </c>
      <c r="R1437" s="29">
        <f t="shared" si="180"/>
        <v>18.864999999999998</v>
      </c>
      <c r="S1437" s="30">
        <f t="shared" si="181"/>
        <v>9</v>
      </c>
      <c r="T1437" s="30">
        <f t="shared" si="182"/>
        <v>2023</v>
      </c>
      <c r="U1437" s="29" t="str">
        <f t="shared" si="183"/>
        <v>September</v>
      </c>
    </row>
    <row r="1438" spans="1:21" ht="17.399999999999999" x14ac:dyDescent="0.3">
      <c r="A1438" s="21" t="s">
        <v>2276</v>
      </c>
      <c r="B1438" s="21" t="s">
        <v>2277</v>
      </c>
      <c r="C1438" s="23" t="s">
        <v>3518</v>
      </c>
      <c r="D1438" s="21" t="s">
        <v>3521</v>
      </c>
      <c r="E1438" s="24">
        <v>45193</v>
      </c>
      <c r="F1438" s="24">
        <v>45222</v>
      </c>
      <c r="G1438" s="22" t="s">
        <v>16</v>
      </c>
      <c r="H1438" s="25">
        <v>73847</v>
      </c>
      <c r="I1438" s="25">
        <v>982</v>
      </c>
      <c r="J1438" s="26">
        <v>1687.65</v>
      </c>
      <c r="K1438" s="25">
        <v>148</v>
      </c>
      <c r="L1438" s="21" t="s">
        <v>17</v>
      </c>
      <c r="M1438" s="22" t="s">
        <v>16</v>
      </c>
      <c r="N1438" s="27">
        <f t="shared" si="176"/>
        <v>29</v>
      </c>
      <c r="O1438" s="28">
        <f t="shared" si="177"/>
        <v>1.329776429645077E-2</v>
      </c>
      <c r="P1438" s="28">
        <f t="shared" si="178"/>
        <v>0.15071283095723015</v>
      </c>
      <c r="Q1438" s="26">
        <f t="shared" si="179"/>
        <v>1.7185845213849289</v>
      </c>
      <c r="R1438" s="29">
        <f t="shared" si="180"/>
        <v>11.403040540540541</v>
      </c>
      <c r="S1438" s="30">
        <f t="shared" si="181"/>
        <v>9</v>
      </c>
      <c r="T1438" s="30">
        <f t="shared" si="182"/>
        <v>2023</v>
      </c>
      <c r="U1438" s="29" t="str">
        <f t="shared" si="183"/>
        <v>September</v>
      </c>
    </row>
    <row r="1439" spans="1:21" ht="17.399999999999999" x14ac:dyDescent="0.3">
      <c r="A1439" s="21" t="s">
        <v>3218</v>
      </c>
      <c r="B1439" s="21" t="s">
        <v>3219</v>
      </c>
      <c r="C1439" s="23" t="s">
        <v>3516</v>
      </c>
      <c r="D1439" s="21" t="s">
        <v>3520</v>
      </c>
      <c r="E1439" s="24">
        <v>45193</v>
      </c>
      <c r="F1439" s="24">
        <v>45219</v>
      </c>
      <c r="G1439" s="22" t="s">
        <v>24</v>
      </c>
      <c r="H1439" s="25">
        <v>4093</v>
      </c>
      <c r="I1439" s="25">
        <v>138</v>
      </c>
      <c r="J1439" s="26">
        <v>264.45</v>
      </c>
      <c r="K1439" s="25">
        <v>8</v>
      </c>
      <c r="L1439" s="21" t="s">
        <v>17</v>
      </c>
      <c r="M1439" s="22" t="s">
        <v>3536</v>
      </c>
      <c r="N1439" s="27">
        <f t="shared" si="176"/>
        <v>26</v>
      </c>
      <c r="O1439" s="28">
        <f t="shared" si="177"/>
        <v>3.3716100659662837E-2</v>
      </c>
      <c r="P1439" s="28">
        <f t="shared" si="178"/>
        <v>5.7971014492753624E-2</v>
      </c>
      <c r="Q1439" s="26">
        <f t="shared" si="179"/>
        <v>1.9163043478260868</v>
      </c>
      <c r="R1439" s="29">
        <f t="shared" si="180"/>
        <v>33.056249999999999</v>
      </c>
      <c r="S1439" s="30">
        <f t="shared" si="181"/>
        <v>9</v>
      </c>
      <c r="T1439" s="30">
        <f t="shared" si="182"/>
        <v>2023</v>
      </c>
      <c r="U1439" s="29" t="str">
        <f t="shared" si="183"/>
        <v>September</v>
      </c>
    </row>
    <row r="1440" spans="1:21" ht="17.399999999999999" x14ac:dyDescent="0.3">
      <c r="A1440" s="21" t="s">
        <v>2301</v>
      </c>
      <c r="B1440" s="21" t="s">
        <v>2302</v>
      </c>
      <c r="C1440" s="23" t="s">
        <v>3515</v>
      </c>
      <c r="D1440" s="21" t="s">
        <v>3520</v>
      </c>
      <c r="E1440" s="24">
        <v>45193</v>
      </c>
      <c r="F1440" s="24">
        <v>45198</v>
      </c>
      <c r="G1440" s="22" t="s">
        <v>16</v>
      </c>
      <c r="H1440" s="25">
        <v>66155</v>
      </c>
      <c r="I1440" s="25">
        <v>2155</v>
      </c>
      <c r="J1440" s="26">
        <v>1825.11</v>
      </c>
      <c r="K1440" s="25">
        <v>348</v>
      </c>
      <c r="L1440" s="21" t="s">
        <v>21</v>
      </c>
      <c r="M1440" s="22" t="s">
        <v>16</v>
      </c>
      <c r="N1440" s="27">
        <f t="shared" si="176"/>
        <v>5</v>
      </c>
      <c r="O1440" s="28">
        <f t="shared" si="177"/>
        <v>3.2575013226513488E-2</v>
      </c>
      <c r="P1440" s="28">
        <f t="shared" si="178"/>
        <v>0.16148491879350349</v>
      </c>
      <c r="Q1440" s="26">
        <f t="shared" si="179"/>
        <v>0.84691879350348021</v>
      </c>
      <c r="R1440" s="29">
        <f t="shared" si="180"/>
        <v>5.2445689655172414</v>
      </c>
      <c r="S1440" s="30">
        <f t="shared" si="181"/>
        <v>9</v>
      </c>
      <c r="T1440" s="30">
        <f t="shared" si="182"/>
        <v>2023</v>
      </c>
      <c r="U1440" s="29" t="str">
        <f t="shared" si="183"/>
        <v>September</v>
      </c>
    </row>
    <row r="1441" spans="1:21" ht="17.399999999999999" x14ac:dyDescent="0.3">
      <c r="A1441" s="21" t="s">
        <v>458</v>
      </c>
      <c r="B1441" s="21" t="s">
        <v>459</v>
      </c>
      <c r="C1441" s="23" t="s">
        <v>3519</v>
      </c>
      <c r="D1441" s="21" t="s">
        <v>3521</v>
      </c>
      <c r="E1441" s="24">
        <v>45194</v>
      </c>
      <c r="F1441" s="24">
        <v>45207</v>
      </c>
      <c r="G1441" s="22" t="s">
        <v>11</v>
      </c>
      <c r="H1441" s="25">
        <v>12411</v>
      </c>
      <c r="I1441" s="25">
        <v>437</v>
      </c>
      <c r="J1441" s="26">
        <v>649.87</v>
      </c>
      <c r="K1441" s="25">
        <v>28</v>
      </c>
      <c r="L1441" s="21" t="s">
        <v>21</v>
      </c>
      <c r="M1441" s="22" t="s">
        <v>11</v>
      </c>
      <c r="N1441" s="27">
        <f t="shared" si="176"/>
        <v>13</v>
      </c>
      <c r="O1441" s="28">
        <f t="shared" si="177"/>
        <v>3.5210700185319473E-2</v>
      </c>
      <c r="P1441" s="28">
        <f t="shared" si="178"/>
        <v>6.4073226544622428E-2</v>
      </c>
      <c r="Q1441" s="26">
        <f t="shared" si="179"/>
        <v>1.4871167048054921</v>
      </c>
      <c r="R1441" s="29">
        <f t="shared" si="180"/>
        <v>23.209642857142857</v>
      </c>
      <c r="S1441" s="30">
        <f t="shared" si="181"/>
        <v>9</v>
      </c>
      <c r="T1441" s="30">
        <f t="shared" si="182"/>
        <v>2023</v>
      </c>
      <c r="U1441" s="29" t="str">
        <f t="shared" si="183"/>
        <v>September</v>
      </c>
    </row>
    <row r="1442" spans="1:21" ht="17.399999999999999" x14ac:dyDescent="0.3">
      <c r="A1442" s="21" t="s">
        <v>2310</v>
      </c>
      <c r="B1442" s="21" t="s">
        <v>2311</v>
      </c>
      <c r="C1442" s="23" t="s">
        <v>3519</v>
      </c>
      <c r="D1442" s="21" t="s">
        <v>3517</v>
      </c>
      <c r="E1442" s="24">
        <v>45194</v>
      </c>
      <c r="F1442" s="24">
        <v>45198</v>
      </c>
      <c r="G1442" s="22" t="s">
        <v>16</v>
      </c>
      <c r="H1442" s="25">
        <v>49770</v>
      </c>
      <c r="I1442" s="25">
        <v>1003</v>
      </c>
      <c r="J1442" s="26">
        <v>509.23</v>
      </c>
      <c r="K1442" s="25">
        <v>192</v>
      </c>
      <c r="L1442" s="21" t="s">
        <v>21</v>
      </c>
      <c r="M1442" s="22" t="s">
        <v>16</v>
      </c>
      <c r="N1442" s="27">
        <f t="shared" si="176"/>
        <v>4</v>
      </c>
      <c r="O1442" s="28">
        <f t="shared" si="177"/>
        <v>2.0152702431183445E-2</v>
      </c>
      <c r="P1442" s="28">
        <f t="shared" si="178"/>
        <v>0.1914257228315055</v>
      </c>
      <c r="Q1442" s="26">
        <f t="shared" si="179"/>
        <v>0.50770687936191428</v>
      </c>
      <c r="R1442" s="29">
        <f t="shared" si="180"/>
        <v>2.6522395833333334</v>
      </c>
      <c r="S1442" s="30">
        <f t="shared" si="181"/>
        <v>9</v>
      </c>
      <c r="T1442" s="30">
        <f t="shared" si="182"/>
        <v>2023</v>
      </c>
      <c r="U1442" s="29" t="str">
        <f t="shared" si="183"/>
        <v>September</v>
      </c>
    </row>
    <row r="1443" spans="1:21" ht="17.399999999999999" x14ac:dyDescent="0.3">
      <c r="A1443" s="21" t="s">
        <v>3046</v>
      </c>
      <c r="B1443" s="21" t="s">
        <v>3047</v>
      </c>
      <c r="C1443" s="23" t="s">
        <v>3519</v>
      </c>
      <c r="D1443" s="21" t="s">
        <v>3517</v>
      </c>
      <c r="E1443" s="24">
        <v>45194</v>
      </c>
      <c r="F1443" s="24">
        <v>45204</v>
      </c>
      <c r="G1443" s="22" t="s">
        <v>16</v>
      </c>
      <c r="H1443" s="25">
        <v>3469</v>
      </c>
      <c r="I1443" s="25">
        <v>44</v>
      </c>
      <c r="J1443" s="26">
        <v>26.6</v>
      </c>
      <c r="K1443" s="25">
        <v>5</v>
      </c>
      <c r="L1443" s="21" t="s">
        <v>17</v>
      </c>
      <c r="M1443" s="22" t="s">
        <v>16</v>
      </c>
      <c r="N1443" s="27">
        <f t="shared" si="176"/>
        <v>10</v>
      </c>
      <c r="O1443" s="28">
        <f t="shared" si="177"/>
        <v>1.2683770539060248E-2</v>
      </c>
      <c r="P1443" s="28">
        <f t="shared" si="178"/>
        <v>0.11363636363636363</v>
      </c>
      <c r="Q1443" s="26">
        <f t="shared" si="179"/>
        <v>0.60454545454545461</v>
      </c>
      <c r="R1443" s="29">
        <f t="shared" si="180"/>
        <v>5.32</v>
      </c>
      <c r="S1443" s="30">
        <f t="shared" si="181"/>
        <v>9</v>
      </c>
      <c r="T1443" s="30">
        <f t="shared" si="182"/>
        <v>2023</v>
      </c>
      <c r="U1443" s="29" t="str">
        <f t="shared" si="183"/>
        <v>September</v>
      </c>
    </row>
    <row r="1444" spans="1:21" ht="17.399999999999999" x14ac:dyDescent="0.3">
      <c r="A1444" s="21" t="s">
        <v>2125</v>
      </c>
      <c r="B1444" s="21" t="s">
        <v>2126</v>
      </c>
      <c r="C1444" s="23" t="s">
        <v>3516</v>
      </c>
      <c r="D1444" s="21" t="s">
        <v>3517</v>
      </c>
      <c r="E1444" s="24">
        <v>45194</v>
      </c>
      <c r="F1444" s="24">
        <v>45214</v>
      </c>
      <c r="G1444" s="22" t="s">
        <v>16</v>
      </c>
      <c r="H1444" s="25">
        <v>54028</v>
      </c>
      <c r="I1444" s="25">
        <v>2254</v>
      </c>
      <c r="J1444" s="26">
        <v>1991.67</v>
      </c>
      <c r="K1444" s="25">
        <v>139</v>
      </c>
      <c r="L1444" s="21" t="s">
        <v>17</v>
      </c>
      <c r="M1444" s="22" t="s">
        <v>16</v>
      </c>
      <c r="N1444" s="27">
        <f t="shared" si="176"/>
        <v>20</v>
      </c>
      <c r="O1444" s="28">
        <f t="shared" si="177"/>
        <v>4.1719108610350192E-2</v>
      </c>
      <c r="P1444" s="28">
        <f t="shared" si="178"/>
        <v>6.1668145519077198E-2</v>
      </c>
      <c r="Q1444" s="26">
        <f t="shared" si="179"/>
        <v>0.88361579414374447</v>
      </c>
      <c r="R1444" s="29">
        <f t="shared" si="180"/>
        <v>14.328561151079137</v>
      </c>
      <c r="S1444" s="30">
        <f t="shared" si="181"/>
        <v>9</v>
      </c>
      <c r="T1444" s="30">
        <f t="shared" si="182"/>
        <v>2023</v>
      </c>
      <c r="U1444" s="29" t="str">
        <f t="shared" si="183"/>
        <v>September</v>
      </c>
    </row>
    <row r="1445" spans="1:21" ht="17.399999999999999" x14ac:dyDescent="0.3">
      <c r="A1445" s="21" t="s">
        <v>2935</v>
      </c>
      <c r="B1445" s="22" t="s">
        <v>3921</v>
      </c>
      <c r="C1445" s="23" t="s">
        <v>3516</v>
      </c>
      <c r="D1445" s="22" t="s">
        <v>3545</v>
      </c>
      <c r="E1445" s="24">
        <v>45194</v>
      </c>
      <c r="F1445" s="24">
        <v>45209</v>
      </c>
      <c r="G1445" s="22" t="s">
        <v>24</v>
      </c>
      <c r="H1445" s="25">
        <v>8906</v>
      </c>
      <c r="I1445" s="25">
        <v>377</v>
      </c>
      <c r="J1445" s="26">
        <v>289.39</v>
      </c>
      <c r="K1445" s="25">
        <v>41</v>
      </c>
      <c r="L1445" s="21" t="s">
        <v>17</v>
      </c>
      <c r="M1445" s="22" t="s">
        <v>3536</v>
      </c>
      <c r="N1445" s="27">
        <f t="shared" si="176"/>
        <v>15</v>
      </c>
      <c r="O1445" s="28">
        <f t="shared" si="177"/>
        <v>4.2331012800359308E-2</v>
      </c>
      <c r="P1445" s="28">
        <f t="shared" si="178"/>
        <v>0.10875331564986737</v>
      </c>
      <c r="Q1445" s="26">
        <f t="shared" si="179"/>
        <v>0.76761273209549064</v>
      </c>
      <c r="R1445" s="29">
        <f t="shared" si="180"/>
        <v>7.0582926829268287</v>
      </c>
      <c r="S1445" s="30">
        <f t="shared" si="181"/>
        <v>9</v>
      </c>
      <c r="T1445" s="30">
        <f t="shared" si="182"/>
        <v>2023</v>
      </c>
      <c r="U1445" s="29" t="str">
        <f t="shared" si="183"/>
        <v>September</v>
      </c>
    </row>
    <row r="1446" spans="1:21" ht="17.399999999999999" x14ac:dyDescent="0.3">
      <c r="A1446" s="21" t="s">
        <v>3429</v>
      </c>
      <c r="B1446" s="22" t="s">
        <v>3922</v>
      </c>
      <c r="C1446" s="23" t="s">
        <v>3515</v>
      </c>
      <c r="D1446" s="22" t="s">
        <v>3545</v>
      </c>
      <c r="E1446" s="24">
        <v>45194</v>
      </c>
      <c r="F1446" s="24">
        <v>45214</v>
      </c>
      <c r="G1446" s="22" t="s">
        <v>16</v>
      </c>
      <c r="H1446" s="25">
        <v>50786</v>
      </c>
      <c r="I1446" s="25">
        <v>535</v>
      </c>
      <c r="J1446" s="26">
        <v>471.94</v>
      </c>
      <c r="K1446" s="25">
        <v>92</v>
      </c>
      <c r="L1446" s="21" t="s">
        <v>17</v>
      </c>
      <c r="M1446" s="22" t="s">
        <v>16</v>
      </c>
      <c r="N1446" s="27">
        <f t="shared" si="176"/>
        <v>20</v>
      </c>
      <c r="O1446" s="28">
        <f t="shared" si="177"/>
        <v>1.0534399243886111E-2</v>
      </c>
      <c r="P1446" s="28">
        <f t="shared" si="178"/>
        <v>0.17196261682242991</v>
      </c>
      <c r="Q1446" s="26">
        <f t="shared" si="179"/>
        <v>0.88213084112149531</v>
      </c>
      <c r="R1446" s="29">
        <f t="shared" si="180"/>
        <v>5.1297826086956517</v>
      </c>
      <c r="S1446" s="30">
        <f t="shared" si="181"/>
        <v>9</v>
      </c>
      <c r="T1446" s="30">
        <f t="shared" si="182"/>
        <v>2023</v>
      </c>
      <c r="U1446" s="29" t="str">
        <f t="shared" si="183"/>
        <v>September</v>
      </c>
    </row>
    <row r="1447" spans="1:21" ht="17.399999999999999" x14ac:dyDescent="0.3">
      <c r="A1447" s="21" t="s">
        <v>432</v>
      </c>
      <c r="B1447" s="22" t="s">
        <v>3923</v>
      </c>
      <c r="C1447" s="23" t="s">
        <v>3516</v>
      </c>
      <c r="D1447" s="22" t="s">
        <v>3545</v>
      </c>
      <c r="E1447" s="24">
        <v>45195</v>
      </c>
      <c r="F1447" s="24">
        <v>45214</v>
      </c>
      <c r="G1447" s="22" t="s">
        <v>3535</v>
      </c>
      <c r="H1447" s="25">
        <v>81623</v>
      </c>
      <c r="I1447" s="25">
        <v>3459</v>
      </c>
      <c r="J1447" s="26">
        <v>4568.84</v>
      </c>
      <c r="K1447" s="25">
        <v>211</v>
      </c>
      <c r="L1447" s="21" t="s">
        <v>17</v>
      </c>
      <c r="M1447" s="22" t="s">
        <v>3535</v>
      </c>
      <c r="N1447" s="27">
        <f t="shared" si="176"/>
        <v>19</v>
      </c>
      <c r="O1447" s="28">
        <f t="shared" si="177"/>
        <v>4.2377761170258384E-2</v>
      </c>
      <c r="P1447" s="28">
        <f t="shared" si="178"/>
        <v>6.1000289100896214E-2</v>
      </c>
      <c r="Q1447" s="26">
        <f t="shared" si="179"/>
        <v>1.3208557386527899</v>
      </c>
      <c r="R1447" s="29">
        <f t="shared" si="180"/>
        <v>21.653270142180094</v>
      </c>
      <c r="S1447" s="30">
        <f t="shared" si="181"/>
        <v>9</v>
      </c>
      <c r="T1447" s="30">
        <f t="shared" si="182"/>
        <v>2023</v>
      </c>
      <c r="U1447" s="29" t="str">
        <f t="shared" si="183"/>
        <v>September</v>
      </c>
    </row>
    <row r="1448" spans="1:21" ht="17.399999999999999" x14ac:dyDescent="0.3">
      <c r="A1448" s="21" t="s">
        <v>1843</v>
      </c>
      <c r="B1448" s="21" t="s">
        <v>1844</v>
      </c>
      <c r="C1448" s="23" t="s">
        <v>3516</v>
      </c>
      <c r="D1448" s="21" t="s">
        <v>3517</v>
      </c>
      <c r="E1448" s="24">
        <v>45195</v>
      </c>
      <c r="F1448" s="24">
        <v>45199</v>
      </c>
      <c r="G1448" s="22" t="s">
        <v>14</v>
      </c>
      <c r="H1448" s="25">
        <v>65323</v>
      </c>
      <c r="I1448" s="25">
        <v>3031</v>
      </c>
      <c r="J1448" s="26">
        <v>3215.02</v>
      </c>
      <c r="K1448" s="25">
        <v>515</v>
      </c>
      <c r="L1448" s="21" t="s">
        <v>17</v>
      </c>
      <c r="M1448" s="22" t="s">
        <v>3537</v>
      </c>
      <c r="N1448" s="27">
        <f t="shared" si="176"/>
        <v>4</v>
      </c>
      <c r="O1448" s="28">
        <f t="shared" si="177"/>
        <v>4.6400195949359339E-2</v>
      </c>
      <c r="P1448" s="28">
        <f t="shared" si="178"/>
        <v>0.16991092048828768</v>
      </c>
      <c r="Q1448" s="26">
        <f t="shared" si="179"/>
        <v>1.0607126360936985</v>
      </c>
      <c r="R1448" s="29">
        <f t="shared" si="180"/>
        <v>6.2427572815533976</v>
      </c>
      <c r="S1448" s="30">
        <f t="shared" si="181"/>
        <v>9</v>
      </c>
      <c r="T1448" s="30">
        <f t="shared" si="182"/>
        <v>2023</v>
      </c>
      <c r="U1448" s="29" t="str">
        <f t="shared" si="183"/>
        <v>September</v>
      </c>
    </row>
    <row r="1449" spans="1:21" ht="17.399999999999999" x14ac:dyDescent="0.3">
      <c r="A1449" s="21" t="s">
        <v>3296</v>
      </c>
      <c r="B1449" s="22" t="s">
        <v>3924</v>
      </c>
      <c r="C1449" s="23" t="s">
        <v>3516</v>
      </c>
      <c r="D1449" s="22" t="s">
        <v>3545</v>
      </c>
      <c r="E1449" s="24">
        <v>45195</v>
      </c>
      <c r="F1449" s="24">
        <v>45204</v>
      </c>
      <c r="G1449" s="22" t="s">
        <v>11</v>
      </c>
      <c r="H1449" s="25">
        <v>16251</v>
      </c>
      <c r="I1449" s="25">
        <v>354</v>
      </c>
      <c r="J1449" s="26">
        <v>570.4</v>
      </c>
      <c r="K1449" s="25">
        <v>67</v>
      </c>
      <c r="L1449" s="21" t="s">
        <v>21</v>
      </c>
      <c r="M1449" s="22" t="s">
        <v>11</v>
      </c>
      <c r="N1449" s="27">
        <f t="shared" si="176"/>
        <v>9</v>
      </c>
      <c r="O1449" s="28">
        <f t="shared" si="177"/>
        <v>2.1783274875392285E-2</v>
      </c>
      <c r="P1449" s="28">
        <f t="shared" si="178"/>
        <v>0.18926553672316385</v>
      </c>
      <c r="Q1449" s="26">
        <f t="shared" si="179"/>
        <v>1.6112994350282486</v>
      </c>
      <c r="R1449" s="29">
        <f t="shared" si="180"/>
        <v>8.5134328358208951</v>
      </c>
      <c r="S1449" s="30">
        <f t="shared" si="181"/>
        <v>9</v>
      </c>
      <c r="T1449" s="30">
        <f t="shared" si="182"/>
        <v>2023</v>
      </c>
      <c r="U1449" s="29" t="str">
        <f t="shared" si="183"/>
        <v>September</v>
      </c>
    </row>
    <row r="1450" spans="1:21" ht="17.399999999999999" x14ac:dyDescent="0.3">
      <c r="A1450" s="21" t="s">
        <v>2162</v>
      </c>
      <c r="B1450" s="21" t="s">
        <v>2163</v>
      </c>
      <c r="C1450" s="23" t="s">
        <v>3515</v>
      </c>
      <c r="D1450" s="21" t="s">
        <v>3520</v>
      </c>
      <c r="E1450" s="24">
        <v>45195</v>
      </c>
      <c r="F1450" s="24">
        <v>45204</v>
      </c>
      <c r="G1450" s="22" t="s">
        <v>24</v>
      </c>
      <c r="H1450" s="25">
        <v>38430</v>
      </c>
      <c r="I1450" s="25">
        <v>1440</v>
      </c>
      <c r="J1450" s="26">
        <v>2585.12</v>
      </c>
      <c r="K1450" s="25">
        <v>123</v>
      </c>
      <c r="L1450" s="21" t="s">
        <v>17</v>
      </c>
      <c r="M1450" s="22" t="s">
        <v>3536</v>
      </c>
      <c r="N1450" s="27">
        <f t="shared" si="176"/>
        <v>9</v>
      </c>
      <c r="O1450" s="28">
        <f t="shared" si="177"/>
        <v>3.7470725995316159E-2</v>
      </c>
      <c r="P1450" s="28">
        <f t="shared" si="178"/>
        <v>8.5416666666666669E-2</v>
      </c>
      <c r="Q1450" s="26">
        <f t="shared" si="179"/>
        <v>1.7952222222222221</v>
      </c>
      <c r="R1450" s="29">
        <f t="shared" si="180"/>
        <v>21.017235772357722</v>
      </c>
      <c r="S1450" s="30">
        <f t="shared" si="181"/>
        <v>9</v>
      </c>
      <c r="T1450" s="30">
        <f t="shared" si="182"/>
        <v>2023</v>
      </c>
      <c r="U1450" s="29" t="str">
        <f t="shared" si="183"/>
        <v>September</v>
      </c>
    </row>
    <row r="1451" spans="1:21" ht="17.399999999999999" x14ac:dyDescent="0.3">
      <c r="A1451" s="21" t="s">
        <v>808</v>
      </c>
      <c r="B1451" s="21" t="s">
        <v>809</v>
      </c>
      <c r="C1451" s="23" t="s">
        <v>3519</v>
      </c>
      <c r="D1451" s="21" t="s">
        <v>3520</v>
      </c>
      <c r="E1451" s="24">
        <v>45196</v>
      </c>
      <c r="F1451" s="24">
        <v>45223</v>
      </c>
      <c r="G1451" s="22" t="s">
        <v>3535</v>
      </c>
      <c r="H1451" s="25">
        <v>73615</v>
      </c>
      <c r="I1451" s="25">
        <v>3512</v>
      </c>
      <c r="J1451" s="26">
        <v>2313.63</v>
      </c>
      <c r="K1451" s="25">
        <v>0</v>
      </c>
      <c r="L1451" s="21" t="s">
        <v>21</v>
      </c>
      <c r="M1451" s="22" t="s">
        <v>3535</v>
      </c>
      <c r="N1451" s="27">
        <f t="shared" si="176"/>
        <v>27</v>
      </c>
      <c r="O1451" s="28">
        <f t="shared" si="177"/>
        <v>4.7707668274128916E-2</v>
      </c>
      <c r="P1451" s="28">
        <f t="shared" si="178"/>
        <v>0</v>
      </c>
      <c r="Q1451" s="26">
        <f t="shared" si="179"/>
        <v>0.65877847380410026</v>
      </c>
      <c r="R1451" s="29" t="str">
        <f t="shared" si="180"/>
        <v>0</v>
      </c>
      <c r="S1451" s="30">
        <f t="shared" si="181"/>
        <v>9</v>
      </c>
      <c r="T1451" s="30">
        <f t="shared" si="182"/>
        <v>2023</v>
      </c>
      <c r="U1451" s="29" t="str">
        <f t="shared" si="183"/>
        <v>September</v>
      </c>
    </row>
    <row r="1452" spans="1:21" ht="17.399999999999999" x14ac:dyDescent="0.3">
      <c r="A1452" s="21" t="s">
        <v>985</v>
      </c>
      <c r="B1452" s="21" t="s">
        <v>986</v>
      </c>
      <c r="C1452" s="23" t="s">
        <v>3519</v>
      </c>
      <c r="D1452" s="21" t="s">
        <v>3521</v>
      </c>
      <c r="E1452" s="24">
        <v>45196</v>
      </c>
      <c r="F1452" s="24">
        <v>45197</v>
      </c>
      <c r="G1452" s="22" t="s">
        <v>31</v>
      </c>
      <c r="H1452" s="25">
        <v>90643</v>
      </c>
      <c r="I1452" s="25">
        <v>3655</v>
      </c>
      <c r="J1452" s="26">
        <v>3034.14</v>
      </c>
      <c r="K1452" s="25">
        <v>587</v>
      </c>
      <c r="L1452" s="21" t="s">
        <v>17</v>
      </c>
      <c r="M1452" s="22" t="s">
        <v>31</v>
      </c>
      <c r="N1452" s="27">
        <f t="shared" si="176"/>
        <v>1</v>
      </c>
      <c r="O1452" s="28">
        <f t="shared" si="177"/>
        <v>4.0323025495625699E-2</v>
      </c>
      <c r="P1452" s="28">
        <f t="shared" si="178"/>
        <v>0.16060191518467853</v>
      </c>
      <c r="Q1452" s="26">
        <f t="shared" si="179"/>
        <v>0.83013406292749659</v>
      </c>
      <c r="R1452" s="29">
        <f t="shared" si="180"/>
        <v>5.1688926746166945</v>
      </c>
      <c r="S1452" s="30">
        <f t="shared" si="181"/>
        <v>9</v>
      </c>
      <c r="T1452" s="30">
        <f t="shared" si="182"/>
        <v>2023</v>
      </c>
      <c r="U1452" s="29" t="str">
        <f t="shared" si="183"/>
        <v>September</v>
      </c>
    </row>
    <row r="1453" spans="1:21" ht="17.399999999999999" x14ac:dyDescent="0.3">
      <c r="A1453" s="21" t="s">
        <v>1216</v>
      </c>
      <c r="B1453" s="21" t="s">
        <v>1217</v>
      </c>
      <c r="C1453" s="23" t="s">
        <v>3516</v>
      </c>
      <c r="D1453" s="21" t="s">
        <v>3521</v>
      </c>
      <c r="E1453" s="24">
        <v>45196</v>
      </c>
      <c r="F1453" s="24">
        <v>45226</v>
      </c>
      <c r="G1453" s="22" t="s">
        <v>11</v>
      </c>
      <c r="H1453" s="25">
        <v>38080</v>
      </c>
      <c r="I1453" s="25">
        <v>1034</v>
      </c>
      <c r="J1453" s="26">
        <v>1054.51</v>
      </c>
      <c r="K1453" s="25">
        <v>151</v>
      </c>
      <c r="L1453" s="21" t="s">
        <v>17</v>
      </c>
      <c r="M1453" s="22" t="s">
        <v>11</v>
      </c>
      <c r="N1453" s="27">
        <f t="shared" si="176"/>
        <v>30</v>
      </c>
      <c r="O1453" s="28">
        <f t="shared" si="177"/>
        <v>2.7153361344537816E-2</v>
      </c>
      <c r="P1453" s="28">
        <f t="shared" si="178"/>
        <v>0.14603481624758222</v>
      </c>
      <c r="Q1453" s="26">
        <f t="shared" si="179"/>
        <v>1.0198355899419729</v>
      </c>
      <c r="R1453" s="29">
        <f t="shared" si="180"/>
        <v>6.9835099337748341</v>
      </c>
      <c r="S1453" s="30">
        <f t="shared" si="181"/>
        <v>9</v>
      </c>
      <c r="T1453" s="30">
        <f t="shared" si="182"/>
        <v>2023</v>
      </c>
      <c r="U1453" s="29" t="str">
        <f t="shared" si="183"/>
        <v>September</v>
      </c>
    </row>
    <row r="1454" spans="1:21" ht="17.399999999999999" x14ac:dyDescent="0.3">
      <c r="A1454" s="21" t="s">
        <v>1957</v>
      </c>
      <c r="B1454" s="21" t="s">
        <v>1958</v>
      </c>
      <c r="C1454" s="23" t="s">
        <v>3516</v>
      </c>
      <c r="D1454" s="21" t="s">
        <v>3517</v>
      </c>
      <c r="E1454" s="24">
        <v>45196</v>
      </c>
      <c r="F1454" s="24">
        <v>45221</v>
      </c>
      <c r="G1454" s="22" t="s">
        <v>14</v>
      </c>
      <c r="H1454" s="25">
        <v>60207</v>
      </c>
      <c r="I1454" s="25">
        <v>814</v>
      </c>
      <c r="J1454" s="26">
        <v>812.36</v>
      </c>
      <c r="K1454" s="25">
        <v>100</v>
      </c>
      <c r="L1454" s="21" t="s">
        <v>21</v>
      </c>
      <c r="M1454" s="22" t="s">
        <v>3537</v>
      </c>
      <c r="N1454" s="27">
        <f t="shared" si="176"/>
        <v>25</v>
      </c>
      <c r="O1454" s="28">
        <f t="shared" si="177"/>
        <v>1.3520022588735529E-2</v>
      </c>
      <c r="P1454" s="28">
        <f t="shared" si="178"/>
        <v>0.12285012285012285</v>
      </c>
      <c r="Q1454" s="26">
        <f t="shared" si="179"/>
        <v>0.99798525798525806</v>
      </c>
      <c r="R1454" s="29">
        <f t="shared" si="180"/>
        <v>8.1235999999999997</v>
      </c>
      <c r="S1454" s="30">
        <f t="shared" si="181"/>
        <v>9</v>
      </c>
      <c r="T1454" s="30">
        <f t="shared" si="182"/>
        <v>2023</v>
      </c>
      <c r="U1454" s="29" t="str">
        <f t="shared" si="183"/>
        <v>September</v>
      </c>
    </row>
    <row r="1455" spans="1:21" ht="17.399999999999999" x14ac:dyDescent="0.3">
      <c r="A1455" s="21" t="s">
        <v>108</v>
      </c>
      <c r="B1455" s="21" t="s">
        <v>109</v>
      </c>
      <c r="C1455" s="23" t="s">
        <v>3515</v>
      </c>
      <c r="D1455" s="21" t="s">
        <v>3517</v>
      </c>
      <c r="E1455" s="24">
        <v>45197</v>
      </c>
      <c r="F1455" s="24">
        <v>45207</v>
      </c>
      <c r="G1455" s="22" t="s">
        <v>14</v>
      </c>
      <c r="H1455" s="25">
        <v>81077</v>
      </c>
      <c r="I1455" s="25">
        <v>3593</v>
      </c>
      <c r="J1455" s="26">
        <v>3219.35</v>
      </c>
      <c r="K1455" s="25">
        <v>279</v>
      </c>
      <c r="L1455" s="21" t="s">
        <v>17</v>
      </c>
      <c r="M1455" s="22" t="s">
        <v>3537</v>
      </c>
      <c r="N1455" s="27">
        <f t="shared" si="176"/>
        <v>10</v>
      </c>
      <c r="O1455" s="28">
        <f t="shared" si="177"/>
        <v>4.4315897233494085E-2</v>
      </c>
      <c r="P1455" s="28">
        <f t="shared" si="178"/>
        <v>7.7650988032284998E-2</v>
      </c>
      <c r="Q1455" s="26">
        <f t="shared" si="179"/>
        <v>0.89600612301697746</v>
      </c>
      <c r="R1455" s="29">
        <f t="shared" si="180"/>
        <v>11.538888888888888</v>
      </c>
      <c r="S1455" s="30">
        <f t="shared" si="181"/>
        <v>9</v>
      </c>
      <c r="T1455" s="30">
        <f t="shared" si="182"/>
        <v>2023</v>
      </c>
      <c r="U1455" s="29" t="str">
        <f t="shared" si="183"/>
        <v>September</v>
      </c>
    </row>
    <row r="1456" spans="1:21" ht="17.399999999999999" x14ac:dyDescent="0.3">
      <c r="A1456" s="21" t="s">
        <v>398</v>
      </c>
      <c r="B1456" s="22" t="s">
        <v>3925</v>
      </c>
      <c r="C1456" s="23" t="s">
        <v>3516</v>
      </c>
      <c r="D1456" s="22" t="s">
        <v>3545</v>
      </c>
      <c r="E1456" s="24">
        <v>45197</v>
      </c>
      <c r="F1456" s="24">
        <v>45202</v>
      </c>
      <c r="G1456" s="22" t="s">
        <v>11</v>
      </c>
      <c r="H1456" s="25">
        <v>39623</v>
      </c>
      <c r="I1456" s="25">
        <v>1689</v>
      </c>
      <c r="J1456" s="26">
        <v>1094.26</v>
      </c>
      <c r="K1456" s="25">
        <v>241</v>
      </c>
      <c r="L1456" s="21" t="s">
        <v>17</v>
      </c>
      <c r="M1456" s="22" t="s">
        <v>11</v>
      </c>
      <c r="N1456" s="27">
        <f t="shared" si="176"/>
        <v>5</v>
      </c>
      <c r="O1456" s="28">
        <f t="shared" si="177"/>
        <v>4.2626757186482601E-2</v>
      </c>
      <c r="P1456" s="28">
        <f t="shared" si="178"/>
        <v>0.14268798105387803</v>
      </c>
      <c r="Q1456" s="26">
        <f t="shared" si="179"/>
        <v>0.6478744819419775</v>
      </c>
      <c r="R1456" s="29">
        <f t="shared" si="180"/>
        <v>4.540497925311203</v>
      </c>
      <c r="S1456" s="30">
        <f t="shared" si="181"/>
        <v>9</v>
      </c>
      <c r="T1456" s="30">
        <f t="shared" si="182"/>
        <v>2023</v>
      </c>
      <c r="U1456" s="29" t="str">
        <f t="shared" si="183"/>
        <v>September</v>
      </c>
    </row>
    <row r="1457" spans="1:21" ht="17.399999999999999" x14ac:dyDescent="0.3">
      <c r="A1457" s="21" t="s">
        <v>421</v>
      </c>
      <c r="B1457" s="21" t="s">
        <v>422</v>
      </c>
      <c r="C1457" s="23" t="s">
        <v>3519</v>
      </c>
      <c r="D1457" s="21" t="s">
        <v>3521</v>
      </c>
      <c r="E1457" s="24">
        <v>45198</v>
      </c>
      <c r="F1457" s="24">
        <v>45205</v>
      </c>
      <c r="G1457" s="22" t="s">
        <v>24</v>
      </c>
      <c r="H1457" s="25">
        <v>38157</v>
      </c>
      <c r="I1457" s="25">
        <v>1231</v>
      </c>
      <c r="J1457" s="26">
        <v>1346.17</v>
      </c>
      <c r="K1457" s="25">
        <v>142</v>
      </c>
      <c r="L1457" s="21" t="s">
        <v>21</v>
      </c>
      <c r="M1457" s="22" t="s">
        <v>3536</v>
      </c>
      <c r="N1457" s="27">
        <f t="shared" si="176"/>
        <v>7</v>
      </c>
      <c r="O1457" s="28">
        <f t="shared" si="177"/>
        <v>3.2261446130460988E-2</v>
      </c>
      <c r="P1457" s="28">
        <f t="shared" si="178"/>
        <v>0.11535337124289195</v>
      </c>
      <c r="Q1457" s="26">
        <f t="shared" si="179"/>
        <v>1.093558082859464</v>
      </c>
      <c r="R1457" s="29">
        <f t="shared" si="180"/>
        <v>9.4800704225352117</v>
      </c>
      <c r="S1457" s="30">
        <f t="shared" si="181"/>
        <v>9</v>
      </c>
      <c r="T1457" s="30">
        <f t="shared" si="182"/>
        <v>2023</v>
      </c>
      <c r="U1457" s="29" t="str">
        <f t="shared" si="183"/>
        <v>September</v>
      </c>
    </row>
    <row r="1458" spans="1:21" ht="17.399999999999999" x14ac:dyDescent="0.3">
      <c r="A1458" s="21" t="s">
        <v>1463</v>
      </c>
      <c r="B1458" s="22" t="s">
        <v>3926</v>
      </c>
      <c r="C1458" s="23" t="s">
        <v>3518</v>
      </c>
      <c r="D1458" s="22" t="s">
        <v>3545</v>
      </c>
      <c r="E1458" s="24">
        <v>45198</v>
      </c>
      <c r="F1458" s="24">
        <v>45212</v>
      </c>
      <c r="G1458" s="22" t="s">
        <v>14</v>
      </c>
      <c r="H1458" s="25">
        <v>54932</v>
      </c>
      <c r="I1458" s="25">
        <v>1108</v>
      </c>
      <c r="J1458" s="26">
        <v>1625.83</v>
      </c>
      <c r="K1458" s="25">
        <v>122</v>
      </c>
      <c r="L1458" s="21" t="s">
        <v>17</v>
      </c>
      <c r="M1458" s="22" t="s">
        <v>3537</v>
      </c>
      <c r="N1458" s="27">
        <f t="shared" si="176"/>
        <v>14</v>
      </c>
      <c r="O1458" s="28">
        <f t="shared" si="177"/>
        <v>2.0170392485254495E-2</v>
      </c>
      <c r="P1458" s="28">
        <f t="shared" si="178"/>
        <v>0.11010830324909747</v>
      </c>
      <c r="Q1458" s="26">
        <f t="shared" si="179"/>
        <v>1.4673555956678699</v>
      </c>
      <c r="R1458" s="29">
        <f t="shared" si="180"/>
        <v>13.326475409836066</v>
      </c>
      <c r="S1458" s="30">
        <f t="shared" si="181"/>
        <v>9</v>
      </c>
      <c r="T1458" s="30">
        <f t="shared" si="182"/>
        <v>2023</v>
      </c>
      <c r="U1458" s="29" t="str">
        <f t="shared" si="183"/>
        <v>September</v>
      </c>
    </row>
    <row r="1459" spans="1:21" ht="17.399999999999999" x14ac:dyDescent="0.3">
      <c r="A1459" s="21" t="s">
        <v>2267</v>
      </c>
      <c r="B1459" s="22" t="s">
        <v>3927</v>
      </c>
      <c r="C1459" s="23" t="s">
        <v>3518</v>
      </c>
      <c r="D1459" s="22" t="s">
        <v>3545</v>
      </c>
      <c r="E1459" s="24">
        <v>45198</v>
      </c>
      <c r="F1459" s="24">
        <v>45224</v>
      </c>
      <c r="G1459" s="22" t="s">
        <v>11</v>
      </c>
      <c r="H1459" s="25">
        <v>60676</v>
      </c>
      <c r="I1459" s="25">
        <v>2780</v>
      </c>
      <c r="J1459" s="26">
        <v>4065.34</v>
      </c>
      <c r="K1459" s="25">
        <v>465</v>
      </c>
      <c r="L1459" s="21" t="s">
        <v>17</v>
      </c>
      <c r="M1459" s="22" t="s">
        <v>11</v>
      </c>
      <c r="N1459" s="27">
        <f t="shared" si="176"/>
        <v>26</v>
      </c>
      <c r="O1459" s="28">
        <f t="shared" si="177"/>
        <v>4.5817127035401146E-2</v>
      </c>
      <c r="P1459" s="28">
        <f t="shared" si="178"/>
        <v>0.1672661870503597</v>
      </c>
      <c r="Q1459" s="26">
        <f t="shared" si="179"/>
        <v>1.4623525179856116</v>
      </c>
      <c r="R1459" s="29">
        <f t="shared" si="180"/>
        <v>8.7426666666666666</v>
      </c>
      <c r="S1459" s="30">
        <f t="shared" si="181"/>
        <v>9</v>
      </c>
      <c r="T1459" s="30">
        <f t="shared" si="182"/>
        <v>2023</v>
      </c>
      <c r="U1459" s="29" t="str">
        <f t="shared" si="183"/>
        <v>September</v>
      </c>
    </row>
    <row r="1460" spans="1:21" ht="17.399999999999999" x14ac:dyDescent="0.3">
      <c r="A1460" s="21" t="s">
        <v>2418</v>
      </c>
      <c r="B1460" s="21" t="s">
        <v>2419</v>
      </c>
      <c r="C1460" s="23" t="s">
        <v>3518</v>
      </c>
      <c r="D1460" s="21" t="s">
        <v>3517</v>
      </c>
      <c r="E1460" s="24">
        <v>45198</v>
      </c>
      <c r="F1460" s="24">
        <v>45202</v>
      </c>
      <c r="G1460" s="22" t="s">
        <v>24</v>
      </c>
      <c r="H1460" s="25">
        <v>18771</v>
      </c>
      <c r="I1460" s="25">
        <v>529</v>
      </c>
      <c r="J1460" s="26">
        <v>594.49</v>
      </c>
      <c r="K1460" s="25">
        <v>74</v>
      </c>
      <c r="L1460" s="21" t="s">
        <v>17</v>
      </c>
      <c r="M1460" s="22" t="s">
        <v>3536</v>
      </c>
      <c r="N1460" s="27">
        <f t="shared" si="176"/>
        <v>4</v>
      </c>
      <c r="O1460" s="28">
        <f t="shared" si="177"/>
        <v>2.8181769751211977E-2</v>
      </c>
      <c r="P1460" s="28">
        <f t="shared" si="178"/>
        <v>0.13988657844990549</v>
      </c>
      <c r="Q1460" s="26">
        <f t="shared" si="179"/>
        <v>1.1237996219281663</v>
      </c>
      <c r="R1460" s="29">
        <f t="shared" si="180"/>
        <v>8.0336486486486489</v>
      </c>
      <c r="S1460" s="30">
        <f t="shared" si="181"/>
        <v>9</v>
      </c>
      <c r="T1460" s="30">
        <f t="shared" si="182"/>
        <v>2023</v>
      </c>
      <c r="U1460" s="29" t="str">
        <f t="shared" si="183"/>
        <v>September</v>
      </c>
    </row>
    <row r="1461" spans="1:21" ht="17.399999999999999" x14ac:dyDescent="0.3">
      <c r="A1461" s="21" t="s">
        <v>166</v>
      </c>
      <c r="B1461" s="22" t="s">
        <v>3928</v>
      </c>
      <c r="C1461" s="23" t="s">
        <v>3515</v>
      </c>
      <c r="D1461" s="22" t="s">
        <v>3545</v>
      </c>
      <c r="E1461" s="24">
        <v>45198</v>
      </c>
      <c r="F1461" s="24">
        <v>45209</v>
      </c>
      <c r="G1461" s="22" t="s">
        <v>3535</v>
      </c>
      <c r="H1461" s="25">
        <v>87807</v>
      </c>
      <c r="I1461" s="25">
        <v>3125</v>
      </c>
      <c r="J1461" s="26">
        <v>1938.54</v>
      </c>
      <c r="K1461" s="25">
        <v>506</v>
      </c>
      <c r="L1461" s="21" t="s">
        <v>21</v>
      </c>
      <c r="M1461" s="22" t="s">
        <v>3535</v>
      </c>
      <c r="N1461" s="27">
        <f t="shared" si="176"/>
        <v>11</v>
      </c>
      <c r="O1461" s="28">
        <f t="shared" si="177"/>
        <v>3.5589417700183354E-2</v>
      </c>
      <c r="P1461" s="28">
        <f t="shared" si="178"/>
        <v>0.16192000000000001</v>
      </c>
      <c r="Q1461" s="26">
        <f t="shared" si="179"/>
        <v>0.62033280000000002</v>
      </c>
      <c r="R1461" s="29">
        <f t="shared" si="180"/>
        <v>3.8311067193675887</v>
      </c>
      <c r="S1461" s="30">
        <f t="shared" si="181"/>
        <v>9</v>
      </c>
      <c r="T1461" s="30">
        <f t="shared" si="182"/>
        <v>2023</v>
      </c>
      <c r="U1461" s="29" t="str">
        <f t="shared" si="183"/>
        <v>September</v>
      </c>
    </row>
    <row r="1462" spans="1:21" ht="17.399999999999999" x14ac:dyDescent="0.3">
      <c r="A1462" s="21" t="s">
        <v>739</v>
      </c>
      <c r="B1462" s="22" t="s">
        <v>3929</v>
      </c>
      <c r="C1462" s="23" t="s">
        <v>3515</v>
      </c>
      <c r="D1462" s="22" t="s">
        <v>3545</v>
      </c>
      <c r="E1462" s="24">
        <v>45198</v>
      </c>
      <c r="F1462" s="24">
        <v>45227</v>
      </c>
      <c r="G1462" s="22" t="s">
        <v>16</v>
      </c>
      <c r="H1462" s="25">
        <v>71031</v>
      </c>
      <c r="I1462" s="25">
        <v>1716</v>
      </c>
      <c r="J1462" s="26">
        <v>2524.71</v>
      </c>
      <c r="K1462" s="25">
        <v>112</v>
      </c>
      <c r="L1462" s="21" t="s">
        <v>21</v>
      </c>
      <c r="M1462" s="22" t="s">
        <v>16</v>
      </c>
      <c r="N1462" s="27">
        <f t="shared" si="176"/>
        <v>29</v>
      </c>
      <c r="O1462" s="28">
        <f t="shared" si="177"/>
        <v>2.415846602187777E-2</v>
      </c>
      <c r="P1462" s="28">
        <f t="shared" si="178"/>
        <v>6.5268065268065265E-2</v>
      </c>
      <c r="Q1462" s="26">
        <f t="shared" si="179"/>
        <v>1.4712762237762238</v>
      </c>
      <c r="R1462" s="29">
        <f t="shared" si="180"/>
        <v>22.542053571428571</v>
      </c>
      <c r="S1462" s="30">
        <f t="shared" si="181"/>
        <v>9</v>
      </c>
      <c r="T1462" s="30">
        <f t="shared" si="182"/>
        <v>2023</v>
      </c>
      <c r="U1462" s="29" t="str">
        <f t="shared" si="183"/>
        <v>September</v>
      </c>
    </row>
    <row r="1463" spans="1:21" ht="17.399999999999999" x14ac:dyDescent="0.3">
      <c r="A1463" s="21" t="s">
        <v>1461</v>
      </c>
      <c r="B1463" s="21" t="s">
        <v>1462</v>
      </c>
      <c r="C1463" s="23" t="s">
        <v>3519</v>
      </c>
      <c r="D1463" s="21" t="s">
        <v>3520</v>
      </c>
      <c r="E1463" s="24">
        <v>45199</v>
      </c>
      <c r="F1463" s="24">
        <v>45209</v>
      </c>
      <c r="G1463" s="22" t="s">
        <v>16</v>
      </c>
      <c r="H1463" s="25">
        <v>46106</v>
      </c>
      <c r="I1463" s="25">
        <v>1040</v>
      </c>
      <c r="J1463" s="26">
        <v>1915.05</v>
      </c>
      <c r="K1463" s="25">
        <v>56</v>
      </c>
      <c r="L1463" s="21" t="s">
        <v>17</v>
      </c>
      <c r="M1463" s="22" t="s">
        <v>16</v>
      </c>
      <c r="N1463" s="27">
        <f t="shared" si="176"/>
        <v>10</v>
      </c>
      <c r="O1463" s="28">
        <f t="shared" si="177"/>
        <v>2.2556717130091528E-2</v>
      </c>
      <c r="P1463" s="28">
        <f t="shared" si="178"/>
        <v>5.3846153846153849E-2</v>
      </c>
      <c r="Q1463" s="26">
        <f t="shared" si="179"/>
        <v>1.8413942307692308</v>
      </c>
      <c r="R1463" s="29">
        <f t="shared" si="180"/>
        <v>34.197321428571428</v>
      </c>
      <c r="S1463" s="30">
        <f t="shared" si="181"/>
        <v>9</v>
      </c>
      <c r="T1463" s="30">
        <f t="shared" si="182"/>
        <v>2023</v>
      </c>
      <c r="U1463" s="29" t="str">
        <f t="shared" si="183"/>
        <v>September</v>
      </c>
    </row>
    <row r="1464" spans="1:21" ht="17.399999999999999" x14ac:dyDescent="0.3">
      <c r="A1464" s="21" t="s">
        <v>105</v>
      </c>
      <c r="B1464" s="22" t="s">
        <v>3930</v>
      </c>
      <c r="C1464" s="23" t="s">
        <v>3515</v>
      </c>
      <c r="D1464" s="22" t="s">
        <v>3545</v>
      </c>
      <c r="E1464" s="24">
        <v>45199</v>
      </c>
      <c r="F1464" s="24">
        <v>45210</v>
      </c>
      <c r="G1464" s="22" t="s">
        <v>3535</v>
      </c>
      <c r="H1464" s="25">
        <v>49555</v>
      </c>
      <c r="I1464" s="25">
        <v>1114</v>
      </c>
      <c r="J1464" s="26">
        <v>919.99</v>
      </c>
      <c r="K1464" s="25">
        <v>95</v>
      </c>
      <c r="L1464" s="21" t="s">
        <v>17</v>
      </c>
      <c r="M1464" s="22" t="s">
        <v>3535</v>
      </c>
      <c r="N1464" s="27">
        <f t="shared" si="176"/>
        <v>11</v>
      </c>
      <c r="O1464" s="28">
        <f t="shared" si="177"/>
        <v>2.2480072646554335E-2</v>
      </c>
      <c r="P1464" s="28">
        <f t="shared" si="178"/>
        <v>8.527827648114901E-2</v>
      </c>
      <c r="Q1464" s="26">
        <f t="shared" si="179"/>
        <v>0.82584380610412922</v>
      </c>
      <c r="R1464" s="29">
        <f t="shared" si="180"/>
        <v>9.6841052631578943</v>
      </c>
      <c r="S1464" s="30">
        <f t="shared" si="181"/>
        <v>9</v>
      </c>
      <c r="T1464" s="30">
        <f t="shared" si="182"/>
        <v>2023</v>
      </c>
      <c r="U1464" s="29" t="str">
        <f t="shared" si="183"/>
        <v>September</v>
      </c>
    </row>
    <row r="1465" spans="1:21" ht="17.399999999999999" x14ac:dyDescent="0.3">
      <c r="A1465" s="21" t="s">
        <v>2707</v>
      </c>
      <c r="B1465" s="21" t="s">
        <v>2708</v>
      </c>
      <c r="C1465" s="23" t="s">
        <v>3515</v>
      </c>
      <c r="D1465" s="21" t="s">
        <v>3521</v>
      </c>
      <c r="E1465" s="24">
        <v>45199</v>
      </c>
      <c r="F1465" s="24">
        <v>45211</v>
      </c>
      <c r="G1465" s="22" t="s">
        <v>31</v>
      </c>
      <c r="H1465" s="25">
        <v>42786</v>
      </c>
      <c r="I1465" s="25">
        <v>812</v>
      </c>
      <c r="J1465" s="26">
        <v>1531.52</v>
      </c>
      <c r="K1465" s="25">
        <v>146</v>
      </c>
      <c r="L1465" s="21" t="s">
        <v>21</v>
      </c>
      <c r="M1465" s="22" t="s">
        <v>31</v>
      </c>
      <c r="N1465" s="27">
        <f t="shared" si="176"/>
        <v>12</v>
      </c>
      <c r="O1465" s="28">
        <f t="shared" si="177"/>
        <v>1.897817042957977E-2</v>
      </c>
      <c r="P1465" s="28">
        <f t="shared" si="178"/>
        <v>0.17980295566502463</v>
      </c>
      <c r="Q1465" s="26">
        <f t="shared" si="179"/>
        <v>1.8861083743842364</v>
      </c>
      <c r="R1465" s="29">
        <f t="shared" si="180"/>
        <v>10.48986301369863</v>
      </c>
      <c r="S1465" s="30">
        <f t="shared" si="181"/>
        <v>9</v>
      </c>
      <c r="T1465" s="30">
        <f t="shared" si="182"/>
        <v>2023</v>
      </c>
      <c r="U1465" s="29" t="str">
        <f t="shared" si="183"/>
        <v>September</v>
      </c>
    </row>
    <row r="1466" spans="1:21" ht="17.399999999999999" x14ac:dyDescent="0.3">
      <c r="A1466" s="21" t="s">
        <v>2966</v>
      </c>
      <c r="B1466" s="21" t="s">
        <v>2967</v>
      </c>
      <c r="C1466" s="23" t="s">
        <v>3518</v>
      </c>
      <c r="D1466" s="21" t="s">
        <v>3517</v>
      </c>
      <c r="E1466" s="24">
        <v>45200</v>
      </c>
      <c r="F1466" s="24">
        <v>45217</v>
      </c>
      <c r="G1466" s="22" t="s">
        <v>24</v>
      </c>
      <c r="H1466" s="25">
        <v>89801</v>
      </c>
      <c r="I1466" s="25">
        <v>1585</v>
      </c>
      <c r="J1466" s="26">
        <v>1075.68</v>
      </c>
      <c r="K1466" s="25">
        <v>223</v>
      </c>
      <c r="L1466" s="21" t="s">
        <v>21</v>
      </c>
      <c r="M1466" s="22" t="s">
        <v>3536</v>
      </c>
      <c r="N1466" s="27">
        <f t="shared" si="176"/>
        <v>17</v>
      </c>
      <c r="O1466" s="28">
        <f t="shared" si="177"/>
        <v>1.765013752630817E-2</v>
      </c>
      <c r="P1466" s="28">
        <f t="shared" si="178"/>
        <v>0.14069400630914827</v>
      </c>
      <c r="Q1466" s="26">
        <f t="shared" si="179"/>
        <v>0.67866246056782342</v>
      </c>
      <c r="R1466" s="29">
        <f t="shared" si="180"/>
        <v>4.8236771300448433</v>
      </c>
      <c r="S1466" s="30">
        <f t="shared" si="181"/>
        <v>10</v>
      </c>
      <c r="T1466" s="30">
        <f t="shared" si="182"/>
        <v>2023</v>
      </c>
      <c r="U1466" s="29" t="str">
        <f t="shared" si="183"/>
        <v>October</v>
      </c>
    </row>
    <row r="1467" spans="1:21" ht="17.399999999999999" x14ac:dyDescent="0.3">
      <c r="A1467" s="21" t="s">
        <v>3086</v>
      </c>
      <c r="B1467" s="21" t="s">
        <v>3087</v>
      </c>
      <c r="C1467" s="23" t="s">
        <v>3518</v>
      </c>
      <c r="D1467" s="21" t="s">
        <v>3517</v>
      </c>
      <c r="E1467" s="24">
        <v>45200</v>
      </c>
      <c r="F1467" s="24">
        <v>45226</v>
      </c>
      <c r="G1467" s="22" t="s">
        <v>11</v>
      </c>
      <c r="H1467" s="25">
        <v>92659</v>
      </c>
      <c r="I1467" s="25">
        <v>951</v>
      </c>
      <c r="J1467" s="26">
        <v>1127.1500000000001</v>
      </c>
      <c r="K1467" s="25">
        <v>105</v>
      </c>
      <c r="L1467" s="21" t="s">
        <v>17</v>
      </c>
      <c r="M1467" s="22" t="s">
        <v>11</v>
      </c>
      <c r="N1467" s="27">
        <f t="shared" si="176"/>
        <v>26</v>
      </c>
      <c r="O1467" s="28">
        <f t="shared" si="177"/>
        <v>1.0263439061505088E-2</v>
      </c>
      <c r="P1467" s="28">
        <f t="shared" si="178"/>
        <v>0.11041009463722397</v>
      </c>
      <c r="Q1467" s="26">
        <f t="shared" si="179"/>
        <v>1.1852260778128287</v>
      </c>
      <c r="R1467" s="29">
        <f t="shared" si="180"/>
        <v>10.734761904761905</v>
      </c>
      <c r="S1467" s="30">
        <f t="shared" si="181"/>
        <v>10</v>
      </c>
      <c r="T1467" s="30">
        <f t="shared" si="182"/>
        <v>2023</v>
      </c>
      <c r="U1467" s="29" t="str">
        <f t="shared" si="183"/>
        <v>October</v>
      </c>
    </row>
    <row r="1468" spans="1:21" ht="17.399999999999999" x14ac:dyDescent="0.3">
      <c r="A1468" s="21" t="s">
        <v>1110</v>
      </c>
      <c r="B1468" s="21" t="s">
        <v>1111</v>
      </c>
      <c r="C1468" s="23" t="s">
        <v>3516</v>
      </c>
      <c r="D1468" s="21" t="s">
        <v>3520</v>
      </c>
      <c r="E1468" s="24">
        <v>45200</v>
      </c>
      <c r="F1468" s="24">
        <v>45227</v>
      </c>
      <c r="G1468" s="22" t="s">
        <v>14</v>
      </c>
      <c r="H1468" s="25">
        <v>70896</v>
      </c>
      <c r="I1468" s="25">
        <v>2184</v>
      </c>
      <c r="J1468" s="26">
        <v>1263.6300000000001</v>
      </c>
      <c r="K1468" s="25">
        <v>207</v>
      </c>
      <c r="L1468" s="21" t="s">
        <v>17</v>
      </c>
      <c r="M1468" s="22" t="s">
        <v>3537</v>
      </c>
      <c r="N1468" s="27">
        <f t="shared" si="176"/>
        <v>27</v>
      </c>
      <c r="O1468" s="28">
        <f t="shared" si="177"/>
        <v>3.0805687203791468E-2</v>
      </c>
      <c r="P1468" s="28">
        <f t="shared" si="178"/>
        <v>9.4780219780219777E-2</v>
      </c>
      <c r="Q1468" s="26">
        <f t="shared" si="179"/>
        <v>0.57858516483516487</v>
      </c>
      <c r="R1468" s="29">
        <f t="shared" si="180"/>
        <v>6.1044927536231892</v>
      </c>
      <c r="S1468" s="30">
        <f t="shared" si="181"/>
        <v>10</v>
      </c>
      <c r="T1468" s="30">
        <f t="shared" si="182"/>
        <v>2023</v>
      </c>
      <c r="U1468" s="29" t="str">
        <f t="shared" si="183"/>
        <v>October</v>
      </c>
    </row>
    <row r="1469" spans="1:21" ht="17.399999999999999" x14ac:dyDescent="0.3">
      <c r="A1469" s="21" t="s">
        <v>1730</v>
      </c>
      <c r="B1469" s="21" t="s">
        <v>1731</v>
      </c>
      <c r="C1469" s="23" t="s">
        <v>3516</v>
      </c>
      <c r="D1469" s="21" t="s">
        <v>3521</v>
      </c>
      <c r="E1469" s="24">
        <v>45200</v>
      </c>
      <c r="F1469" s="24">
        <v>45205</v>
      </c>
      <c r="G1469" s="22" t="s">
        <v>16</v>
      </c>
      <c r="H1469" s="25">
        <v>5632</v>
      </c>
      <c r="I1469" s="25">
        <v>155</v>
      </c>
      <c r="J1469" s="26">
        <v>199.25</v>
      </c>
      <c r="K1469" s="25">
        <v>0</v>
      </c>
      <c r="L1469" s="21" t="s">
        <v>21</v>
      </c>
      <c r="M1469" s="22" t="s">
        <v>16</v>
      </c>
      <c r="N1469" s="27">
        <f t="shared" si="176"/>
        <v>5</v>
      </c>
      <c r="O1469" s="28">
        <f t="shared" si="177"/>
        <v>2.752130681818182E-2</v>
      </c>
      <c r="P1469" s="28">
        <f t="shared" si="178"/>
        <v>0</v>
      </c>
      <c r="Q1469" s="26">
        <f t="shared" si="179"/>
        <v>1.2854838709677419</v>
      </c>
      <c r="R1469" s="29" t="str">
        <f t="shared" si="180"/>
        <v>0</v>
      </c>
      <c r="S1469" s="30">
        <f t="shared" si="181"/>
        <v>10</v>
      </c>
      <c r="T1469" s="30">
        <f t="shared" si="182"/>
        <v>2023</v>
      </c>
      <c r="U1469" s="29" t="str">
        <f t="shared" si="183"/>
        <v>October</v>
      </c>
    </row>
    <row r="1470" spans="1:21" ht="17.399999999999999" x14ac:dyDescent="0.3">
      <c r="A1470" s="21" t="s">
        <v>2263</v>
      </c>
      <c r="B1470" s="21" t="s">
        <v>2264</v>
      </c>
      <c r="C1470" s="23" t="s">
        <v>3516</v>
      </c>
      <c r="D1470" s="21" t="s">
        <v>3520</v>
      </c>
      <c r="E1470" s="24">
        <v>45200</v>
      </c>
      <c r="F1470" s="24">
        <v>45207</v>
      </c>
      <c r="G1470" s="22" t="s">
        <v>11</v>
      </c>
      <c r="H1470" s="25">
        <v>3079</v>
      </c>
      <c r="I1470" s="25">
        <v>118</v>
      </c>
      <c r="J1470" s="26">
        <v>84.34</v>
      </c>
      <c r="K1470" s="25">
        <v>20</v>
      </c>
      <c r="L1470" s="21" t="s">
        <v>17</v>
      </c>
      <c r="M1470" s="22" t="s">
        <v>11</v>
      </c>
      <c r="N1470" s="27">
        <f t="shared" si="176"/>
        <v>7</v>
      </c>
      <c r="O1470" s="28">
        <f t="shared" si="177"/>
        <v>3.8324131211432286E-2</v>
      </c>
      <c r="P1470" s="28">
        <f t="shared" si="178"/>
        <v>0.16949152542372881</v>
      </c>
      <c r="Q1470" s="26">
        <f t="shared" si="179"/>
        <v>0.71474576271186441</v>
      </c>
      <c r="R1470" s="29">
        <f t="shared" si="180"/>
        <v>4.2170000000000005</v>
      </c>
      <c r="S1470" s="30">
        <f t="shared" si="181"/>
        <v>10</v>
      </c>
      <c r="T1470" s="30">
        <f t="shared" si="182"/>
        <v>2023</v>
      </c>
      <c r="U1470" s="29" t="str">
        <f t="shared" si="183"/>
        <v>October</v>
      </c>
    </row>
    <row r="1471" spans="1:21" ht="17.399999999999999" x14ac:dyDescent="0.3">
      <c r="A1471" s="21" t="s">
        <v>2453</v>
      </c>
      <c r="B1471" s="21" t="s">
        <v>2454</v>
      </c>
      <c r="C1471" s="23" t="s">
        <v>3516</v>
      </c>
      <c r="D1471" s="21" t="s">
        <v>3520</v>
      </c>
      <c r="E1471" s="24">
        <v>45200</v>
      </c>
      <c r="F1471" s="24">
        <v>45208</v>
      </c>
      <c r="G1471" s="22" t="s">
        <v>24</v>
      </c>
      <c r="H1471" s="25">
        <v>18685</v>
      </c>
      <c r="I1471" s="25">
        <v>596</v>
      </c>
      <c r="J1471" s="26">
        <v>576.54999999999995</v>
      </c>
      <c r="K1471" s="25">
        <v>92</v>
      </c>
      <c r="L1471" s="21" t="s">
        <v>17</v>
      </c>
      <c r="M1471" s="22" t="s">
        <v>3536</v>
      </c>
      <c r="N1471" s="27">
        <f t="shared" si="176"/>
        <v>8</v>
      </c>
      <c r="O1471" s="28">
        <f t="shared" si="177"/>
        <v>3.1897243778431894E-2</v>
      </c>
      <c r="P1471" s="28">
        <f t="shared" si="178"/>
        <v>0.15436241610738255</v>
      </c>
      <c r="Q1471" s="26">
        <f t="shared" si="179"/>
        <v>0.9673657718120805</v>
      </c>
      <c r="R1471" s="29">
        <f t="shared" si="180"/>
        <v>6.2668478260869565</v>
      </c>
      <c r="S1471" s="30">
        <f t="shared" si="181"/>
        <v>10</v>
      </c>
      <c r="T1471" s="30">
        <f t="shared" si="182"/>
        <v>2023</v>
      </c>
      <c r="U1471" s="29" t="str">
        <f t="shared" si="183"/>
        <v>October</v>
      </c>
    </row>
    <row r="1472" spans="1:21" ht="17.399999999999999" x14ac:dyDescent="0.3">
      <c r="A1472" s="21" t="s">
        <v>2929</v>
      </c>
      <c r="B1472" s="22" t="s">
        <v>3931</v>
      </c>
      <c r="C1472" s="23" t="s">
        <v>3516</v>
      </c>
      <c r="D1472" s="22" t="s">
        <v>3545</v>
      </c>
      <c r="E1472" s="24">
        <v>45200</v>
      </c>
      <c r="F1472" s="24">
        <v>45226</v>
      </c>
      <c r="G1472" s="22" t="s">
        <v>11</v>
      </c>
      <c r="H1472" s="25">
        <v>26425</v>
      </c>
      <c r="I1472" s="25">
        <v>1019</v>
      </c>
      <c r="J1472" s="26">
        <v>982.44</v>
      </c>
      <c r="K1472" s="25">
        <v>104</v>
      </c>
      <c r="L1472" s="21" t="s">
        <v>21</v>
      </c>
      <c r="M1472" s="22" t="s">
        <v>11</v>
      </c>
      <c r="N1472" s="27">
        <f t="shared" si="176"/>
        <v>26</v>
      </c>
      <c r="O1472" s="28">
        <f t="shared" si="177"/>
        <v>3.8561967833491015E-2</v>
      </c>
      <c r="P1472" s="28">
        <f t="shared" si="178"/>
        <v>0.10206084396467124</v>
      </c>
      <c r="Q1472" s="26">
        <f t="shared" si="179"/>
        <v>0.9641216879293425</v>
      </c>
      <c r="R1472" s="29">
        <f t="shared" si="180"/>
        <v>9.4465384615384629</v>
      </c>
      <c r="S1472" s="30">
        <f t="shared" si="181"/>
        <v>10</v>
      </c>
      <c r="T1472" s="30">
        <f t="shared" si="182"/>
        <v>2023</v>
      </c>
      <c r="U1472" s="29" t="str">
        <f t="shared" si="183"/>
        <v>October</v>
      </c>
    </row>
    <row r="1473" spans="1:21" ht="17.399999999999999" x14ac:dyDescent="0.3">
      <c r="A1473" s="21" t="s">
        <v>2290</v>
      </c>
      <c r="B1473" s="21" t="s">
        <v>2291</v>
      </c>
      <c r="C1473" s="23" t="s">
        <v>3515</v>
      </c>
      <c r="D1473" s="21" t="s">
        <v>3520</v>
      </c>
      <c r="E1473" s="24">
        <v>45200</v>
      </c>
      <c r="F1473" s="24">
        <v>45223</v>
      </c>
      <c r="G1473" s="22" t="s">
        <v>16</v>
      </c>
      <c r="H1473" s="25">
        <v>29865</v>
      </c>
      <c r="I1473" s="25">
        <v>1425</v>
      </c>
      <c r="J1473" s="26">
        <v>1297.53</v>
      </c>
      <c r="K1473" s="25">
        <v>210</v>
      </c>
      <c r="L1473" s="21" t="s">
        <v>17</v>
      </c>
      <c r="M1473" s="22" t="s">
        <v>16</v>
      </c>
      <c r="N1473" s="27">
        <f t="shared" si="176"/>
        <v>23</v>
      </c>
      <c r="O1473" s="28">
        <f t="shared" si="177"/>
        <v>4.7714716223003516E-2</v>
      </c>
      <c r="P1473" s="28">
        <f t="shared" si="178"/>
        <v>0.14736842105263157</v>
      </c>
      <c r="Q1473" s="26">
        <f t="shared" si="179"/>
        <v>0.91054736842105266</v>
      </c>
      <c r="R1473" s="29">
        <f t="shared" si="180"/>
        <v>6.1787142857142854</v>
      </c>
      <c r="S1473" s="30">
        <f t="shared" si="181"/>
        <v>10</v>
      </c>
      <c r="T1473" s="30">
        <f t="shared" si="182"/>
        <v>2023</v>
      </c>
      <c r="U1473" s="29" t="str">
        <f t="shared" si="183"/>
        <v>October</v>
      </c>
    </row>
    <row r="1474" spans="1:21" ht="17.399999999999999" x14ac:dyDescent="0.3">
      <c r="A1474" s="21" t="s">
        <v>3462</v>
      </c>
      <c r="B1474" s="21" t="s">
        <v>3463</v>
      </c>
      <c r="C1474" s="23" t="s">
        <v>3515</v>
      </c>
      <c r="D1474" s="21" t="s">
        <v>3521</v>
      </c>
      <c r="E1474" s="24">
        <v>45200</v>
      </c>
      <c r="F1474" s="24">
        <v>45209</v>
      </c>
      <c r="G1474" s="22" t="s">
        <v>11</v>
      </c>
      <c r="H1474" s="25">
        <v>75137</v>
      </c>
      <c r="I1474" s="25">
        <v>2943</v>
      </c>
      <c r="J1474" s="26">
        <v>5827.23</v>
      </c>
      <c r="K1474" s="25">
        <v>260</v>
      </c>
      <c r="L1474" s="21" t="s">
        <v>21</v>
      </c>
      <c r="M1474" s="22" t="s">
        <v>11</v>
      </c>
      <c r="N1474" s="27">
        <f t="shared" ref="N1474:N1537" si="184">F1474-E1474</f>
        <v>9</v>
      </c>
      <c r="O1474" s="28">
        <f t="shared" ref="O1474:O1537" si="185">I1474/H1474</f>
        <v>3.9168452293809976E-2</v>
      </c>
      <c r="P1474" s="28">
        <f t="shared" ref="P1474:P1537" si="186">K1474/I1474</f>
        <v>8.8345225959904863E-2</v>
      </c>
      <c r="Q1474" s="26">
        <f t="shared" ref="Q1474:Q1537" si="187">J1474/I1474</f>
        <v>1.9800305810397552</v>
      </c>
      <c r="R1474" s="29">
        <f t="shared" ref="R1474:R1537" si="188">IFERROR(J1474/K1474,"0")</f>
        <v>22.412423076923076</v>
      </c>
      <c r="S1474" s="30">
        <f t="shared" ref="S1474:S1537" si="189">MONTH(E1474)</f>
        <v>10</v>
      </c>
      <c r="T1474" s="30">
        <f t="shared" ref="T1474:T1537" si="190">YEAR(E1474)</f>
        <v>2023</v>
      </c>
      <c r="U1474" s="29" t="str">
        <f t="shared" ref="U1474:U1537" si="191">TEXT(E1474,"mmmm")</f>
        <v>October</v>
      </c>
    </row>
    <row r="1475" spans="1:21" ht="17.399999999999999" x14ac:dyDescent="0.3">
      <c r="A1475" s="21" t="s">
        <v>39</v>
      </c>
      <c r="B1475" s="21" t="s">
        <v>40</v>
      </c>
      <c r="C1475" s="23" t="s">
        <v>3519</v>
      </c>
      <c r="D1475" s="21" t="s">
        <v>3520</v>
      </c>
      <c r="E1475" s="24">
        <v>45201</v>
      </c>
      <c r="F1475" s="24">
        <v>45214</v>
      </c>
      <c r="G1475" s="22" t="s">
        <v>11</v>
      </c>
      <c r="H1475" s="25">
        <v>65820</v>
      </c>
      <c r="I1475" s="25">
        <v>1116</v>
      </c>
      <c r="J1475" s="26">
        <v>1464.72</v>
      </c>
      <c r="K1475" s="25">
        <v>169</v>
      </c>
      <c r="L1475" s="21" t="s">
        <v>21</v>
      </c>
      <c r="M1475" s="22" t="s">
        <v>11</v>
      </c>
      <c r="N1475" s="27">
        <f t="shared" si="184"/>
        <v>13</v>
      </c>
      <c r="O1475" s="28">
        <f t="shared" si="185"/>
        <v>1.6955332725615314E-2</v>
      </c>
      <c r="P1475" s="28">
        <f t="shared" si="186"/>
        <v>0.15143369175627241</v>
      </c>
      <c r="Q1475" s="26">
        <f t="shared" si="187"/>
        <v>1.3124731182795699</v>
      </c>
      <c r="R1475" s="29">
        <f t="shared" si="188"/>
        <v>8.6669822485207106</v>
      </c>
      <c r="S1475" s="30">
        <f t="shared" si="189"/>
        <v>10</v>
      </c>
      <c r="T1475" s="30">
        <f t="shared" si="190"/>
        <v>2023</v>
      </c>
      <c r="U1475" s="29" t="str">
        <f t="shared" si="191"/>
        <v>October</v>
      </c>
    </row>
    <row r="1476" spans="1:21" ht="17.399999999999999" x14ac:dyDescent="0.3">
      <c r="A1476" s="21" t="s">
        <v>2729</v>
      </c>
      <c r="B1476" s="22" t="s">
        <v>3932</v>
      </c>
      <c r="C1476" s="23" t="s">
        <v>3519</v>
      </c>
      <c r="D1476" s="22" t="s">
        <v>3545</v>
      </c>
      <c r="E1476" s="24">
        <v>45201</v>
      </c>
      <c r="F1476" s="24">
        <v>45218</v>
      </c>
      <c r="G1476" s="22" t="s">
        <v>11</v>
      </c>
      <c r="H1476" s="25">
        <v>36435</v>
      </c>
      <c r="I1476" s="25">
        <v>1157</v>
      </c>
      <c r="J1476" s="26">
        <v>1596.39</v>
      </c>
      <c r="K1476" s="25">
        <v>89</v>
      </c>
      <c r="L1476" s="21" t="s">
        <v>21</v>
      </c>
      <c r="M1476" s="22" t="s">
        <v>11</v>
      </c>
      <c r="N1476" s="27">
        <f t="shared" si="184"/>
        <v>17</v>
      </c>
      <c r="O1476" s="28">
        <f t="shared" si="185"/>
        <v>3.175518045835049E-2</v>
      </c>
      <c r="P1476" s="28">
        <f t="shared" si="186"/>
        <v>7.6923076923076927E-2</v>
      </c>
      <c r="Q1476" s="26">
        <f t="shared" si="187"/>
        <v>1.3797666378565256</v>
      </c>
      <c r="R1476" s="29">
        <f t="shared" si="188"/>
        <v>17.936966292134834</v>
      </c>
      <c r="S1476" s="30">
        <f t="shared" si="189"/>
        <v>10</v>
      </c>
      <c r="T1476" s="30">
        <f t="shared" si="190"/>
        <v>2023</v>
      </c>
      <c r="U1476" s="29" t="str">
        <f t="shared" si="191"/>
        <v>October</v>
      </c>
    </row>
    <row r="1477" spans="1:21" ht="17.399999999999999" x14ac:dyDescent="0.3">
      <c r="A1477" s="21" t="s">
        <v>2098</v>
      </c>
      <c r="B1477" s="22" t="s">
        <v>3933</v>
      </c>
      <c r="C1477" s="23" t="s">
        <v>3516</v>
      </c>
      <c r="D1477" s="22" t="s">
        <v>3545</v>
      </c>
      <c r="E1477" s="24">
        <v>45201</v>
      </c>
      <c r="F1477" s="24">
        <v>45229</v>
      </c>
      <c r="G1477" s="22" t="s">
        <v>31</v>
      </c>
      <c r="H1477" s="25">
        <v>3443</v>
      </c>
      <c r="I1477" s="25">
        <v>38</v>
      </c>
      <c r="J1477" s="26">
        <v>20.76</v>
      </c>
      <c r="K1477" s="25">
        <v>2</v>
      </c>
      <c r="L1477" s="21" t="s">
        <v>21</v>
      </c>
      <c r="M1477" s="22" t="s">
        <v>31</v>
      </c>
      <c r="N1477" s="27">
        <f t="shared" si="184"/>
        <v>28</v>
      </c>
      <c r="O1477" s="28">
        <f t="shared" si="185"/>
        <v>1.1036886436247459E-2</v>
      </c>
      <c r="P1477" s="28">
        <f t="shared" si="186"/>
        <v>5.2631578947368418E-2</v>
      </c>
      <c r="Q1477" s="26">
        <f t="shared" si="187"/>
        <v>0.5463157894736842</v>
      </c>
      <c r="R1477" s="29">
        <f t="shared" si="188"/>
        <v>10.38</v>
      </c>
      <c r="S1477" s="30">
        <f t="shared" si="189"/>
        <v>10</v>
      </c>
      <c r="T1477" s="30">
        <f t="shared" si="190"/>
        <v>2023</v>
      </c>
      <c r="U1477" s="29" t="str">
        <f t="shared" si="191"/>
        <v>October</v>
      </c>
    </row>
    <row r="1478" spans="1:21" ht="17.399999999999999" x14ac:dyDescent="0.3">
      <c r="A1478" s="21" t="s">
        <v>84</v>
      </c>
      <c r="B1478" s="21" t="s">
        <v>85</v>
      </c>
      <c r="C1478" s="23" t="s">
        <v>3515</v>
      </c>
      <c r="D1478" s="21" t="s">
        <v>3521</v>
      </c>
      <c r="E1478" s="24">
        <v>45201</v>
      </c>
      <c r="F1478" s="24">
        <v>45211</v>
      </c>
      <c r="G1478" s="22" t="s">
        <v>16</v>
      </c>
      <c r="H1478" s="25">
        <v>4890</v>
      </c>
      <c r="I1478" s="25">
        <v>172</v>
      </c>
      <c r="J1478" s="26">
        <v>205.48</v>
      </c>
      <c r="K1478" s="25">
        <v>29</v>
      </c>
      <c r="L1478" s="21" t="s">
        <v>21</v>
      </c>
      <c r="M1478" s="22" t="s">
        <v>16</v>
      </c>
      <c r="N1478" s="27">
        <f t="shared" si="184"/>
        <v>10</v>
      </c>
      <c r="O1478" s="28">
        <f t="shared" si="185"/>
        <v>3.5173824130879348E-2</v>
      </c>
      <c r="P1478" s="28">
        <f t="shared" si="186"/>
        <v>0.16860465116279069</v>
      </c>
      <c r="Q1478" s="26">
        <f t="shared" si="187"/>
        <v>1.1946511627906977</v>
      </c>
      <c r="R1478" s="29">
        <f t="shared" si="188"/>
        <v>7.0855172413793097</v>
      </c>
      <c r="S1478" s="30">
        <f t="shared" si="189"/>
        <v>10</v>
      </c>
      <c r="T1478" s="30">
        <f t="shared" si="190"/>
        <v>2023</v>
      </c>
      <c r="U1478" s="29" t="str">
        <f t="shared" si="191"/>
        <v>October</v>
      </c>
    </row>
    <row r="1479" spans="1:21" ht="17.399999999999999" x14ac:dyDescent="0.3">
      <c r="A1479" s="21" t="s">
        <v>1639</v>
      </c>
      <c r="B1479" s="21" t="s">
        <v>1640</v>
      </c>
      <c r="C1479" s="23" t="s">
        <v>3515</v>
      </c>
      <c r="D1479" s="21" t="s">
        <v>3521</v>
      </c>
      <c r="E1479" s="24">
        <v>45201</v>
      </c>
      <c r="F1479" s="24">
        <v>45218</v>
      </c>
      <c r="G1479" s="22" t="s">
        <v>31</v>
      </c>
      <c r="H1479" s="25">
        <v>82818</v>
      </c>
      <c r="I1479" s="25">
        <v>2446</v>
      </c>
      <c r="J1479" s="26">
        <v>3350.03</v>
      </c>
      <c r="K1479" s="25">
        <v>155</v>
      </c>
      <c r="L1479" s="21" t="s">
        <v>17</v>
      </c>
      <c r="M1479" s="22" t="s">
        <v>31</v>
      </c>
      <c r="N1479" s="27">
        <f t="shared" si="184"/>
        <v>17</v>
      </c>
      <c r="O1479" s="28">
        <f t="shared" si="185"/>
        <v>2.9534642227535077E-2</v>
      </c>
      <c r="P1479" s="28">
        <f t="shared" si="186"/>
        <v>6.3368765331152904E-2</v>
      </c>
      <c r="Q1479" s="26">
        <f t="shared" si="187"/>
        <v>1.3695952575633688</v>
      </c>
      <c r="R1479" s="29">
        <f t="shared" si="188"/>
        <v>21.613096774193551</v>
      </c>
      <c r="S1479" s="30">
        <f t="shared" si="189"/>
        <v>10</v>
      </c>
      <c r="T1479" s="30">
        <f t="shared" si="190"/>
        <v>2023</v>
      </c>
      <c r="U1479" s="29" t="str">
        <f t="shared" si="191"/>
        <v>October</v>
      </c>
    </row>
    <row r="1480" spans="1:21" ht="17.399999999999999" x14ac:dyDescent="0.3">
      <c r="A1480" s="21" t="s">
        <v>1674</v>
      </c>
      <c r="B1480" s="21" t="s">
        <v>1675</v>
      </c>
      <c r="C1480" s="23" t="s">
        <v>3519</v>
      </c>
      <c r="D1480" s="21" t="s">
        <v>3520</v>
      </c>
      <c r="E1480" s="24">
        <v>45202</v>
      </c>
      <c r="F1480" s="24">
        <v>45210</v>
      </c>
      <c r="G1480" s="22" t="s">
        <v>3535</v>
      </c>
      <c r="H1480" s="25">
        <v>1055</v>
      </c>
      <c r="I1480" s="25">
        <v>16</v>
      </c>
      <c r="J1480" s="26">
        <v>25.53</v>
      </c>
      <c r="K1480" s="25">
        <v>3</v>
      </c>
      <c r="L1480" s="21" t="s">
        <v>21</v>
      </c>
      <c r="M1480" s="22" t="s">
        <v>3535</v>
      </c>
      <c r="N1480" s="27">
        <f t="shared" si="184"/>
        <v>8</v>
      </c>
      <c r="O1480" s="28">
        <f t="shared" si="185"/>
        <v>1.5165876777251185E-2</v>
      </c>
      <c r="P1480" s="28">
        <f t="shared" si="186"/>
        <v>0.1875</v>
      </c>
      <c r="Q1480" s="26">
        <f t="shared" si="187"/>
        <v>1.5956250000000001</v>
      </c>
      <c r="R1480" s="29">
        <f t="shared" si="188"/>
        <v>8.51</v>
      </c>
      <c r="S1480" s="30">
        <f t="shared" si="189"/>
        <v>10</v>
      </c>
      <c r="T1480" s="30">
        <f t="shared" si="190"/>
        <v>2023</v>
      </c>
      <c r="U1480" s="29" t="str">
        <f t="shared" si="191"/>
        <v>October</v>
      </c>
    </row>
    <row r="1481" spans="1:21" ht="17.399999999999999" x14ac:dyDescent="0.3">
      <c r="A1481" s="21" t="s">
        <v>2537</v>
      </c>
      <c r="B1481" s="21" t="s">
        <v>2538</v>
      </c>
      <c r="C1481" s="23" t="s">
        <v>3519</v>
      </c>
      <c r="D1481" s="21" t="s">
        <v>3517</v>
      </c>
      <c r="E1481" s="24">
        <v>45202</v>
      </c>
      <c r="F1481" s="24">
        <v>45222</v>
      </c>
      <c r="G1481" s="22" t="s">
        <v>16</v>
      </c>
      <c r="H1481" s="25">
        <v>54276</v>
      </c>
      <c r="I1481" s="25">
        <v>639</v>
      </c>
      <c r="J1481" s="26">
        <v>1069.53</v>
      </c>
      <c r="K1481" s="25">
        <v>125</v>
      </c>
      <c r="L1481" s="21" t="s">
        <v>21</v>
      </c>
      <c r="M1481" s="22" t="s">
        <v>16</v>
      </c>
      <c r="N1481" s="27">
        <f t="shared" si="184"/>
        <v>20</v>
      </c>
      <c r="O1481" s="28">
        <f t="shared" si="185"/>
        <v>1.1773159407472917E-2</v>
      </c>
      <c r="P1481" s="28">
        <f t="shared" si="186"/>
        <v>0.19561815336463223</v>
      </c>
      <c r="Q1481" s="26">
        <f t="shared" si="187"/>
        <v>1.6737558685446008</v>
      </c>
      <c r="R1481" s="29">
        <f t="shared" si="188"/>
        <v>8.556239999999999</v>
      </c>
      <c r="S1481" s="30">
        <f t="shared" si="189"/>
        <v>10</v>
      </c>
      <c r="T1481" s="30">
        <f t="shared" si="190"/>
        <v>2023</v>
      </c>
      <c r="U1481" s="29" t="str">
        <f t="shared" si="191"/>
        <v>October</v>
      </c>
    </row>
    <row r="1482" spans="1:21" ht="17.399999999999999" x14ac:dyDescent="0.3">
      <c r="A1482" s="21" t="s">
        <v>2531</v>
      </c>
      <c r="B1482" s="21" t="s">
        <v>2532</v>
      </c>
      <c r="C1482" s="23" t="s">
        <v>3518</v>
      </c>
      <c r="D1482" s="21" t="s">
        <v>3521</v>
      </c>
      <c r="E1482" s="24">
        <v>45202</v>
      </c>
      <c r="F1482" s="24">
        <v>45216</v>
      </c>
      <c r="G1482" s="22" t="s">
        <v>3535</v>
      </c>
      <c r="H1482" s="25">
        <v>12555</v>
      </c>
      <c r="I1482" s="25">
        <v>592</v>
      </c>
      <c r="J1482" s="26">
        <v>580.79999999999995</v>
      </c>
      <c r="K1482" s="25">
        <v>82</v>
      </c>
      <c r="L1482" s="21" t="s">
        <v>17</v>
      </c>
      <c r="M1482" s="22" t="s">
        <v>3535</v>
      </c>
      <c r="N1482" s="27">
        <f t="shared" si="184"/>
        <v>14</v>
      </c>
      <c r="O1482" s="28">
        <f t="shared" si="185"/>
        <v>4.7152528872958982E-2</v>
      </c>
      <c r="P1482" s="28">
        <f t="shared" si="186"/>
        <v>0.13851351351351351</v>
      </c>
      <c r="Q1482" s="26">
        <f t="shared" si="187"/>
        <v>0.98108108108108105</v>
      </c>
      <c r="R1482" s="29">
        <f t="shared" si="188"/>
        <v>7.0829268292682919</v>
      </c>
      <c r="S1482" s="30">
        <f t="shared" si="189"/>
        <v>10</v>
      </c>
      <c r="T1482" s="30">
        <f t="shared" si="190"/>
        <v>2023</v>
      </c>
      <c r="U1482" s="29" t="str">
        <f t="shared" si="191"/>
        <v>October</v>
      </c>
    </row>
    <row r="1483" spans="1:21" ht="17.399999999999999" x14ac:dyDescent="0.3">
      <c r="A1483" s="21" t="s">
        <v>261</v>
      </c>
      <c r="B1483" s="21" t="s">
        <v>262</v>
      </c>
      <c r="C1483" s="23" t="s">
        <v>3516</v>
      </c>
      <c r="D1483" s="21" t="s">
        <v>3517</v>
      </c>
      <c r="E1483" s="24">
        <v>45202</v>
      </c>
      <c r="F1483" s="24">
        <v>45215</v>
      </c>
      <c r="G1483" s="22" t="s">
        <v>14</v>
      </c>
      <c r="H1483" s="25">
        <v>88897</v>
      </c>
      <c r="I1483" s="25">
        <v>1915</v>
      </c>
      <c r="J1483" s="26">
        <v>2926.3</v>
      </c>
      <c r="K1483" s="25">
        <v>148</v>
      </c>
      <c r="L1483" s="21" t="s">
        <v>17</v>
      </c>
      <c r="M1483" s="22" t="s">
        <v>3537</v>
      </c>
      <c r="N1483" s="27">
        <f t="shared" si="184"/>
        <v>13</v>
      </c>
      <c r="O1483" s="28">
        <f t="shared" si="185"/>
        <v>2.1541784312181515E-2</v>
      </c>
      <c r="P1483" s="28">
        <f t="shared" si="186"/>
        <v>7.7284595300261091E-2</v>
      </c>
      <c r="Q1483" s="26">
        <f t="shared" si="187"/>
        <v>1.5280939947780681</v>
      </c>
      <c r="R1483" s="29">
        <f t="shared" si="188"/>
        <v>19.7722972972973</v>
      </c>
      <c r="S1483" s="30">
        <f t="shared" si="189"/>
        <v>10</v>
      </c>
      <c r="T1483" s="30">
        <f t="shared" si="190"/>
        <v>2023</v>
      </c>
      <c r="U1483" s="29" t="str">
        <f t="shared" si="191"/>
        <v>October</v>
      </c>
    </row>
    <row r="1484" spans="1:21" ht="17.399999999999999" x14ac:dyDescent="0.3">
      <c r="A1484" s="21" t="s">
        <v>553</v>
      </c>
      <c r="B1484" s="21" t="s">
        <v>554</v>
      </c>
      <c r="C1484" s="23" t="s">
        <v>3516</v>
      </c>
      <c r="D1484" s="21" t="s">
        <v>3521</v>
      </c>
      <c r="E1484" s="24">
        <v>45202</v>
      </c>
      <c r="F1484" s="24">
        <v>45219</v>
      </c>
      <c r="G1484" s="22" t="s">
        <v>14</v>
      </c>
      <c r="H1484" s="25">
        <v>69497</v>
      </c>
      <c r="I1484" s="25">
        <v>1758</v>
      </c>
      <c r="J1484" s="26">
        <v>1654.14</v>
      </c>
      <c r="K1484" s="25">
        <v>193</v>
      </c>
      <c r="L1484" s="21" t="s">
        <v>21</v>
      </c>
      <c r="M1484" s="22" t="s">
        <v>3537</v>
      </c>
      <c r="N1484" s="27">
        <f t="shared" si="184"/>
        <v>17</v>
      </c>
      <c r="O1484" s="28">
        <f t="shared" si="185"/>
        <v>2.529605594486093E-2</v>
      </c>
      <c r="P1484" s="28">
        <f t="shared" si="186"/>
        <v>0.10978384527872583</v>
      </c>
      <c r="Q1484" s="26">
        <f t="shared" si="187"/>
        <v>0.9409215017064847</v>
      </c>
      <c r="R1484" s="29">
        <f t="shared" si="188"/>
        <v>8.5706735751295344</v>
      </c>
      <c r="S1484" s="30">
        <f t="shared" si="189"/>
        <v>10</v>
      </c>
      <c r="T1484" s="30">
        <f t="shared" si="190"/>
        <v>2023</v>
      </c>
      <c r="U1484" s="29" t="str">
        <f t="shared" si="191"/>
        <v>October</v>
      </c>
    </row>
    <row r="1485" spans="1:21" ht="17.399999999999999" x14ac:dyDescent="0.3">
      <c r="A1485" s="21" t="s">
        <v>2879</v>
      </c>
      <c r="B1485" s="21" t="s">
        <v>2880</v>
      </c>
      <c r="C1485" s="23" t="s">
        <v>3516</v>
      </c>
      <c r="D1485" s="21" t="s">
        <v>3517</v>
      </c>
      <c r="E1485" s="24">
        <v>45202</v>
      </c>
      <c r="F1485" s="24">
        <v>45210</v>
      </c>
      <c r="G1485" s="22" t="s">
        <v>31</v>
      </c>
      <c r="H1485" s="25">
        <v>63211</v>
      </c>
      <c r="I1485" s="25">
        <v>2313</v>
      </c>
      <c r="J1485" s="26">
        <v>2838.13</v>
      </c>
      <c r="K1485" s="25">
        <v>439</v>
      </c>
      <c r="L1485" s="21" t="s">
        <v>21</v>
      </c>
      <c r="M1485" s="22" t="s">
        <v>31</v>
      </c>
      <c r="N1485" s="27">
        <f t="shared" si="184"/>
        <v>8</v>
      </c>
      <c r="O1485" s="28">
        <f t="shared" si="185"/>
        <v>3.6591732451630256E-2</v>
      </c>
      <c r="P1485" s="28">
        <f t="shared" si="186"/>
        <v>0.18979680069174232</v>
      </c>
      <c r="Q1485" s="26">
        <f t="shared" si="187"/>
        <v>1.2270341547773456</v>
      </c>
      <c r="R1485" s="29">
        <f t="shared" si="188"/>
        <v>6.4649886104783603</v>
      </c>
      <c r="S1485" s="30">
        <f t="shared" si="189"/>
        <v>10</v>
      </c>
      <c r="T1485" s="30">
        <f t="shared" si="190"/>
        <v>2023</v>
      </c>
      <c r="U1485" s="29" t="str">
        <f t="shared" si="191"/>
        <v>October</v>
      </c>
    </row>
    <row r="1486" spans="1:21" ht="17.399999999999999" x14ac:dyDescent="0.3">
      <c r="A1486" s="21" t="s">
        <v>1702</v>
      </c>
      <c r="B1486" s="21" t="s">
        <v>1703</v>
      </c>
      <c r="C1486" s="23" t="s">
        <v>3515</v>
      </c>
      <c r="D1486" s="21" t="s">
        <v>3517</v>
      </c>
      <c r="E1486" s="24">
        <v>45202</v>
      </c>
      <c r="F1486" s="24">
        <v>45213</v>
      </c>
      <c r="G1486" s="22" t="s">
        <v>11</v>
      </c>
      <c r="H1486" s="25">
        <v>39638</v>
      </c>
      <c r="I1486" s="25">
        <v>775</v>
      </c>
      <c r="J1486" s="26">
        <v>436.28</v>
      </c>
      <c r="K1486" s="25">
        <v>90</v>
      </c>
      <c r="L1486" s="21" t="s">
        <v>21</v>
      </c>
      <c r="M1486" s="22" t="s">
        <v>11</v>
      </c>
      <c r="N1486" s="27">
        <f t="shared" si="184"/>
        <v>11</v>
      </c>
      <c r="O1486" s="28">
        <f t="shared" si="185"/>
        <v>1.9551945103183813E-2</v>
      </c>
      <c r="P1486" s="28">
        <f t="shared" si="186"/>
        <v>0.11612903225806452</v>
      </c>
      <c r="Q1486" s="26">
        <f t="shared" si="187"/>
        <v>0.56294193548387095</v>
      </c>
      <c r="R1486" s="29">
        <f t="shared" si="188"/>
        <v>4.8475555555555552</v>
      </c>
      <c r="S1486" s="30">
        <f t="shared" si="189"/>
        <v>10</v>
      </c>
      <c r="T1486" s="30">
        <f t="shared" si="190"/>
        <v>2023</v>
      </c>
      <c r="U1486" s="29" t="str">
        <f t="shared" si="191"/>
        <v>October</v>
      </c>
    </row>
    <row r="1487" spans="1:21" ht="17.399999999999999" x14ac:dyDescent="0.3">
      <c r="A1487" s="21" t="s">
        <v>128</v>
      </c>
      <c r="B1487" s="22" t="s">
        <v>3934</v>
      </c>
      <c r="C1487" s="23" t="s">
        <v>3519</v>
      </c>
      <c r="D1487" s="22" t="s">
        <v>3545</v>
      </c>
      <c r="E1487" s="24">
        <v>45203</v>
      </c>
      <c r="F1487" s="24">
        <v>45214</v>
      </c>
      <c r="G1487" s="22" t="s">
        <v>11</v>
      </c>
      <c r="H1487" s="25">
        <v>53995</v>
      </c>
      <c r="I1487" s="25">
        <v>1509</v>
      </c>
      <c r="J1487" s="26">
        <v>2420.9499999999998</v>
      </c>
      <c r="K1487" s="25">
        <v>285</v>
      </c>
      <c r="L1487" s="21" t="s">
        <v>21</v>
      </c>
      <c r="M1487" s="22" t="s">
        <v>11</v>
      </c>
      <c r="N1487" s="27">
        <f t="shared" si="184"/>
        <v>11</v>
      </c>
      <c r="O1487" s="28">
        <f t="shared" si="185"/>
        <v>2.7947032132604872E-2</v>
      </c>
      <c r="P1487" s="28">
        <f t="shared" si="186"/>
        <v>0.18886679920477137</v>
      </c>
      <c r="Q1487" s="26">
        <f t="shared" si="187"/>
        <v>1.604340622929092</v>
      </c>
      <c r="R1487" s="29">
        <f t="shared" si="188"/>
        <v>8.4945614035087704</v>
      </c>
      <c r="S1487" s="30">
        <f t="shared" si="189"/>
        <v>10</v>
      </c>
      <c r="T1487" s="30">
        <f t="shared" si="190"/>
        <v>2023</v>
      </c>
      <c r="U1487" s="29" t="str">
        <f t="shared" si="191"/>
        <v>October</v>
      </c>
    </row>
    <row r="1488" spans="1:21" ht="17.399999999999999" x14ac:dyDescent="0.3">
      <c r="A1488" s="21" t="s">
        <v>3131</v>
      </c>
      <c r="B1488" s="21" t="s">
        <v>3132</v>
      </c>
      <c r="C1488" s="23" t="s">
        <v>3519</v>
      </c>
      <c r="D1488" s="21" t="s">
        <v>3520</v>
      </c>
      <c r="E1488" s="24">
        <v>45203</v>
      </c>
      <c r="F1488" s="24">
        <v>45213</v>
      </c>
      <c r="G1488" s="22" t="s">
        <v>11</v>
      </c>
      <c r="H1488" s="25">
        <v>83197</v>
      </c>
      <c r="I1488" s="25">
        <v>3063</v>
      </c>
      <c r="J1488" s="26">
        <v>4125.74</v>
      </c>
      <c r="K1488" s="25">
        <v>250</v>
      </c>
      <c r="L1488" s="21" t="s">
        <v>17</v>
      </c>
      <c r="M1488" s="22" t="s">
        <v>11</v>
      </c>
      <c r="N1488" s="27">
        <f t="shared" si="184"/>
        <v>10</v>
      </c>
      <c r="O1488" s="28">
        <f t="shared" si="185"/>
        <v>3.6816231354495958E-2</v>
      </c>
      <c r="P1488" s="28">
        <f t="shared" si="186"/>
        <v>8.1619327456741761E-2</v>
      </c>
      <c r="Q1488" s="26">
        <f t="shared" si="187"/>
        <v>1.3469604962455108</v>
      </c>
      <c r="R1488" s="29">
        <f t="shared" si="188"/>
        <v>16.502959999999998</v>
      </c>
      <c r="S1488" s="30">
        <f t="shared" si="189"/>
        <v>10</v>
      </c>
      <c r="T1488" s="30">
        <f t="shared" si="190"/>
        <v>2023</v>
      </c>
      <c r="U1488" s="29" t="str">
        <f t="shared" si="191"/>
        <v>October</v>
      </c>
    </row>
    <row r="1489" spans="1:21" ht="17.399999999999999" x14ac:dyDescent="0.3">
      <c r="A1489" s="21" t="s">
        <v>2711</v>
      </c>
      <c r="B1489" s="21" t="s">
        <v>2712</v>
      </c>
      <c r="C1489" s="23" t="s">
        <v>3518</v>
      </c>
      <c r="D1489" s="21" t="s">
        <v>3520</v>
      </c>
      <c r="E1489" s="24">
        <v>45203</v>
      </c>
      <c r="F1489" s="24">
        <v>45212</v>
      </c>
      <c r="G1489" s="22" t="s">
        <v>24</v>
      </c>
      <c r="H1489" s="25">
        <v>7737</v>
      </c>
      <c r="I1489" s="25">
        <v>299</v>
      </c>
      <c r="J1489" s="26">
        <v>401.5</v>
      </c>
      <c r="K1489" s="25">
        <v>25</v>
      </c>
      <c r="L1489" s="21" t="s">
        <v>17</v>
      </c>
      <c r="M1489" s="22" t="s">
        <v>3536</v>
      </c>
      <c r="N1489" s="27">
        <f t="shared" si="184"/>
        <v>9</v>
      </c>
      <c r="O1489" s="28">
        <f t="shared" si="185"/>
        <v>3.8645469820343802E-2</v>
      </c>
      <c r="P1489" s="28">
        <f t="shared" si="186"/>
        <v>8.3612040133779264E-2</v>
      </c>
      <c r="Q1489" s="26">
        <f t="shared" si="187"/>
        <v>1.3428093645484951</v>
      </c>
      <c r="R1489" s="29">
        <f t="shared" si="188"/>
        <v>16.059999999999999</v>
      </c>
      <c r="S1489" s="30">
        <f t="shared" si="189"/>
        <v>10</v>
      </c>
      <c r="T1489" s="30">
        <f t="shared" si="190"/>
        <v>2023</v>
      </c>
      <c r="U1489" s="29" t="str">
        <f t="shared" si="191"/>
        <v>October</v>
      </c>
    </row>
    <row r="1490" spans="1:21" ht="17.399999999999999" x14ac:dyDescent="0.3">
      <c r="A1490" s="21" t="s">
        <v>97</v>
      </c>
      <c r="B1490" s="22" t="s">
        <v>3935</v>
      </c>
      <c r="C1490" s="23" t="s">
        <v>3516</v>
      </c>
      <c r="D1490" s="22" t="s">
        <v>3545</v>
      </c>
      <c r="E1490" s="24">
        <v>45203</v>
      </c>
      <c r="F1490" s="24">
        <v>45217</v>
      </c>
      <c r="G1490" s="22" t="s">
        <v>16</v>
      </c>
      <c r="H1490" s="25">
        <v>74969</v>
      </c>
      <c r="I1490" s="25">
        <v>1964</v>
      </c>
      <c r="J1490" s="26">
        <v>2341.65</v>
      </c>
      <c r="K1490" s="25">
        <v>249</v>
      </c>
      <c r="L1490" s="21" t="s">
        <v>21</v>
      </c>
      <c r="M1490" s="22" t="s">
        <v>16</v>
      </c>
      <c r="N1490" s="27">
        <f t="shared" si="184"/>
        <v>14</v>
      </c>
      <c r="O1490" s="28">
        <f t="shared" si="185"/>
        <v>2.6197494964585361E-2</v>
      </c>
      <c r="P1490" s="28">
        <f t="shared" si="186"/>
        <v>0.12678207739307534</v>
      </c>
      <c r="Q1490" s="26">
        <f t="shared" si="187"/>
        <v>1.1922861507128311</v>
      </c>
      <c r="R1490" s="29">
        <f t="shared" si="188"/>
        <v>9.4042168674698807</v>
      </c>
      <c r="S1490" s="30">
        <f t="shared" si="189"/>
        <v>10</v>
      </c>
      <c r="T1490" s="30">
        <f t="shared" si="190"/>
        <v>2023</v>
      </c>
      <c r="U1490" s="29" t="str">
        <f t="shared" si="191"/>
        <v>October</v>
      </c>
    </row>
    <row r="1491" spans="1:21" ht="17.399999999999999" x14ac:dyDescent="0.3">
      <c r="A1491" s="21" t="s">
        <v>148</v>
      </c>
      <c r="B1491" s="22" t="s">
        <v>3936</v>
      </c>
      <c r="C1491" s="23" t="s">
        <v>3516</v>
      </c>
      <c r="D1491" s="22" t="s">
        <v>3545</v>
      </c>
      <c r="E1491" s="24">
        <v>45203</v>
      </c>
      <c r="F1491" s="24">
        <v>45218</v>
      </c>
      <c r="G1491" s="22" t="s">
        <v>16</v>
      </c>
      <c r="H1491" s="25">
        <v>41397</v>
      </c>
      <c r="I1491" s="25">
        <v>1708</v>
      </c>
      <c r="J1491" s="26">
        <v>2581.4499999999998</v>
      </c>
      <c r="K1491" s="25">
        <v>299</v>
      </c>
      <c r="L1491" s="21" t="s">
        <v>17</v>
      </c>
      <c r="M1491" s="22" t="s">
        <v>16</v>
      </c>
      <c r="N1491" s="27">
        <f t="shared" si="184"/>
        <v>15</v>
      </c>
      <c r="O1491" s="28">
        <f t="shared" si="185"/>
        <v>4.1259028432011985E-2</v>
      </c>
      <c r="P1491" s="28">
        <f t="shared" si="186"/>
        <v>0.17505854800936768</v>
      </c>
      <c r="Q1491" s="26">
        <f t="shared" si="187"/>
        <v>1.511387587822014</v>
      </c>
      <c r="R1491" s="29">
        <f t="shared" si="188"/>
        <v>8.6336120401337784</v>
      </c>
      <c r="S1491" s="30">
        <f t="shared" si="189"/>
        <v>10</v>
      </c>
      <c r="T1491" s="30">
        <f t="shared" si="190"/>
        <v>2023</v>
      </c>
      <c r="U1491" s="29" t="str">
        <f t="shared" si="191"/>
        <v>October</v>
      </c>
    </row>
    <row r="1492" spans="1:21" ht="17.399999999999999" x14ac:dyDescent="0.3">
      <c r="A1492" s="21" t="s">
        <v>915</v>
      </c>
      <c r="B1492" s="21" t="s">
        <v>916</v>
      </c>
      <c r="C1492" s="23" t="s">
        <v>3515</v>
      </c>
      <c r="D1492" s="21" t="s">
        <v>3521</v>
      </c>
      <c r="E1492" s="24">
        <v>45203</v>
      </c>
      <c r="F1492" s="24">
        <v>45216</v>
      </c>
      <c r="G1492" s="22" t="s">
        <v>31</v>
      </c>
      <c r="H1492" s="25">
        <v>57573</v>
      </c>
      <c r="I1492" s="25">
        <v>936</v>
      </c>
      <c r="J1492" s="26">
        <v>754.76</v>
      </c>
      <c r="K1492" s="25">
        <v>0</v>
      </c>
      <c r="L1492" s="21" t="s">
        <v>21</v>
      </c>
      <c r="M1492" s="22" t="s">
        <v>31</v>
      </c>
      <c r="N1492" s="27">
        <f t="shared" si="184"/>
        <v>13</v>
      </c>
      <c r="O1492" s="28">
        <f t="shared" si="185"/>
        <v>1.6257620759731126E-2</v>
      </c>
      <c r="P1492" s="28">
        <f t="shared" si="186"/>
        <v>0</v>
      </c>
      <c r="Q1492" s="26">
        <f t="shared" si="187"/>
        <v>0.80636752136752132</v>
      </c>
      <c r="R1492" s="29" t="str">
        <f t="shared" si="188"/>
        <v>0</v>
      </c>
      <c r="S1492" s="30">
        <f t="shared" si="189"/>
        <v>10</v>
      </c>
      <c r="T1492" s="30">
        <f t="shared" si="190"/>
        <v>2023</v>
      </c>
      <c r="U1492" s="29" t="str">
        <f t="shared" si="191"/>
        <v>October</v>
      </c>
    </row>
    <row r="1493" spans="1:21" ht="17.399999999999999" x14ac:dyDescent="0.3">
      <c r="A1493" s="21" t="s">
        <v>2065</v>
      </c>
      <c r="B1493" s="21" t="s">
        <v>2066</v>
      </c>
      <c r="C1493" s="23" t="s">
        <v>3515</v>
      </c>
      <c r="D1493" s="21" t="s">
        <v>3521</v>
      </c>
      <c r="E1493" s="24">
        <v>45203</v>
      </c>
      <c r="F1493" s="24">
        <v>45228</v>
      </c>
      <c r="G1493" s="22" t="s">
        <v>14</v>
      </c>
      <c r="H1493" s="25">
        <v>41631</v>
      </c>
      <c r="I1493" s="25">
        <v>1425</v>
      </c>
      <c r="J1493" s="26">
        <v>1130.93</v>
      </c>
      <c r="K1493" s="25">
        <v>154</v>
      </c>
      <c r="L1493" s="21" t="s">
        <v>17</v>
      </c>
      <c r="M1493" s="22" t="s">
        <v>3537</v>
      </c>
      <c r="N1493" s="27">
        <f t="shared" si="184"/>
        <v>25</v>
      </c>
      <c r="O1493" s="28">
        <f t="shared" si="185"/>
        <v>3.422930028104057E-2</v>
      </c>
      <c r="P1493" s="28">
        <f t="shared" si="186"/>
        <v>0.1080701754385965</v>
      </c>
      <c r="Q1493" s="26">
        <f t="shared" si="187"/>
        <v>0.79363508771929825</v>
      </c>
      <c r="R1493" s="29">
        <f t="shared" si="188"/>
        <v>7.3437012987012995</v>
      </c>
      <c r="S1493" s="30">
        <f t="shared" si="189"/>
        <v>10</v>
      </c>
      <c r="T1493" s="30">
        <f t="shared" si="190"/>
        <v>2023</v>
      </c>
      <c r="U1493" s="29" t="str">
        <f t="shared" si="191"/>
        <v>October</v>
      </c>
    </row>
    <row r="1494" spans="1:21" ht="17.399999999999999" x14ac:dyDescent="0.3">
      <c r="A1494" s="21" t="s">
        <v>1341</v>
      </c>
      <c r="B1494" s="22" t="s">
        <v>3937</v>
      </c>
      <c r="C1494" s="23" t="s">
        <v>3519</v>
      </c>
      <c r="D1494" s="22" t="s">
        <v>3545</v>
      </c>
      <c r="E1494" s="24">
        <v>45204</v>
      </c>
      <c r="F1494" s="24">
        <v>45226</v>
      </c>
      <c r="G1494" s="22" t="s">
        <v>14</v>
      </c>
      <c r="H1494" s="25">
        <v>47427</v>
      </c>
      <c r="I1494" s="25">
        <v>780</v>
      </c>
      <c r="J1494" s="26">
        <v>396.32</v>
      </c>
      <c r="K1494" s="25">
        <v>63</v>
      </c>
      <c r="L1494" s="21" t="s">
        <v>21</v>
      </c>
      <c r="M1494" s="22" t="s">
        <v>3537</v>
      </c>
      <c r="N1494" s="27">
        <f t="shared" si="184"/>
        <v>22</v>
      </c>
      <c r="O1494" s="28">
        <f t="shared" si="185"/>
        <v>1.6446328040989309E-2</v>
      </c>
      <c r="P1494" s="28">
        <f t="shared" si="186"/>
        <v>8.0769230769230774E-2</v>
      </c>
      <c r="Q1494" s="26">
        <f t="shared" si="187"/>
        <v>0.50810256410256405</v>
      </c>
      <c r="R1494" s="29">
        <f t="shared" si="188"/>
        <v>6.2907936507936508</v>
      </c>
      <c r="S1494" s="30">
        <f t="shared" si="189"/>
        <v>10</v>
      </c>
      <c r="T1494" s="30">
        <f t="shared" si="190"/>
        <v>2023</v>
      </c>
      <c r="U1494" s="29" t="str">
        <f t="shared" si="191"/>
        <v>October</v>
      </c>
    </row>
    <row r="1495" spans="1:21" ht="17.399999999999999" x14ac:dyDescent="0.3">
      <c r="A1495" s="21" t="s">
        <v>2822</v>
      </c>
      <c r="B1495" s="21" t="s">
        <v>2823</v>
      </c>
      <c r="C1495" s="23" t="s">
        <v>3516</v>
      </c>
      <c r="D1495" s="21" t="s">
        <v>3520</v>
      </c>
      <c r="E1495" s="24">
        <v>45204</v>
      </c>
      <c r="F1495" s="24">
        <v>45222</v>
      </c>
      <c r="G1495" s="22" t="s">
        <v>16</v>
      </c>
      <c r="H1495" s="25">
        <v>33733</v>
      </c>
      <c r="I1495" s="25">
        <v>539</v>
      </c>
      <c r="J1495" s="26">
        <v>828.51</v>
      </c>
      <c r="K1495" s="25">
        <v>79</v>
      </c>
      <c r="L1495" s="21" t="s">
        <v>21</v>
      </c>
      <c r="M1495" s="22" t="s">
        <v>16</v>
      </c>
      <c r="N1495" s="27">
        <f t="shared" si="184"/>
        <v>18</v>
      </c>
      <c r="O1495" s="28">
        <f t="shared" si="185"/>
        <v>1.5978418759078648E-2</v>
      </c>
      <c r="P1495" s="28">
        <f t="shared" si="186"/>
        <v>0.14656771799628943</v>
      </c>
      <c r="Q1495" s="26">
        <f t="shared" si="187"/>
        <v>1.5371243042671614</v>
      </c>
      <c r="R1495" s="29">
        <f t="shared" si="188"/>
        <v>10.48746835443038</v>
      </c>
      <c r="S1495" s="30">
        <f t="shared" si="189"/>
        <v>10</v>
      </c>
      <c r="T1495" s="30">
        <f t="shared" si="190"/>
        <v>2023</v>
      </c>
      <c r="U1495" s="29" t="str">
        <f t="shared" si="191"/>
        <v>October</v>
      </c>
    </row>
    <row r="1496" spans="1:21" ht="17.399999999999999" x14ac:dyDescent="0.3">
      <c r="A1496" s="21" t="s">
        <v>555</v>
      </c>
      <c r="B1496" s="21" t="s">
        <v>556</v>
      </c>
      <c r="C1496" s="23" t="s">
        <v>3519</v>
      </c>
      <c r="D1496" s="21" t="s">
        <v>3520</v>
      </c>
      <c r="E1496" s="24">
        <v>45205</v>
      </c>
      <c r="F1496" s="24">
        <v>45219</v>
      </c>
      <c r="G1496" s="22" t="s">
        <v>11</v>
      </c>
      <c r="H1496" s="25">
        <v>47975</v>
      </c>
      <c r="I1496" s="25">
        <v>709</v>
      </c>
      <c r="J1496" s="26">
        <v>606.64</v>
      </c>
      <c r="K1496" s="25">
        <v>136</v>
      </c>
      <c r="L1496" s="21" t="s">
        <v>17</v>
      </c>
      <c r="M1496" s="22" t="s">
        <v>11</v>
      </c>
      <c r="N1496" s="27">
        <f t="shared" si="184"/>
        <v>14</v>
      </c>
      <c r="O1496" s="28">
        <f t="shared" si="185"/>
        <v>1.4778530484627411E-2</v>
      </c>
      <c r="P1496" s="28">
        <f t="shared" si="186"/>
        <v>0.1918194640338505</v>
      </c>
      <c r="Q1496" s="26">
        <f t="shared" si="187"/>
        <v>0.85562764456981666</v>
      </c>
      <c r="R1496" s="29">
        <f t="shared" si="188"/>
        <v>4.460588235294118</v>
      </c>
      <c r="S1496" s="30">
        <f t="shared" si="189"/>
        <v>10</v>
      </c>
      <c r="T1496" s="30">
        <f t="shared" si="190"/>
        <v>2023</v>
      </c>
      <c r="U1496" s="29" t="str">
        <f t="shared" si="191"/>
        <v>October</v>
      </c>
    </row>
    <row r="1497" spans="1:21" ht="17.399999999999999" x14ac:dyDescent="0.3">
      <c r="A1497" s="21" t="s">
        <v>2624</v>
      </c>
      <c r="B1497" s="21" t="s">
        <v>2625</v>
      </c>
      <c r="C1497" s="23" t="s">
        <v>3519</v>
      </c>
      <c r="D1497" s="21" t="s">
        <v>3517</v>
      </c>
      <c r="E1497" s="24">
        <v>45205</v>
      </c>
      <c r="F1497" s="24">
        <v>45228</v>
      </c>
      <c r="G1497" s="22" t="s">
        <v>11</v>
      </c>
      <c r="H1497" s="25">
        <v>52474</v>
      </c>
      <c r="I1497" s="25">
        <v>2540</v>
      </c>
      <c r="J1497" s="26">
        <v>1710.28</v>
      </c>
      <c r="K1497" s="25">
        <v>434</v>
      </c>
      <c r="L1497" s="21" t="s">
        <v>21</v>
      </c>
      <c r="M1497" s="22" t="s">
        <v>11</v>
      </c>
      <c r="N1497" s="27">
        <f t="shared" si="184"/>
        <v>23</v>
      </c>
      <c r="O1497" s="28">
        <f t="shared" si="185"/>
        <v>4.8404924343484396E-2</v>
      </c>
      <c r="P1497" s="28">
        <f t="shared" si="186"/>
        <v>0.17086614173228346</v>
      </c>
      <c r="Q1497" s="26">
        <f t="shared" si="187"/>
        <v>0.6733385826771654</v>
      </c>
      <c r="R1497" s="29">
        <f t="shared" si="188"/>
        <v>3.9407373271889399</v>
      </c>
      <c r="S1497" s="30">
        <f t="shared" si="189"/>
        <v>10</v>
      </c>
      <c r="T1497" s="30">
        <f t="shared" si="190"/>
        <v>2023</v>
      </c>
      <c r="U1497" s="29" t="str">
        <f t="shared" si="191"/>
        <v>October</v>
      </c>
    </row>
    <row r="1498" spans="1:21" ht="17.399999999999999" x14ac:dyDescent="0.3">
      <c r="A1498" s="21" t="s">
        <v>190</v>
      </c>
      <c r="B1498" s="21" t="s">
        <v>191</v>
      </c>
      <c r="C1498" s="23" t="s">
        <v>3516</v>
      </c>
      <c r="D1498" s="21" t="s">
        <v>3521</v>
      </c>
      <c r="E1498" s="24">
        <v>45205</v>
      </c>
      <c r="F1498" s="24">
        <v>45234</v>
      </c>
      <c r="G1498" s="22" t="s">
        <v>3535</v>
      </c>
      <c r="H1498" s="25">
        <v>3695</v>
      </c>
      <c r="I1498" s="25">
        <v>74</v>
      </c>
      <c r="J1498" s="26">
        <v>44.7</v>
      </c>
      <c r="K1498" s="25">
        <v>7</v>
      </c>
      <c r="L1498" s="21" t="s">
        <v>17</v>
      </c>
      <c r="M1498" s="22" t="s">
        <v>3535</v>
      </c>
      <c r="N1498" s="27">
        <f t="shared" si="184"/>
        <v>29</v>
      </c>
      <c r="O1498" s="28">
        <f t="shared" si="185"/>
        <v>2.0027063599458727E-2</v>
      </c>
      <c r="P1498" s="28">
        <f t="shared" si="186"/>
        <v>9.45945945945946E-2</v>
      </c>
      <c r="Q1498" s="26">
        <f t="shared" si="187"/>
        <v>0.6040540540540541</v>
      </c>
      <c r="R1498" s="29">
        <f t="shared" si="188"/>
        <v>6.3857142857142861</v>
      </c>
      <c r="S1498" s="30">
        <f t="shared" si="189"/>
        <v>10</v>
      </c>
      <c r="T1498" s="30">
        <f t="shared" si="190"/>
        <v>2023</v>
      </c>
      <c r="U1498" s="29" t="str">
        <f t="shared" si="191"/>
        <v>October</v>
      </c>
    </row>
    <row r="1499" spans="1:21" ht="17.399999999999999" x14ac:dyDescent="0.3">
      <c r="A1499" s="21" t="s">
        <v>1236</v>
      </c>
      <c r="B1499" s="21" t="s">
        <v>1237</v>
      </c>
      <c r="C1499" s="23" t="s">
        <v>3516</v>
      </c>
      <c r="D1499" s="21" t="s">
        <v>3517</v>
      </c>
      <c r="E1499" s="24">
        <v>45205</v>
      </c>
      <c r="F1499" s="24">
        <v>45234</v>
      </c>
      <c r="G1499" s="22" t="s">
        <v>24</v>
      </c>
      <c r="H1499" s="25">
        <v>56129</v>
      </c>
      <c r="I1499" s="25">
        <v>2294</v>
      </c>
      <c r="J1499" s="26">
        <v>2333.52</v>
      </c>
      <c r="K1499" s="25">
        <v>412</v>
      </c>
      <c r="L1499" s="21" t="s">
        <v>21</v>
      </c>
      <c r="M1499" s="22" t="s">
        <v>3536</v>
      </c>
      <c r="N1499" s="27">
        <f t="shared" si="184"/>
        <v>29</v>
      </c>
      <c r="O1499" s="28">
        <f t="shared" si="185"/>
        <v>4.0870138431114041E-2</v>
      </c>
      <c r="P1499" s="28">
        <f t="shared" si="186"/>
        <v>0.17959895379250218</v>
      </c>
      <c r="Q1499" s="26">
        <f t="shared" si="187"/>
        <v>1.0172275501307759</v>
      </c>
      <c r="R1499" s="29">
        <f t="shared" si="188"/>
        <v>5.6638834951456314</v>
      </c>
      <c r="S1499" s="30">
        <f t="shared" si="189"/>
        <v>10</v>
      </c>
      <c r="T1499" s="30">
        <f t="shared" si="190"/>
        <v>2023</v>
      </c>
      <c r="U1499" s="29" t="str">
        <f t="shared" si="191"/>
        <v>October</v>
      </c>
    </row>
    <row r="1500" spans="1:21" ht="17.399999999999999" x14ac:dyDescent="0.3">
      <c r="A1500" s="21" t="s">
        <v>1276</v>
      </c>
      <c r="B1500" s="21" t="s">
        <v>1277</v>
      </c>
      <c r="C1500" s="23" t="s">
        <v>3516</v>
      </c>
      <c r="D1500" s="21" t="s">
        <v>3517</v>
      </c>
      <c r="E1500" s="24">
        <v>45205</v>
      </c>
      <c r="F1500" s="24">
        <v>45228</v>
      </c>
      <c r="G1500" s="22" t="s">
        <v>11</v>
      </c>
      <c r="H1500" s="25">
        <v>24960</v>
      </c>
      <c r="I1500" s="25">
        <v>666</v>
      </c>
      <c r="J1500" s="26">
        <v>1093.9100000000001</v>
      </c>
      <c r="K1500" s="25">
        <v>71</v>
      </c>
      <c r="L1500" s="21" t="s">
        <v>21</v>
      </c>
      <c r="M1500" s="22" t="s">
        <v>11</v>
      </c>
      <c r="N1500" s="27">
        <f t="shared" si="184"/>
        <v>23</v>
      </c>
      <c r="O1500" s="28">
        <f t="shared" si="185"/>
        <v>2.6682692307692307E-2</v>
      </c>
      <c r="P1500" s="28">
        <f t="shared" si="186"/>
        <v>0.1066066066066066</v>
      </c>
      <c r="Q1500" s="26">
        <f t="shared" si="187"/>
        <v>1.6425075075075077</v>
      </c>
      <c r="R1500" s="29">
        <f t="shared" si="188"/>
        <v>15.407183098591551</v>
      </c>
      <c r="S1500" s="30">
        <f t="shared" si="189"/>
        <v>10</v>
      </c>
      <c r="T1500" s="30">
        <f t="shared" si="190"/>
        <v>2023</v>
      </c>
      <c r="U1500" s="29" t="str">
        <f t="shared" si="191"/>
        <v>October</v>
      </c>
    </row>
    <row r="1501" spans="1:21" ht="17.399999999999999" x14ac:dyDescent="0.3">
      <c r="A1501" s="21" t="s">
        <v>1959</v>
      </c>
      <c r="B1501" s="21" t="s">
        <v>1960</v>
      </c>
      <c r="C1501" s="23" t="s">
        <v>3516</v>
      </c>
      <c r="D1501" s="21" t="s">
        <v>3521</v>
      </c>
      <c r="E1501" s="24">
        <v>45205</v>
      </c>
      <c r="F1501" s="24">
        <v>45219</v>
      </c>
      <c r="G1501" s="22" t="s">
        <v>14</v>
      </c>
      <c r="H1501" s="25">
        <v>76046</v>
      </c>
      <c r="I1501" s="25">
        <v>2606</v>
      </c>
      <c r="J1501" s="26">
        <v>4358.3999999999996</v>
      </c>
      <c r="K1501" s="25">
        <v>159</v>
      </c>
      <c r="L1501" s="21" t="s">
        <v>21</v>
      </c>
      <c r="M1501" s="22" t="s">
        <v>3537</v>
      </c>
      <c r="N1501" s="27">
        <f t="shared" si="184"/>
        <v>14</v>
      </c>
      <c r="O1501" s="28">
        <f t="shared" si="185"/>
        <v>3.4268732083212794E-2</v>
      </c>
      <c r="P1501" s="28">
        <f t="shared" si="186"/>
        <v>6.1013046815042209E-2</v>
      </c>
      <c r="Q1501" s="26">
        <f t="shared" si="187"/>
        <v>1.6724481964696851</v>
      </c>
      <c r="R1501" s="29">
        <f t="shared" si="188"/>
        <v>27.411320754716979</v>
      </c>
      <c r="S1501" s="30">
        <f t="shared" si="189"/>
        <v>10</v>
      </c>
      <c r="T1501" s="30">
        <f t="shared" si="190"/>
        <v>2023</v>
      </c>
      <c r="U1501" s="29" t="str">
        <f t="shared" si="191"/>
        <v>October</v>
      </c>
    </row>
    <row r="1502" spans="1:21" ht="17.399999999999999" x14ac:dyDescent="0.3">
      <c r="A1502" s="21" t="s">
        <v>2084</v>
      </c>
      <c r="B1502" s="21" t="s">
        <v>2085</v>
      </c>
      <c r="C1502" s="23" t="s">
        <v>3516</v>
      </c>
      <c r="D1502" s="21" t="s">
        <v>3517</v>
      </c>
      <c r="E1502" s="24">
        <v>45205</v>
      </c>
      <c r="F1502" s="24">
        <v>45216</v>
      </c>
      <c r="G1502" s="22" t="s">
        <v>11</v>
      </c>
      <c r="H1502" s="25">
        <v>78834</v>
      </c>
      <c r="I1502" s="25">
        <v>3929</v>
      </c>
      <c r="J1502" s="26">
        <v>7315.89</v>
      </c>
      <c r="K1502" s="25">
        <v>584</v>
      </c>
      <c r="L1502" s="21" t="s">
        <v>17</v>
      </c>
      <c r="M1502" s="22" t="s">
        <v>11</v>
      </c>
      <c r="N1502" s="27">
        <f t="shared" si="184"/>
        <v>11</v>
      </c>
      <c r="O1502" s="28">
        <f t="shared" si="185"/>
        <v>4.9838901996600453E-2</v>
      </c>
      <c r="P1502" s="28">
        <f t="shared" si="186"/>
        <v>0.14863833036396029</v>
      </c>
      <c r="Q1502" s="26">
        <f t="shared" si="187"/>
        <v>1.8620234156273863</v>
      </c>
      <c r="R1502" s="29">
        <f t="shared" si="188"/>
        <v>12.527208904109589</v>
      </c>
      <c r="S1502" s="30">
        <f t="shared" si="189"/>
        <v>10</v>
      </c>
      <c r="T1502" s="30">
        <f t="shared" si="190"/>
        <v>2023</v>
      </c>
      <c r="U1502" s="29" t="str">
        <f t="shared" si="191"/>
        <v>October</v>
      </c>
    </row>
    <row r="1503" spans="1:21" ht="17.399999999999999" x14ac:dyDescent="0.3">
      <c r="A1503" s="21" t="s">
        <v>25</v>
      </c>
      <c r="B1503" s="21" t="s">
        <v>26</v>
      </c>
      <c r="C1503" s="23" t="s">
        <v>3516</v>
      </c>
      <c r="D1503" s="21" t="s">
        <v>3520</v>
      </c>
      <c r="E1503" s="24">
        <v>45206</v>
      </c>
      <c r="F1503" s="24">
        <v>45222</v>
      </c>
      <c r="G1503" s="22" t="s">
        <v>14</v>
      </c>
      <c r="H1503" s="25">
        <v>38194</v>
      </c>
      <c r="I1503" s="25">
        <v>1135</v>
      </c>
      <c r="J1503" s="26">
        <v>1232.76</v>
      </c>
      <c r="K1503" s="25">
        <v>178</v>
      </c>
      <c r="L1503" s="21" t="s">
        <v>21</v>
      </c>
      <c r="M1503" s="22" t="s">
        <v>3537</v>
      </c>
      <c r="N1503" s="27">
        <f t="shared" si="184"/>
        <v>16</v>
      </c>
      <c r="O1503" s="28">
        <f t="shared" si="185"/>
        <v>2.9716709430800649E-2</v>
      </c>
      <c r="P1503" s="28">
        <f t="shared" si="186"/>
        <v>0.15682819383259911</v>
      </c>
      <c r="Q1503" s="26">
        <f t="shared" si="187"/>
        <v>1.0861321585903083</v>
      </c>
      <c r="R1503" s="29">
        <f t="shared" si="188"/>
        <v>6.9256179775280895</v>
      </c>
      <c r="S1503" s="30">
        <f t="shared" si="189"/>
        <v>10</v>
      </c>
      <c r="T1503" s="30">
        <f t="shared" si="190"/>
        <v>2023</v>
      </c>
      <c r="U1503" s="29" t="str">
        <f t="shared" si="191"/>
        <v>October</v>
      </c>
    </row>
    <row r="1504" spans="1:21" ht="17.399999999999999" x14ac:dyDescent="0.3">
      <c r="A1504" s="21" t="s">
        <v>3178</v>
      </c>
      <c r="B1504" s="22" t="s">
        <v>3938</v>
      </c>
      <c r="C1504" s="23" t="s">
        <v>3516</v>
      </c>
      <c r="D1504" s="22" t="s">
        <v>3545</v>
      </c>
      <c r="E1504" s="24">
        <v>45206</v>
      </c>
      <c r="F1504" s="24">
        <v>45217</v>
      </c>
      <c r="G1504" s="22" t="s">
        <v>14</v>
      </c>
      <c r="H1504" s="25">
        <v>8813</v>
      </c>
      <c r="I1504" s="25">
        <v>177</v>
      </c>
      <c r="J1504" s="26">
        <v>273</v>
      </c>
      <c r="K1504" s="25">
        <v>14</v>
      </c>
      <c r="L1504" s="21" t="s">
        <v>21</v>
      </c>
      <c r="M1504" s="22" t="s">
        <v>3537</v>
      </c>
      <c r="N1504" s="27">
        <f t="shared" si="184"/>
        <v>11</v>
      </c>
      <c r="O1504" s="28">
        <f t="shared" si="185"/>
        <v>2.0083966867128107E-2</v>
      </c>
      <c r="P1504" s="28">
        <f t="shared" si="186"/>
        <v>7.909604519774012E-2</v>
      </c>
      <c r="Q1504" s="26">
        <f t="shared" si="187"/>
        <v>1.5423728813559323</v>
      </c>
      <c r="R1504" s="29">
        <f t="shared" si="188"/>
        <v>19.5</v>
      </c>
      <c r="S1504" s="30">
        <f t="shared" si="189"/>
        <v>10</v>
      </c>
      <c r="T1504" s="30">
        <f t="shared" si="190"/>
        <v>2023</v>
      </c>
      <c r="U1504" s="29" t="str">
        <f t="shared" si="191"/>
        <v>October</v>
      </c>
    </row>
    <row r="1505" spans="1:21" ht="17.399999999999999" x14ac:dyDescent="0.3">
      <c r="A1505" s="21" t="s">
        <v>2042</v>
      </c>
      <c r="B1505" s="22" t="s">
        <v>3939</v>
      </c>
      <c r="C1505" s="23" t="s">
        <v>3515</v>
      </c>
      <c r="D1505" s="22" t="s">
        <v>3545</v>
      </c>
      <c r="E1505" s="24">
        <v>45206</v>
      </c>
      <c r="F1505" s="24">
        <v>45231</v>
      </c>
      <c r="G1505" s="22" t="s">
        <v>11</v>
      </c>
      <c r="H1505" s="25">
        <v>3336</v>
      </c>
      <c r="I1505" s="25">
        <v>95</v>
      </c>
      <c r="J1505" s="26">
        <v>140.97</v>
      </c>
      <c r="K1505" s="25">
        <v>13</v>
      </c>
      <c r="L1505" s="21" t="s">
        <v>21</v>
      </c>
      <c r="M1505" s="22" t="s">
        <v>11</v>
      </c>
      <c r="N1505" s="27">
        <f t="shared" si="184"/>
        <v>25</v>
      </c>
      <c r="O1505" s="28">
        <f t="shared" si="185"/>
        <v>2.8477218225419664E-2</v>
      </c>
      <c r="P1505" s="28">
        <f t="shared" si="186"/>
        <v>0.1368421052631579</v>
      </c>
      <c r="Q1505" s="26">
        <f t="shared" si="187"/>
        <v>1.4838947368421052</v>
      </c>
      <c r="R1505" s="29">
        <f t="shared" si="188"/>
        <v>10.843846153846155</v>
      </c>
      <c r="S1505" s="30">
        <f t="shared" si="189"/>
        <v>10</v>
      </c>
      <c r="T1505" s="30">
        <f t="shared" si="190"/>
        <v>2023</v>
      </c>
      <c r="U1505" s="29" t="str">
        <f t="shared" si="191"/>
        <v>October</v>
      </c>
    </row>
    <row r="1506" spans="1:21" ht="17.399999999999999" x14ac:dyDescent="0.3">
      <c r="A1506" s="21" t="s">
        <v>2296</v>
      </c>
      <c r="B1506" s="22" t="s">
        <v>3940</v>
      </c>
      <c r="C1506" s="23" t="s">
        <v>3518</v>
      </c>
      <c r="D1506" s="22" t="s">
        <v>3545</v>
      </c>
      <c r="E1506" s="24">
        <v>45207</v>
      </c>
      <c r="F1506" s="24">
        <v>45222</v>
      </c>
      <c r="G1506" s="22" t="s">
        <v>11</v>
      </c>
      <c r="H1506" s="25">
        <v>12485</v>
      </c>
      <c r="I1506" s="25">
        <v>462</v>
      </c>
      <c r="J1506" s="26">
        <v>458.41</v>
      </c>
      <c r="K1506" s="25">
        <v>42</v>
      </c>
      <c r="L1506" s="21" t="s">
        <v>17</v>
      </c>
      <c r="M1506" s="22" t="s">
        <v>11</v>
      </c>
      <c r="N1506" s="27">
        <f t="shared" si="184"/>
        <v>15</v>
      </c>
      <c r="O1506" s="28">
        <f t="shared" si="185"/>
        <v>3.7004405286343613E-2</v>
      </c>
      <c r="P1506" s="28">
        <f t="shared" si="186"/>
        <v>9.0909090909090912E-2</v>
      </c>
      <c r="Q1506" s="26">
        <f t="shared" si="187"/>
        <v>0.99222943722943724</v>
      </c>
      <c r="R1506" s="29">
        <f t="shared" si="188"/>
        <v>10.914523809523811</v>
      </c>
      <c r="S1506" s="30">
        <f t="shared" si="189"/>
        <v>10</v>
      </c>
      <c r="T1506" s="30">
        <f t="shared" si="190"/>
        <v>2023</v>
      </c>
      <c r="U1506" s="29" t="str">
        <f t="shared" si="191"/>
        <v>October</v>
      </c>
    </row>
    <row r="1507" spans="1:21" ht="17.399999999999999" x14ac:dyDescent="0.3">
      <c r="A1507" s="21" t="s">
        <v>2944</v>
      </c>
      <c r="B1507" s="21" t="s">
        <v>2945</v>
      </c>
      <c r="C1507" s="23" t="s">
        <v>3518</v>
      </c>
      <c r="D1507" s="21" t="s">
        <v>3521</v>
      </c>
      <c r="E1507" s="24">
        <v>45207</v>
      </c>
      <c r="F1507" s="24">
        <v>45215</v>
      </c>
      <c r="G1507" s="22" t="s">
        <v>11</v>
      </c>
      <c r="H1507" s="25">
        <v>76758</v>
      </c>
      <c r="I1507" s="25">
        <v>2307</v>
      </c>
      <c r="J1507" s="26">
        <v>1817</v>
      </c>
      <c r="K1507" s="25">
        <v>344</v>
      </c>
      <c r="L1507" s="21" t="s">
        <v>21</v>
      </c>
      <c r="M1507" s="22" t="s">
        <v>11</v>
      </c>
      <c r="N1507" s="27">
        <f t="shared" si="184"/>
        <v>8</v>
      </c>
      <c r="O1507" s="28">
        <f t="shared" si="185"/>
        <v>3.0055499101070898E-2</v>
      </c>
      <c r="P1507" s="28">
        <f t="shared" si="186"/>
        <v>0.14911140008669269</v>
      </c>
      <c r="Q1507" s="26">
        <f t="shared" si="187"/>
        <v>0.78760294755093196</v>
      </c>
      <c r="R1507" s="29">
        <f t="shared" si="188"/>
        <v>5.2819767441860463</v>
      </c>
      <c r="S1507" s="30">
        <f t="shared" si="189"/>
        <v>10</v>
      </c>
      <c r="T1507" s="30">
        <f t="shared" si="190"/>
        <v>2023</v>
      </c>
      <c r="U1507" s="29" t="str">
        <f t="shared" si="191"/>
        <v>October</v>
      </c>
    </row>
    <row r="1508" spans="1:21" ht="17.399999999999999" x14ac:dyDescent="0.3">
      <c r="A1508" s="21" t="s">
        <v>1678</v>
      </c>
      <c r="B1508" s="21" t="s">
        <v>1679</v>
      </c>
      <c r="C1508" s="23" t="s">
        <v>3519</v>
      </c>
      <c r="D1508" s="21" t="s">
        <v>3520</v>
      </c>
      <c r="E1508" s="24">
        <v>45208</v>
      </c>
      <c r="F1508" s="24">
        <v>45221</v>
      </c>
      <c r="G1508" s="22" t="s">
        <v>24</v>
      </c>
      <c r="H1508" s="25">
        <v>29699</v>
      </c>
      <c r="I1508" s="25">
        <v>1231</v>
      </c>
      <c r="J1508" s="26">
        <v>980.44</v>
      </c>
      <c r="K1508" s="25">
        <v>184</v>
      </c>
      <c r="L1508" s="21" t="s">
        <v>17</v>
      </c>
      <c r="M1508" s="22" t="s">
        <v>3536</v>
      </c>
      <c r="N1508" s="27">
        <f t="shared" si="184"/>
        <v>13</v>
      </c>
      <c r="O1508" s="28">
        <f t="shared" si="185"/>
        <v>4.1449207044008216E-2</v>
      </c>
      <c r="P1508" s="28">
        <f t="shared" si="186"/>
        <v>0.14947197400487408</v>
      </c>
      <c r="Q1508" s="26">
        <f t="shared" si="187"/>
        <v>0.79645816409423242</v>
      </c>
      <c r="R1508" s="29">
        <f t="shared" si="188"/>
        <v>5.3284782608695656</v>
      </c>
      <c r="S1508" s="30">
        <f t="shared" si="189"/>
        <v>10</v>
      </c>
      <c r="T1508" s="30">
        <f t="shared" si="190"/>
        <v>2023</v>
      </c>
      <c r="U1508" s="29" t="str">
        <f t="shared" si="191"/>
        <v>October</v>
      </c>
    </row>
    <row r="1509" spans="1:21" ht="17.399999999999999" x14ac:dyDescent="0.3">
      <c r="A1509" s="21" t="s">
        <v>1256</v>
      </c>
      <c r="B1509" s="21" t="s">
        <v>1257</v>
      </c>
      <c r="C1509" s="23" t="s">
        <v>3516</v>
      </c>
      <c r="D1509" s="21" t="s">
        <v>3521</v>
      </c>
      <c r="E1509" s="24">
        <v>45208</v>
      </c>
      <c r="F1509" s="24">
        <v>45235</v>
      </c>
      <c r="G1509" s="22" t="s">
        <v>16</v>
      </c>
      <c r="H1509" s="25">
        <v>58799</v>
      </c>
      <c r="I1509" s="25">
        <v>2891</v>
      </c>
      <c r="J1509" s="26">
        <v>4291.92</v>
      </c>
      <c r="K1509" s="25">
        <v>188</v>
      </c>
      <c r="L1509" s="21" t="s">
        <v>21</v>
      </c>
      <c r="M1509" s="22" t="s">
        <v>16</v>
      </c>
      <c r="N1509" s="27">
        <f t="shared" si="184"/>
        <v>27</v>
      </c>
      <c r="O1509" s="28">
        <f t="shared" si="185"/>
        <v>4.91675028486879E-2</v>
      </c>
      <c r="P1509" s="28">
        <f t="shared" si="186"/>
        <v>6.5029401591144939E-2</v>
      </c>
      <c r="Q1509" s="26">
        <f t="shared" si="187"/>
        <v>1.4845797301971637</v>
      </c>
      <c r="R1509" s="29">
        <f t="shared" si="188"/>
        <v>22.82936170212766</v>
      </c>
      <c r="S1509" s="30">
        <f t="shared" si="189"/>
        <v>10</v>
      </c>
      <c r="T1509" s="30">
        <f t="shared" si="190"/>
        <v>2023</v>
      </c>
      <c r="U1509" s="29" t="str">
        <f t="shared" si="191"/>
        <v>October</v>
      </c>
    </row>
    <row r="1510" spans="1:21" ht="17.399999999999999" x14ac:dyDescent="0.3">
      <c r="A1510" s="21" t="s">
        <v>3298</v>
      </c>
      <c r="B1510" s="21" t="s">
        <v>3299</v>
      </c>
      <c r="C1510" s="23" t="s">
        <v>3516</v>
      </c>
      <c r="D1510" s="21" t="s">
        <v>3521</v>
      </c>
      <c r="E1510" s="24">
        <v>45208</v>
      </c>
      <c r="F1510" s="24">
        <v>45216</v>
      </c>
      <c r="G1510" s="22" t="s">
        <v>16</v>
      </c>
      <c r="H1510" s="25">
        <v>69760</v>
      </c>
      <c r="I1510" s="25">
        <v>1844</v>
      </c>
      <c r="J1510" s="26">
        <v>2729.82</v>
      </c>
      <c r="K1510" s="25">
        <v>0</v>
      </c>
      <c r="L1510" s="21" t="s">
        <v>17</v>
      </c>
      <c r="M1510" s="22" t="s">
        <v>16</v>
      </c>
      <c r="N1510" s="27">
        <f t="shared" si="184"/>
        <v>8</v>
      </c>
      <c r="O1510" s="28">
        <f t="shared" si="185"/>
        <v>2.643348623853211E-2</v>
      </c>
      <c r="P1510" s="28">
        <f t="shared" si="186"/>
        <v>0</v>
      </c>
      <c r="Q1510" s="26">
        <f t="shared" si="187"/>
        <v>1.4803796095444686</v>
      </c>
      <c r="R1510" s="29" t="str">
        <f t="shared" si="188"/>
        <v>0</v>
      </c>
      <c r="S1510" s="30">
        <f t="shared" si="189"/>
        <v>10</v>
      </c>
      <c r="T1510" s="30">
        <f t="shared" si="190"/>
        <v>2023</v>
      </c>
      <c r="U1510" s="29" t="str">
        <f t="shared" si="191"/>
        <v>October</v>
      </c>
    </row>
    <row r="1511" spans="1:21" ht="17.399999999999999" x14ac:dyDescent="0.3">
      <c r="A1511" s="21" t="s">
        <v>423</v>
      </c>
      <c r="B1511" s="21" t="s">
        <v>424</v>
      </c>
      <c r="C1511" s="23" t="s">
        <v>3515</v>
      </c>
      <c r="D1511" s="21" t="s">
        <v>3521</v>
      </c>
      <c r="E1511" s="24">
        <v>45208</v>
      </c>
      <c r="F1511" s="24">
        <v>45231</v>
      </c>
      <c r="G1511" s="22" t="s">
        <v>11</v>
      </c>
      <c r="H1511" s="25">
        <v>68863</v>
      </c>
      <c r="I1511" s="25">
        <v>1392</v>
      </c>
      <c r="J1511" s="26">
        <v>2189.31</v>
      </c>
      <c r="K1511" s="25">
        <v>166</v>
      </c>
      <c r="L1511" s="21" t="s">
        <v>17</v>
      </c>
      <c r="M1511" s="22" t="s">
        <v>11</v>
      </c>
      <c r="N1511" s="27">
        <f t="shared" si="184"/>
        <v>23</v>
      </c>
      <c r="O1511" s="28">
        <f t="shared" si="185"/>
        <v>2.021404818262347E-2</v>
      </c>
      <c r="P1511" s="28">
        <f t="shared" si="186"/>
        <v>0.11925287356321838</v>
      </c>
      <c r="Q1511" s="26">
        <f t="shared" si="187"/>
        <v>1.5727801724137931</v>
      </c>
      <c r="R1511" s="29">
        <f t="shared" si="188"/>
        <v>13.188614457831324</v>
      </c>
      <c r="S1511" s="30">
        <f t="shared" si="189"/>
        <v>10</v>
      </c>
      <c r="T1511" s="30">
        <f t="shared" si="190"/>
        <v>2023</v>
      </c>
      <c r="U1511" s="29" t="str">
        <f t="shared" si="191"/>
        <v>October</v>
      </c>
    </row>
    <row r="1512" spans="1:21" ht="17.399999999999999" x14ac:dyDescent="0.3">
      <c r="A1512" s="21" t="s">
        <v>1074</v>
      </c>
      <c r="B1512" s="21" t="s">
        <v>1075</v>
      </c>
      <c r="C1512" s="23" t="s">
        <v>3515</v>
      </c>
      <c r="D1512" s="21" t="s">
        <v>3521</v>
      </c>
      <c r="E1512" s="24">
        <v>45208</v>
      </c>
      <c r="F1512" s="24">
        <v>45218</v>
      </c>
      <c r="G1512" s="22" t="s">
        <v>16</v>
      </c>
      <c r="H1512" s="25">
        <v>21150</v>
      </c>
      <c r="I1512" s="25">
        <v>551</v>
      </c>
      <c r="J1512" s="26">
        <v>1100.04</v>
      </c>
      <c r="K1512" s="25">
        <v>67</v>
      </c>
      <c r="L1512" s="21" t="s">
        <v>21</v>
      </c>
      <c r="M1512" s="22" t="s">
        <v>16</v>
      </c>
      <c r="N1512" s="27">
        <f t="shared" si="184"/>
        <v>10</v>
      </c>
      <c r="O1512" s="28">
        <f t="shared" si="185"/>
        <v>2.6052009456264777E-2</v>
      </c>
      <c r="P1512" s="28">
        <f t="shared" si="186"/>
        <v>0.12159709618874773</v>
      </c>
      <c r="Q1512" s="26">
        <f t="shared" si="187"/>
        <v>1.996442831215971</v>
      </c>
      <c r="R1512" s="29">
        <f t="shared" si="188"/>
        <v>16.418507462686566</v>
      </c>
      <c r="S1512" s="30">
        <f t="shared" si="189"/>
        <v>10</v>
      </c>
      <c r="T1512" s="30">
        <f t="shared" si="190"/>
        <v>2023</v>
      </c>
      <c r="U1512" s="29" t="str">
        <f t="shared" si="191"/>
        <v>October</v>
      </c>
    </row>
    <row r="1513" spans="1:21" ht="17.399999999999999" x14ac:dyDescent="0.3">
      <c r="A1513" s="21" t="s">
        <v>2587</v>
      </c>
      <c r="B1513" s="21" t="s">
        <v>2588</v>
      </c>
      <c r="C1513" s="23" t="s">
        <v>3515</v>
      </c>
      <c r="D1513" s="21" t="s">
        <v>3517</v>
      </c>
      <c r="E1513" s="24">
        <v>45208</v>
      </c>
      <c r="F1513" s="24">
        <v>45222</v>
      </c>
      <c r="G1513" s="22" t="s">
        <v>24</v>
      </c>
      <c r="H1513" s="25">
        <v>2524</v>
      </c>
      <c r="I1513" s="25">
        <v>47</v>
      </c>
      <c r="J1513" s="26">
        <v>73.48</v>
      </c>
      <c r="K1513" s="25">
        <v>3</v>
      </c>
      <c r="L1513" s="21" t="s">
        <v>21</v>
      </c>
      <c r="M1513" s="22" t="s">
        <v>3536</v>
      </c>
      <c r="N1513" s="27">
        <f t="shared" si="184"/>
        <v>14</v>
      </c>
      <c r="O1513" s="28">
        <f t="shared" si="185"/>
        <v>1.862123613312203E-2</v>
      </c>
      <c r="P1513" s="28">
        <f t="shared" si="186"/>
        <v>6.3829787234042548E-2</v>
      </c>
      <c r="Q1513" s="26">
        <f t="shared" si="187"/>
        <v>1.5634042553191489</v>
      </c>
      <c r="R1513" s="29">
        <f t="shared" si="188"/>
        <v>24.493333333333336</v>
      </c>
      <c r="S1513" s="30">
        <f t="shared" si="189"/>
        <v>10</v>
      </c>
      <c r="T1513" s="30">
        <f t="shared" si="190"/>
        <v>2023</v>
      </c>
      <c r="U1513" s="29" t="str">
        <f t="shared" si="191"/>
        <v>October</v>
      </c>
    </row>
    <row r="1514" spans="1:21" ht="17.399999999999999" x14ac:dyDescent="0.3">
      <c r="A1514" s="21" t="s">
        <v>2994</v>
      </c>
      <c r="B1514" s="21" t="s">
        <v>2995</v>
      </c>
      <c r="C1514" s="23" t="s">
        <v>3515</v>
      </c>
      <c r="D1514" s="21" t="s">
        <v>3521</v>
      </c>
      <c r="E1514" s="24">
        <v>45208</v>
      </c>
      <c r="F1514" s="24">
        <v>45228</v>
      </c>
      <c r="G1514" s="22" t="s">
        <v>14</v>
      </c>
      <c r="H1514" s="25">
        <v>42873</v>
      </c>
      <c r="I1514" s="25">
        <v>627</v>
      </c>
      <c r="J1514" s="26">
        <v>1058.27</v>
      </c>
      <c r="K1514" s="25">
        <v>32</v>
      </c>
      <c r="L1514" s="21" t="s">
        <v>17</v>
      </c>
      <c r="M1514" s="22" t="s">
        <v>3537</v>
      </c>
      <c r="N1514" s="27">
        <f t="shared" si="184"/>
        <v>20</v>
      </c>
      <c r="O1514" s="28">
        <f t="shared" si="185"/>
        <v>1.462458890210622E-2</v>
      </c>
      <c r="P1514" s="28">
        <f t="shared" si="186"/>
        <v>5.1036682615629984E-2</v>
      </c>
      <c r="Q1514" s="26">
        <f t="shared" si="187"/>
        <v>1.6878309409888357</v>
      </c>
      <c r="R1514" s="29">
        <f t="shared" si="188"/>
        <v>33.070937499999999</v>
      </c>
      <c r="S1514" s="30">
        <f t="shared" si="189"/>
        <v>10</v>
      </c>
      <c r="T1514" s="30">
        <f t="shared" si="190"/>
        <v>2023</v>
      </c>
      <c r="U1514" s="29" t="str">
        <f t="shared" si="191"/>
        <v>October</v>
      </c>
    </row>
    <row r="1515" spans="1:21" ht="17.399999999999999" x14ac:dyDescent="0.3">
      <c r="A1515" s="21" t="s">
        <v>1542</v>
      </c>
      <c r="B1515" s="21" t="s">
        <v>1543</v>
      </c>
      <c r="C1515" s="23" t="s">
        <v>3519</v>
      </c>
      <c r="D1515" s="21" t="s">
        <v>3521</v>
      </c>
      <c r="E1515" s="24">
        <v>45208</v>
      </c>
      <c r="F1515" s="24">
        <v>45213</v>
      </c>
      <c r="G1515" s="22" t="s">
        <v>11</v>
      </c>
      <c r="H1515" s="25">
        <v>76745</v>
      </c>
      <c r="I1515" s="25">
        <v>1286</v>
      </c>
      <c r="J1515" s="26">
        <v>821.43</v>
      </c>
      <c r="K1515" s="25">
        <v>64</v>
      </c>
      <c r="L1515" s="21" t="s">
        <v>21</v>
      </c>
      <c r="M1515" s="22" t="s">
        <v>11</v>
      </c>
      <c r="N1515" s="27">
        <f t="shared" si="184"/>
        <v>5</v>
      </c>
      <c r="O1515" s="28">
        <f t="shared" si="185"/>
        <v>1.6756791973418464E-2</v>
      </c>
      <c r="P1515" s="28">
        <f t="shared" si="186"/>
        <v>4.9766718506998445E-2</v>
      </c>
      <c r="Q1515" s="26">
        <f t="shared" si="187"/>
        <v>0.63874805598755824</v>
      </c>
      <c r="R1515" s="29">
        <f t="shared" si="188"/>
        <v>12.834843749999999</v>
      </c>
      <c r="S1515" s="30">
        <f t="shared" si="189"/>
        <v>10</v>
      </c>
      <c r="T1515" s="30">
        <f t="shared" si="190"/>
        <v>2023</v>
      </c>
      <c r="U1515" s="29" t="str">
        <f t="shared" si="191"/>
        <v>October</v>
      </c>
    </row>
    <row r="1516" spans="1:21" ht="17.399999999999999" x14ac:dyDescent="0.3">
      <c r="A1516" s="21" t="s">
        <v>540</v>
      </c>
      <c r="B1516" s="21" t="s">
        <v>541</v>
      </c>
      <c r="C1516" s="23" t="s">
        <v>3519</v>
      </c>
      <c r="D1516" s="21" t="s">
        <v>3520</v>
      </c>
      <c r="E1516" s="24">
        <v>45209</v>
      </c>
      <c r="F1516" s="24">
        <v>45220</v>
      </c>
      <c r="G1516" s="22" t="s">
        <v>31</v>
      </c>
      <c r="H1516" s="25">
        <v>54351</v>
      </c>
      <c r="I1516" s="25">
        <v>1433</v>
      </c>
      <c r="J1516" s="26">
        <v>2006.8</v>
      </c>
      <c r="K1516" s="25">
        <v>184</v>
      </c>
      <c r="L1516" s="21" t="s">
        <v>21</v>
      </c>
      <c r="M1516" s="22" t="s">
        <v>31</v>
      </c>
      <c r="N1516" s="27">
        <f t="shared" si="184"/>
        <v>11</v>
      </c>
      <c r="O1516" s="28">
        <f t="shared" si="185"/>
        <v>2.6365660245441666E-2</v>
      </c>
      <c r="P1516" s="28">
        <f t="shared" si="186"/>
        <v>0.1284019539427774</v>
      </c>
      <c r="Q1516" s="26">
        <f t="shared" si="187"/>
        <v>1.4004187020237264</v>
      </c>
      <c r="R1516" s="29">
        <f t="shared" si="188"/>
        <v>10.906521739130435</v>
      </c>
      <c r="S1516" s="30">
        <f t="shared" si="189"/>
        <v>10</v>
      </c>
      <c r="T1516" s="30">
        <f t="shared" si="190"/>
        <v>2023</v>
      </c>
      <c r="U1516" s="29" t="str">
        <f t="shared" si="191"/>
        <v>October</v>
      </c>
    </row>
    <row r="1517" spans="1:21" ht="17.399999999999999" x14ac:dyDescent="0.3">
      <c r="A1517" s="21" t="s">
        <v>1086</v>
      </c>
      <c r="B1517" s="21" t="s">
        <v>1087</v>
      </c>
      <c r="C1517" s="23" t="s">
        <v>3519</v>
      </c>
      <c r="D1517" s="21" t="s">
        <v>3520</v>
      </c>
      <c r="E1517" s="24">
        <v>45209</v>
      </c>
      <c r="F1517" s="24">
        <v>45210</v>
      </c>
      <c r="G1517" s="22" t="s">
        <v>11</v>
      </c>
      <c r="H1517" s="25">
        <v>15397</v>
      </c>
      <c r="I1517" s="25">
        <v>586</v>
      </c>
      <c r="J1517" s="26">
        <v>350.74</v>
      </c>
      <c r="K1517" s="25">
        <v>31</v>
      </c>
      <c r="L1517" s="21" t="s">
        <v>21</v>
      </c>
      <c r="M1517" s="22" t="s">
        <v>11</v>
      </c>
      <c r="N1517" s="27">
        <f t="shared" si="184"/>
        <v>1</v>
      </c>
      <c r="O1517" s="28">
        <f t="shared" si="185"/>
        <v>3.8059362213418199E-2</v>
      </c>
      <c r="P1517" s="28">
        <f t="shared" si="186"/>
        <v>5.2901023890784986E-2</v>
      </c>
      <c r="Q1517" s="26">
        <f t="shared" si="187"/>
        <v>0.59853242320819111</v>
      </c>
      <c r="R1517" s="29">
        <f t="shared" si="188"/>
        <v>11.314193548387097</v>
      </c>
      <c r="S1517" s="30">
        <f t="shared" si="189"/>
        <v>10</v>
      </c>
      <c r="T1517" s="30">
        <f t="shared" si="190"/>
        <v>2023</v>
      </c>
      <c r="U1517" s="29" t="str">
        <f t="shared" si="191"/>
        <v>October</v>
      </c>
    </row>
    <row r="1518" spans="1:21" ht="17.399999999999999" x14ac:dyDescent="0.3">
      <c r="A1518" s="21" t="s">
        <v>744</v>
      </c>
      <c r="B1518" s="22" t="s">
        <v>3941</v>
      </c>
      <c r="C1518" s="23" t="s">
        <v>3516</v>
      </c>
      <c r="D1518" s="22" t="s">
        <v>3545</v>
      </c>
      <c r="E1518" s="24">
        <v>45209</v>
      </c>
      <c r="F1518" s="24">
        <v>45213</v>
      </c>
      <c r="G1518" s="22" t="s">
        <v>11</v>
      </c>
      <c r="H1518" s="25">
        <v>88922</v>
      </c>
      <c r="I1518" s="25">
        <v>1518</v>
      </c>
      <c r="J1518" s="26">
        <v>1429.05</v>
      </c>
      <c r="K1518" s="25">
        <v>0</v>
      </c>
      <c r="L1518" s="21" t="s">
        <v>17</v>
      </c>
      <c r="M1518" s="22" t="s">
        <v>11</v>
      </c>
      <c r="N1518" s="27">
        <f t="shared" si="184"/>
        <v>4</v>
      </c>
      <c r="O1518" s="28">
        <f t="shared" si="185"/>
        <v>1.7071140999977509E-2</v>
      </c>
      <c r="P1518" s="28">
        <f t="shared" si="186"/>
        <v>0</v>
      </c>
      <c r="Q1518" s="26">
        <f t="shared" si="187"/>
        <v>0.94140316205533592</v>
      </c>
      <c r="R1518" s="29" t="str">
        <f t="shared" si="188"/>
        <v>0</v>
      </c>
      <c r="S1518" s="30">
        <f t="shared" si="189"/>
        <v>10</v>
      </c>
      <c r="T1518" s="30">
        <f t="shared" si="190"/>
        <v>2023</v>
      </c>
      <c r="U1518" s="29" t="str">
        <f t="shared" si="191"/>
        <v>October</v>
      </c>
    </row>
    <row r="1519" spans="1:21" ht="17.399999999999999" x14ac:dyDescent="0.3">
      <c r="A1519" s="21" t="s">
        <v>1096</v>
      </c>
      <c r="B1519" s="21" t="s">
        <v>1097</v>
      </c>
      <c r="C1519" s="23" t="s">
        <v>3515</v>
      </c>
      <c r="D1519" s="21" t="s">
        <v>3521</v>
      </c>
      <c r="E1519" s="24">
        <v>45209</v>
      </c>
      <c r="F1519" s="24">
        <v>45232</v>
      </c>
      <c r="G1519" s="22" t="s">
        <v>11</v>
      </c>
      <c r="H1519" s="25">
        <v>40954</v>
      </c>
      <c r="I1519" s="25">
        <v>937</v>
      </c>
      <c r="J1519" s="26">
        <v>651.91999999999996</v>
      </c>
      <c r="K1519" s="25">
        <v>165</v>
      </c>
      <c r="L1519" s="21" t="s">
        <v>17</v>
      </c>
      <c r="M1519" s="22" t="s">
        <v>11</v>
      </c>
      <c r="N1519" s="27">
        <f t="shared" si="184"/>
        <v>23</v>
      </c>
      <c r="O1519" s="28">
        <f t="shared" si="185"/>
        <v>2.2879328026566392E-2</v>
      </c>
      <c r="P1519" s="28">
        <f t="shared" si="186"/>
        <v>0.17609391675560299</v>
      </c>
      <c r="Q1519" s="26">
        <f t="shared" si="187"/>
        <v>0.69575240128068294</v>
      </c>
      <c r="R1519" s="29">
        <f t="shared" si="188"/>
        <v>3.9510303030303029</v>
      </c>
      <c r="S1519" s="30">
        <f t="shared" si="189"/>
        <v>10</v>
      </c>
      <c r="T1519" s="30">
        <f t="shared" si="190"/>
        <v>2023</v>
      </c>
      <c r="U1519" s="29" t="str">
        <f t="shared" si="191"/>
        <v>October</v>
      </c>
    </row>
    <row r="1520" spans="1:21" ht="17.399999999999999" x14ac:dyDescent="0.3">
      <c r="A1520" s="21" t="s">
        <v>3042</v>
      </c>
      <c r="B1520" s="21" t="s">
        <v>3043</v>
      </c>
      <c r="C1520" s="23" t="s">
        <v>3515</v>
      </c>
      <c r="D1520" s="21" t="s">
        <v>3520</v>
      </c>
      <c r="E1520" s="24">
        <v>45209</v>
      </c>
      <c r="F1520" s="24">
        <v>45222</v>
      </c>
      <c r="G1520" s="22" t="s">
        <v>24</v>
      </c>
      <c r="H1520" s="25">
        <v>87206</v>
      </c>
      <c r="I1520" s="25">
        <v>1472</v>
      </c>
      <c r="J1520" s="26">
        <v>2513.6999999999998</v>
      </c>
      <c r="K1520" s="25">
        <v>196</v>
      </c>
      <c r="L1520" s="21" t="s">
        <v>17</v>
      </c>
      <c r="M1520" s="22" t="s">
        <v>3536</v>
      </c>
      <c r="N1520" s="27">
        <f t="shared" si="184"/>
        <v>13</v>
      </c>
      <c r="O1520" s="28">
        <f t="shared" si="185"/>
        <v>1.6879572506478913E-2</v>
      </c>
      <c r="P1520" s="28">
        <f t="shared" si="186"/>
        <v>0.13315217391304349</v>
      </c>
      <c r="Q1520" s="26">
        <f t="shared" si="187"/>
        <v>1.7076766304347826</v>
      </c>
      <c r="R1520" s="29">
        <f t="shared" si="188"/>
        <v>12.824999999999999</v>
      </c>
      <c r="S1520" s="30">
        <f t="shared" si="189"/>
        <v>10</v>
      </c>
      <c r="T1520" s="30">
        <f t="shared" si="190"/>
        <v>2023</v>
      </c>
      <c r="U1520" s="29" t="str">
        <f t="shared" si="191"/>
        <v>October</v>
      </c>
    </row>
    <row r="1521" spans="1:21" ht="17.399999999999999" x14ac:dyDescent="0.3">
      <c r="A1521" s="21" t="s">
        <v>1246</v>
      </c>
      <c r="B1521" s="21" t="s">
        <v>1247</v>
      </c>
      <c r="C1521" s="23" t="s">
        <v>3518</v>
      </c>
      <c r="D1521" s="21" t="s">
        <v>3521</v>
      </c>
      <c r="E1521" s="24">
        <v>45209</v>
      </c>
      <c r="F1521" s="24">
        <v>45214</v>
      </c>
      <c r="G1521" s="22" t="s">
        <v>31</v>
      </c>
      <c r="H1521" s="25">
        <v>5748</v>
      </c>
      <c r="I1521" s="25">
        <v>260</v>
      </c>
      <c r="J1521" s="26">
        <v>471.3</v>
      </c>
      <c r="K1521" s="25">
        <v>13</v>
      </c>
      <c r="L1521" s="21" t="s">
        <v>17</v>
      </c>
      <c r="M1521" s="22" t="s">
        <v>31</v>
      </c>
      <c r="N1521" s="27">
        <f t="shared" si="184"/>
        <v>5</v>
      </c>
      <c r="O1521" s="28">
        <f t="shared" si="185"/>
        <v>4.5233124565066112E-2</v>
      </c>
      <c r="P1521" s="28">
        <f t="shared" si="186"/>
        <v>0.05</v>
      </c>
      <c r="Q1521" s="26">
        <f t="shared" si="187"/>
        <v>1.8126923076923078</v>
      </c>
      <c r="R1521" s="29">
        <f t="shared" si="188"/>
        <v>36.253846153846155</v>
      </c>
      <c r="S1521" s="30">
        <f t="shared" si="189"/>
        <v>10</v>
      </c>
      <c r="T1521" s="30">
        <f t="shared" si="190"/>
        <v>2023</v>
      </c>
      <c r="U1521" s="29" t="str">
        <f t="shared" si="191"/>
        <v>October</v>
      </c>
    </row>
    <row r="1522" spans="1:21" ht="17.399999999999999" x14ac:dyDescent="0.3">
      <c r="A1522" s="21" t="s">
        <v>1164</v>
      </c>
      <c r="B1522" s="21" t="s">
        <v>1165</v>
      </c>
      <c r="C1522" s="23" t="s">
        <v>3519</v>
      </c>
      <c r="D1522" s="21" t="s">
        <v>3517</v>
      </c>
      <c r="E1522" s="24">
        <v>45210</v>
      </c>
      <c r="F1522" s="24">
        <v>45231</v>
      </c>
      <c r="G1522" s="22" t="s">
        <v>24</v>
      </c>
      <c r="H1522" s="25">
        <v>73267</v>
      </c>
      <c r="I1522" s="25">
        <v>1393</v>
      </c>
      <c r="J1522" s="26">
        <v>1102.8</v>
      </c>
      <c r="K1522" s="25">
        <v>148</v>
      </c>
      <c r="L1522" s="21" t="s">
        <v>17</v>
      </c>
      <c r="M1522" s="22" t="s">
        <v>3536</v>
      </c>
      <c r="N1522" s="27">
        <f t="shared" si="184"/>
        <v>21</v>
      </c>
      <c r="O1522" s="28">
        <f t="shared" si="185"/>
        <v>1.9012652353719954E-2</v>
      </c>
      <c r="P1522" s="28">
        <f t="shared" si="186"/>
        <v>0.10624551328068917</v>
      </c>
      <c r="Q1522" s="26">
        <f t="shared" si="187"/>
        <v>0.79167264895908107</v>
      </c>
      <c r="R1522" s="29">
        <f t="shared" si="188"/>
        <v>7.4513513513513514</v>
      </c>
      <c r="S1522" s="30">
        <f t="shared" si="189"/>
        <v>10</v>
      </c>
      <c r="T1522" s="30">
        <f t="shared" si="190"/>
        <v>2023</v>
      </c>
      <c r="U1522" s="29" t="str">
        <f t="shared" si="191"/>
        <v>October</v>
      </c>
    </row>
    <row r="1523" spans="1:21" ht="17.399999999999999" x14ac:dyDescent="0.3">
      <c r="A1523" s="21" t="s">
        <v>2807</v>
      </c>
      <c r="B1523" s="21" t="s">
        <v>2808</v>
      </c>
      <c r="C1523" s="23" t="s">
        <v>3519</v>
      </c>
      <c r="D1523" s="21" t="s">
        <v>3521</v>
      </c>
      <c r="E1523" s="24">
        <v>45210</v>
      </c>
      <c r="F1523" s="24">
        <v>45229</v>
      </c>
      <c r="G1523" s="22" t="s">
        <v>14</v>
      </c>
      <c r="H1523" s="25">
        <v>86431</v>
      </c>
      <c r="I1523" s="25">
        <v>1738</v>
      </c>
      <c r="J1523" s="26">
        <v>2389.21</v>
      </c>
      <c r="K1523" s="25">
        <v>0</v>
      </c>
      <c r="L1523" s="21" t="s">
        <v>17</v>
      </c>
      <c r="M1523" s="22" t="s">
        <v>3537</v>
      </c>
      <c r="N1523" s="27">
        <f t="shared" si="184"/>
        <v>19</v>
      </c>
      <c r="O1523" s="28">
        <f t="shared" si="185"/>
        <v>2.0108525876132405E-2</v>
      </c>
      <c r="P1523" s="28">
        <f t="shared" si="186"/>
        <v>0</v>
      </c>
      <c r="Q1523" s="26">
        <f t="shared" si="187"/>
        <v>1.3746892980437284</v>
      </c>
      <c r="R1523" s="29" t="str">
        <f t="shared" si="188"/>
        <v>0</v>
      </c>
      <c r="S1523" s="30">
        <f t="shared" si="189"/>
        <v>10</v>
      </c>
      <c r="T1523" s="30">
        <f t="shared" si="190"/>
        <v>2023</v>
      </c>
      <c r="U1523" s="29" t="str">
        <f t="shared" si="191"/>
        <v>October</v>
      </c>
    </row>
    <row r="1524" spans="1:21" ht="17.399999999999999" x14ac:dyDescent="0.3">
      <c r="A1524" s="21" t="s">
        <v>2570</v>
      </c>
      <c r="B1524" s="22" t="s">
        <v>3942</v>
      </c>
      <c r="C1524" s="23" t="s">
        <v>3518</v>
      </c>
      <c r="D1524" s="22" t="s">
        <v>3545</v>
      </c>
      <c r="E1524" s="24">
        <v>45210</v>
      </c>
      <c r="F1524" s="24">
        <v>45223</v>
      </c>
      <c r="G1524" s="22" t="s">
        <v>24</v>
      </c>
      <c r="H1524" s="25">
        <v>32987</v>
      </c>
      <c r="I1524" s="25">
        <v>1025</v>
      </c>
      <c r="J1524" s="26">
        <v>856.78</v>
      </c>
      <c r="K1524" s="25">
        <v>93</v>
      </c>
      <c r="L1524" s="21" t="s">
        <v>17</v>
      </c>
      <c r="M1524" s="22" t="s">
        <v>3536</v>
      </c>
      <c r="N1524" s="27">
        <f t="shared" si="184"/>
        <v>13</v>
      </c>
      <c r="O1524" s="28">
        <f t="shared" si="185"/>
        <v>3.1072846879073576E-2</v>
      </c>
      <c r="P1524" s="28">
        <f t="shared" si="186"/>
        <v>9.0731707317073168E-2</v>
      </c>
      <c r="Q1524" s="26">
        <f t="shared" si="187"/>
        <v>0.83588292682926824</v>
      </c>
      <c r="R1524" s="29">
        <f t="shared" si="188"/>
        <v>9.2126881720430109</v>
      </c>
      <c r="S1524" s="30">
        <f t="shared" si="189"/>
        <v>10</v>
      </c>
      <c r="T1524" s="30">
        <f t="shared" si="190"/>
        <v>2023</v>
      </c>
      <c r="U1524" s="29" t="str">
        <f t="shared" si="191"/>
        <v>October</v>
      </c>
    </row>
    <row r="1525" spans="1:21" ht="17.399999999999999" x14ac:dyDescent="0.3">
      <c r="A1525" s="21" t="s">
        <v>3028</v>
      </c>
      <c r="B1525" s="21" t="s">
        <v>3029</v>
      </c>
      <c r="C1525" s="23" t="s">
        <v>3518</v>
      </c>
      <c r="D1525" s="21" t="s">
        <v>3520</v>
      </c>
      <c r="E1525" s="24">
        <v>45210</v>
      </c>
      <c r="F1525" s="24">
        <v>45230</v>
      </c>
      <c r="G1525" s="22" t="s">
        <v>11</v>
      </c>
      <c r="H1525" s="25">
        <v>68675</v>
      </c>
      <c r="I1525" s="25">
        <v>2350</v>
      </c>
      <c r="J1525" s="26">
        <v>3741.24</v>
      </c>
      <c r="K1525" s="25">
        <v>275</v>
      </c>
      <c r="L1525" s="21" t="s">
        <v>17</v>
      </c>
      <c r="M1525" s="22" t="s">
        <v>11</v>
      </c>
      <c r="N1525" s="27">
        <f t="shared" si="184"/>
        <v>20</v>
      </c>
      <c r="O1525" s="28">
        <f t="shared" si="185"/>
        <v>3.4219148161630873E-2</v>
      </c>
      <c r="P1525" s="28">
        <f t="shared" si="186"/>
        <v>0.11702127659574468</v>
      </c>
      <c r="Q1525" s="26">
        <f t="shared" si="187"/>
        <v>1.5920170212765956</v>
      </c>
      <c r="R1525" s="29">
        <f t="shared" si="188"/>
        <v>13.60450909090909</v>
      </c>
      <c r="S1525" s="30">
        <f t="shared" si="189"/>
        <v>10</v>
      </c>
      <c r="T1525" s="30">
        <f t="shared" si="190"/>
        <v>2023</v>
      </c>
      <c r="U1525" s="29" t="str">
        <f t="shared" si="191"/>
        <v>October</v>
      </c>
    </row>
    <row r="1526" spans="1:21" ht="17.399999999999999" x14ac:dyDescent="0.3">
      <c r="A1526" s="21" t="s">
        <v>193</v>
      </c>
      <c r="B1526" s="21" t="s">
        <v>194</v>
      </c>
      <c r="C1526" s="23" t="s">
        <v>3515</v>
      </c>
      <c r="D1526" s="21" t="s">
        <v>3517</v>
      </c>
      <c r="E1526" s="24">
        <v>45210</v>
      </c>
      <c r="F1526" s="24">
        <v>45221</v>
      </c>
      <c r="G1526" s="22" t="s">
        <v>11</v>
      </c>
      <c r="H1526" s="25">
        <v>6258</v>
      </c>
      <c r="I1526" s="25">
        <v>148</v>
      </c>
      <c r="J1526" s="26">
        <v>236.73</v>
      </c>
      <c r="K1526" s="25">
        <v>7</v>
      </c>
      <c r="L1526" s="21" t="s">
        <v>21</v>
      </c>
      <c r="M1526" s="22" t="s">
        <v>11</v>
      </c>
      <c r="N1526" s="27">
        <f t="shared" si="184"/>
        <v>11</v>
      </c>
      <c r="O1526" s="28">
        <f t="shared" si="185"/>
        <v>2.3649728347714925E-2</v>
      </c>
      <c r="P1526" s="28">
        <f t="shared" si="186"/>
        <v>4.72972972972973E-2</v>
      </c>
      <c r="Q1526" s="26">
        <f t="shared" si="187"/>
        <v>1.599527027027027</v>
      </c>
      <c r="R1526" s="29">
        <f t="shared" si="188"/>
        <v>33.818571428571424</v>
      </c>
      <c r="S1526" s="30">
        <f t="shared" si="189"/>
        <v>10</v>
      </c>
      <c r="T1526" s="30">
        <f t="shared" si="190"/>
        <v>2023</v>
      </c>
      <c r="U1526" s="29" t="str">
        <f t="shared" si="191"/>
        <v>October</v>
      </c>
    </row>
    <row r="1527" spans="1:21" ht="17.399999999999999" x14ac:dyDescent="0.3">
      <c r="A1527" s="21" t="s">
        <v>197</v>
      </c>
      <c r="B1527" s="22" t="s">
        <v>3943</v>
      </c>
      <c r="C1527" s="23" t="s">
        <v>3515</v>
      </c>
      <c r="D1527" s="22" t="s">
        <v>3545</v>
      </c>
      <c r="E1527" s="24">
        <v>45210</v>
      </c>
      <c r="F1527" s="24">
        <v>45231</v>
      </c>
      <c r="G1527" s="22" t="s">
        <v>31</v>
      </c>
      <c r="H1527" s="25">
        <v>40504</v>
      </c>
      <c r="I1527" s="25">
        <v>608</v>
      </c>
      <c r="J1527" s="26">
        <v>430.25</v>
      </c>
      <c r="K1527" s="25">
        <v>120</v>
      </c>
      <c r="L1527" s="21" t="s">
        <v>17</v>
      </c>
      <c r="M1527" s="22" t="s">
        <v>31</v>
      </c>
      <c r="N1527" s="27">
        <f t="shared" si="184"/>
        <v>21</v>
      </c>
      <c r="O1527" s="28">
        <f t="shared" si="185"/>
        <v>1.5010863124629667E-2</v>
      </c>
      <c r="P1527" s="28">
        <f t="shared" si="186"/>
        <v>0.19736842105263158</v>
      </c>
      <c r="Q1527" s="26">
        <f t="shared" si="187"/>
        <v>0.70764802631578949</v>
      </c>
      <c r="R1527" s="29">
        <f t="shared" si="188"/>
        <v>3.5854166666666667</v>
      </c>
      <c r="S1527" s="30">
        <f t="shared" si="189"/>
        <v>10</v>
      </c>
      <c r="T1527" s="30">
        <f t="shared" si="190"/>
        <v>2023</v>
      </c>
      <c r="U1527" s="29" t="str">
        <f t="shared" si="191"/>
        <v>October</v>
      </c>
    </row>
    <row r="1528" spans="1:21" ht="17.399999999999999" x14ac:dyDescent="0.3">
      <c r="A1528" s="21" t="s">
        <v>705</v>
      </c>
      <c r="B1528" s="21" t="s">
        <v>706</v>
      </c>
      <c r="C1528" s="23" t="s">
        <v>3515</v>
      </c>
      <c r="D1528" s="21" t="s">
        <v>3520</v>
      </c>
      <c r="E1528" s="24">
        <v>45210</v>
      </c>
      <c r="F1528" s="24">
        <v>45211</v>
      </c>
      <c r="G1528" s="22" t="s">
        <v>3535</v>
      </c>
      <c r="H1528" s="25">
        <v>11729</v>
      </c>
      <c r="I1528" s="25">
        <v>256</v>
      </c>
      <c r="J1528" s="26">
        <v>248.25</v>
      </c>
      <c r="K1528" s="25">
        <v>44</v>
      </c>
      <c r="L1528" s="21" t="s">
        <v>21</v>
      </c>
      <c r="M1528" s="22" t="s">
        <v>3535</v>
      </c>
      <c r="N1528" s="27">
        <f t="shared" si="184"/>
        <v>1</v>
      </c>
      <c r="O1528" s="28">
        <f t="shared" si="185"/>
        <v>2.1826242646431921E-2</v>
      </c>
      <c r="P1528" s="28">
        <f t="shared" si="186"/>
        <v>0.171875</v>
      </c>
      <c r="Q1528" s="26">
        <f t="shared" si="187"/>
        <v>0.9697265625</v>
      </c>
      <c r="R1528" s="29">
        <f t="shared" si="188"/>
        <v>5.6420454545454541</v>
      </c>
      <c r="S1528" s="30">
        <f t="shared" si="189"/>
        <v>10</v>
      </c>
      <c r="T1528" s="30">
        <f t="shared" si="190"/>
        <v>2023</v>
      </c>
      <c r="U1528" s="29" t="str">
        <f t="shared" si="191"/>
        <v>October</v>
      </c>
    </row>
    <row r="1529" spans="1:21" ht="17.399999999999999" x14ac:dyDescent="0.3">
      <c r="A1529" s="21" t="s">
        <v>771</v>
      </c>
      <c r="B1529" s="22" t="s">
        <v>3944</v>
      </c>
      <c r="C1529" s="23" t="s">
        <v>3519</v>
      </c>
      <c r="D1529" s="22" t="s">
        <v>3545</v>
      </c>
      <c r="E1529" s="24">
        <v>45211</v>
      </c>
      <c r="F1529" s="24">
        <v>45213</v>
      </c>
      <c r="G1529" s="22" t="s">
        <v>31</v>
      </c>
      <c r="H1529" s="25">
        <v>71313</v>
      </c>
      <c r="I1529" s="25">
        <v>897</v>
      </c>
      <c r="J1529" s="26">
        <v>1430.33</v>
      </c>
      <c r="K1529" s="25">
        <v>105</v>
      </c>
      <c r="L1529" s="21" t="s">
        <v>17</v>
      </c>
      <c r="M1529" s="22" t="s">
        <v>31</v>
      </c>
      <c r="N1529" s="27">
        <f t="shared" si="184"/>
        <v>2</v>
      </c>
      <c r="O1529" s="28">
        <f t="shared" si="185"/>
        <v>1.2578351773168987E-2</v>
      </c>
      <c r="P1529" s="28">
        <f t="shared" si="186"/>
        <v>0.11705685618729098</v>
      </c>
      <c r="Q1529" s="26">
        <f t="shared" si="187"/>
        <v>1.5945707915273133</v>
      </c>
      <c r="R1529" s="29">
        <f t="shared" si="188"/>
        <v>13.622190476190475</v>
      </c>
      <c r="S1529" s="30">
        <f t="shared" si="189"/>
        <v>10</v>
      </c>
      <c r="T1529" s="30">
        <f t="shared" si="190"/>
        <v>2023</v>
      </c>
      <c r="U1529" s="29" t="str">
        <f t="shared" si="191"/>
        <v>October</v>
      </c>
    </row>
    <row r="1530" spans="1:21" ht="17.399999999999999" x14ac:dyDescent="0.3">
      <c r="A1530" s="21" t="s">
        <v>1927</v>
      </c>
      <c r="B1530" s="22" t="s">
        <v>3945</v>
      </c>
      <c r="C1530" s="23" t="s">
        <v>3519</v>
      </c>
      <c r="D1530" s="22" t="s">
        <v>3545</v>
      </c>
      <c r="E1530" s="24">
        <v>45211</v>
      </c>
      <c r="F1530" s="24">
        <v>45239</v>
      </c>
      <c r="G1530" s="22" t="s">
        <v>11</v>
      </c>
      <c r="H1530" s="25">
        <v>44925</v>
      </c>
      <c r="I1530" s="25">
        <v>2205</v>
      </c>
      <c r="J1530" s="26">
        <v>2197.77</v>
      </c>
      <c r="K1530" s="25">
        <v>151</v>
      </c>
      <c r="L1530" s="21" t="s">
        <v>21</v>
      </c>
      <c r="M1530" s="22" t="s">
        <v>11</v>
      </c>
      <c r="N1530" s="27">
        <f t="shared" si="184"/>
        <v>28</v>
      </c>
      <c r="O1530" s="28">
        <f t="shared" si="185"/>
        <v>4.9081803005008348E-2</v>
      </c>
      <c r="P1530" s="28">
        <f t="shared" si="186"/>
        <v>6.8480725623582761E-2</v>
      </c>
      <c r="Q1530" s="26">
        <f t="shared" si="187"/>
        <v>0.9967210884353741</v>
      </c>
      <c r="R1530" s="29">
        <f t="shared" si="188"/>
        <v>14.55476821192053</v>
      </c>
      <c r="S1530" s="30">
        <f t="shared" si="189"/>
        <v>10</v>
      </c>
      <c r="T1530" s="30">
        <f t="shared" si="190"/>
        <v>2023</v>
      </c>
      <c r="U1530" s="29" t="str">
        <f t="shared" si="191"/>
        <v>October</v>
      </c>
    </row>
    <row r="1531" spans="1:21" ht="17.399999999999999" x14ac:dyDescent="0.3">
      <c r="A1531" s="21" t="s">
        <v>2119</v>
      </c>
      <c r="B1531" s="21" t="s">
        <v>2120</v>
      </c>
      <c r="C1531" s="23" t="s">
        <v>3519</v>
      </c>
      <c r="D1531" s="21" t="s">
        <v>3520</v>
      </c>
      <c r="E1531" s="24">
        <v>45211</v>
      </c>
      <c r="F1531" s="24">
        <v>45241</v>
      </c>
      <c r="G1531" s="22" t="s">
        <v>31</v>
      </c>
      <c r="H1531" s="25">
        <v>81879</v>
      </c>
      <c r="I1531" s="25">
        <v>1910</v>
      </c>
      <c r="J1531" s="26">
        <v>3271.05</v>
      </c>
      <c r="K1531" s="25">
        <v>355</v>
      </c>
      <c r="L1531" s="21" t="s">
        <v>21</v>
      </c>
      <c r="M1531" s="22" t="s">
        <v>31</v>
      </c>
      <c r="N1531" s="27">
        <f t="shared" si="184"/>
        <v>30</v>
      </c>
      <c r="O1531" s="28">
        <f t="shared" si="185"/>
        <v>2.3327104630002808E-2</v>
      </c>
      <c r="P1531" s="28">
        <f t="shared" si="186"/>
        <v>0.18586387434554974</v>
      </c>
      <c r="Q1531" s="26">
        <f t="shared" si="187"/>
        <v>1.7125916230366494</v>
      </c>
      <c r="R1531" s="29">
        <f t="shared" si="188"/>
        <v>9.2142253521126758</v>
      </c>
      <c r="S1531" s="30">
        <f t="shared" si="189"/>
        <v>10</v>
      </c>
      <c r="T1531" s="30">
        <f t="shared" si="190"/>
        <v>2023</v>
      </c>
      <c r="U1531" s="29" t="str">
        <f t="shared" si="191"/>
        <v>October</v>
      </c>
    </row>
    <row r="1532" spans="1:21" ht="17.399999999999999" x14ac:dyDescent="0.3">
      <c r="A1532" s="21" t="s">
        <v>159</v>
      </c>
      <c r="B1532" s="22" t="s">
        <v>3946</v>
      </c>
      <c r="C1532" s="23" t="s">
        <v>3518</v>
      </c>
      <c r="D1532" s="22" t="s">
        <v>3545</v>
      </c>
      <c r="E1532" s="24">
        <v>45211</v>
      </c>
      <c r="F1532" s="24">
        <v>45234</v>
      </c>
      <c r="G1532" s="22" t="s">
        <v>24</v>
      </c>
      <c r="H1532" s="25">
        <v>24247</v>
      </c>
      <c r="I1532" s="25">
        <v>275</v>
      </c>
      <c r="J1532" s="26">
        <v>533.98</v>
      </c>
      <c r="K1532" s="25">
        <v>18</v>
      </c>
      <c r="L1532" s="21" t="s">
        <v>17</v>
      </c>
      <c r="M1532" s="22" t="s">
        <v>3536</v>
      </c>
      <c r="N1532" s="27">
        <f t="shared" si="184"/>
        <v>23</v>
      </c>
      <c r="O1532" s="28">
        <f t="shared" si="185"/>
        <v>1.1341609271250051E-2</v>
      </c>
      <c r="P1532" s="28">
        <f t="shared" si="186"/>
        <v>6.545454545454546E-2</v>
      </c>
      <c r="Q1532" s="26">
        <f t="shared" si="187"/>
        <v>1.9417454545454547</v>
      </c>
      <c r="R1532" s="29">
        <f t="shared" si="188"/>
        <v>29.665555555555557</v>
      </c>
      <c r="S1532" s="30">
        <f t="shared" si="189"/>
        <v>10</v>
      </c>
      <c r="T1532" s="30">
        <f t="shared" si="190"/>
        <v>2023</v>
      </c>
      <c r="U1532" s="29" t="str">
        <f t="shared" si="191"/>
        <v>October</v>
      </c>
    </row>
    <row r="1533" spans="1:21" ht="17.399999999999999" x14ac:dyDescent="0.3">
      <c r="A1533" s="21" t="s">
        <v>2856</v>
      </c>
      <c r="B1533" s="21" t="s">
        <v>2857</v>
      </c>
      <c r="C1533" s="23" t="s">
        <v>3518</v>
      </c>
      <c r="D1533" s="21" t="s">
        <v>3520</v>
      </c>
      <c r="E1533" s="24">
        <v>45211</v>
      </c>
      <c r="F1533" s="24">
        <v>45217</v>
      </c>
      <c r="G1533" s="22" t="s">
        <v>16</v>
      </c>
      <c r="H1533" s="25">
        <v>98419</v>
      </c>
      <c r="I1533" s="25">
        <v>4812</v>
      </c>
      <c r="J1533" s="26">
        <v>2702.43</v>
      </c>
      <c r="K1533" s="25">
        <v>943</v>
      </c>
      <c r="L1533" s="21" t="s">
        <v>17</v>
      </c>
      <c r="M1533" s="22" t="s">
        <v>16</v>
      </c>
      <c r="N1533" s="27">
        <f t="shared" si="184"/>
        <v>6</v>
      </c>
      <c r="O1533" s="28">
        <f t="shared" si="185"/>
        <v>4.8892998303173167E-2</v>
      </c>
      <c r="P1533" s="28">
        <f t="shared" si="186"/>
        <v>0.19596841230257689</v>
      </c>
      <c r="Q1533" s="26">
        <f t="shared" si="187"/>
        <v>0.56160224438902739</v>
      </c>
      <c r="R1533" s="29">
        <f t="shared" si="188"/>
        <v>2.8657794273594908</v>
      </c>
      <c r="S1533" s="30">
        <f t="shared" si="189"/>
        <v>10</v>
      </c>
      <c r="T1533" s="30">
        <f t="shared" si="190"/>
        <v>2023</v>
      </c>
      <c r="U1533" s="29" t="str">
        <f t="shared" si="191"/>
        <v>October</v>
      </c>
    </row>
    <row r="1534" spans="1:21" ht="17.399999999999999" x14ac:dyDescent="0.3">
      <c r="A1534" s="21" t="s">
        <v>1734</v>
      </c>
      <c r="B1534" s="21" t="s">
        <v>1735</v>
      </c>
      <c r="C1534" s="23" t="s">
        <v>3515</v>
      </c>
      <c r="D1534" s="21" t="s">
        <v>3520</v>
      </c>
      <c r="E1534" s="24">
        <v>45211</v>
      </c>
      <c r="F1534" s="24">
        <v>45216</v>
      </c>
      <c r="G1534" s="22" t="s">
        <v>16</v>
      </c>
      <c r="H1534" s="25">
        <v>8561</v>
      </c>
      <c r="I1534" s="25">
        <v>100</v>
      </c>
      <c r="J1534" s="26">
        <v>125.37</v>
      </c>
      <c r="K1534" s="25">
        <v>7</v>
      </c>
      <c r="L1534" s="21" t="s">
        <v>21</v>
      </c>
      <c r="M1534" s="22" t="s">
        <v>16</v>
      </c>
      <c r="N1534" s="27">
        <f t="shared" si="184"/>
        <v>5</v>
      </c>
      <c r="O1534" s="28">
        <f t="shared" si="185"/>
        <v>1.1680878402055835E-2</v>
      </c>
      <c r="P1534" s="28">
        <f t="shared" si="186"/>
        <v>7.0000000000000007E-2</v>
      </c>
      <c r="Q1534" s="26">
        <f t="shared" si="187"/>
        <v>1.2537</v>
      </c>
      <c r="R1534" s="29">
        <f t="shared" si="188"/>
        <v>17.91</v>
      </c>
      <c r="S1534" s="30">
        <f t="shared" si="189"/>
        <v>10</v>
      </c>
      <c r="T1534" s="30">
        <f t="shared" si="190"/>
        <v>2023</v>
      </c>
      <c r="U1534" s="29" t="str">
        <f t="shared" si="191"/>
        <v>October</v>
      </c>
    </row>
    <row r="1535" spans="1:21" ht="17.399999999999999" x14ac:dyDescent="0.3">
      <c r="A1535" s="21" t="s">
        <v>656</v>
      </c>
      <c r="B1535" s="22" t="s">
        <v>3947</v>
      </c>
      <c r="C1535" s="23" t="s">
        <v>3519</v>
      </c>
      <c r="D1535" s="22" t="s">
        <v>3545</v>
      </c>
      <c r="E1535" s="24">
        <v>45212</v>
      </c>
      <c r="F1535" s="24">
        <v>45235</v>
      </c>
      <c r="G1535" s="22" t="s">
        <v>11</v>
      </c>
      <c r="H1535" s="25">
        <v>34828</v>
      </c>
      <c r="I1535" s="25">
        <v>790</v>
      </c>
      <c r="J1535" s="26">
        <v>905.87</v>
      </c>
      <c r="K1535" s="25">
        <v>0</v>
      </c>
      <c r="L1535" s="21" t="s">
        <v>17</v>
      </c>
      <c r="M1535" s="22" t="s">
        <v>11</v>
      </c>
      <c r="N1535" s="27">
        <f t="shared" si="184"/>
        <v>23</v>
      </c>
      <c r="O1535" s="28">
        <f t="shared" si="185"/>
        <v>2.2682898817043759E-2</v>
      </c>
      <c r="P1535" s="28">
        <f t="shared" si="186"/>
        <v>0</v>
      </c>
      <c r="Q1535" s="26">
        <f t="shared" si="187"/>
        <v>1.1466708860759494</v>
      </c>
      <c r="R1535" s="29" t="str">
        <f t="shared" si="188"/>
        <v>0</v>
      </c>
      <c r="S1535" s="30">
        <f t="shared" si="189"/>
        <v>10</v>
      </c>
      <c r="T1535" s="30">
        <f t="shared" si="190"/>
        <v>2023</v>
      </c>
      <c r="U1535" s="29" t="str">
        <f t="shared" si="191"/>
        <v>October</v>
      </c>
    </row>
    <row r="1536" spans="1:21" ht="17.399999999999999" x14ac:dyDescent="0.3">
      <c r="A1536" s="21" t="s">
        <v>1403</v>
      </c>
      <c r="B1536" s="21" t="s">
        <v>1404</v>
      </c>
      <c r="C1536" s="23" t="s">
        <v>3518</v>
      </c>
      <c r="D1536" s="21" t="s">
        <v>3517</v>
      </c>
      <c r="E1536" s="24">
        <v>45212</v>
      </c>
      <c r="F1536" s="24">
        <v>45222</v>
      </c>
      <c r="G1536" s="22" t="s">
        <v>14</v>
      </c>
      <c r="H1536" s="25">
        <v>24833</v>
      </c>
      <c r="I1536" s="25">
        <v>281</v>
      </c>
      <c r="J1536" s="26">
        <v>293.39999999999998</v>
      </c>
      <c r="K1536" s="25">
        <v>27</v>
      </c>
      <c r="L1536" s="21" t="s">
        <v>17</v>
      </c>
      <c r="M1536" s="22" t="s">
        <v>3537</v>
      </c>
      <c r="N1536" s="27">
        <f t="shared" si="184"/>
        <v>10</v>
      </c>
      <c r="O1536" s="28">
        <f t="shared" si="185"/>
        <v>1.1315588128699714E-2</v>
      </c>
      <c r="P1536" s="28">
        <f t="shared" si="186"/>
        <v>9.6085409252669035E-2</v>
      </c>
      <c r="Q1536" s="26">
        <f t="shared" si="187"/>
        <v>1.0441281138790035</v>
      </c>
      <c r="R1536" s="29">
        <f t="shared" si="188"/>
        <v>10.866666666666665</v>
      </c>
      <c r="S1536" s="30">
        <f t="shared" si="189"/>
        <v>10</v>
      </c>
      <c r="T1536" s="30">
        <f t="shared" si="190"/>
        <v>2023</v>
      </c>
      <c r="U1536" s="29" t="str">
        <f t="shared" si="191"/>
        <v>October</v>
      </c>
    </row>
    <row r="1537" spans="1:21" ht="17.399999999999999" x14ac:dyDescent="0.3">
      <c r="A1537" s="21" t="s">
        <v>3019</v>
      </c>
      <c r="B1537" s="21" t="s">
        <v>3020</v>
      </c>
      <c r="C1537" s="23" t="s">
        <v>3516</v>
      </c>
      <c r="D1537" s="21" t="s">
        <v>3521</v>
      </c>
      <c r="E1537" s="24">
        <v>45212</v>
      </c>
      <c r="F1537" s="24">
        <v>45240</v>
      </c>
      <c r="G1537" s="22" t="s">
        <v>14</v>
      </c>
      <c r="H1537" s="25">
        <v>12303</v>
      </c>
      <c r="I1537" s="25">
        <v>604</v>
      </c>
      <c r="J1537" s="26">
        <v>599.52</v>
      </c>
      <c r="K1537" s="25">
        <v>31</v>
      </c>
      <c r="L1537" s="21" t="s">
        <v>21</v>
      </c>
      <c r="M1537" s="22" t="s">
        <v>3537</v>
      </c>
      <c r="N1537" s="27">
        <f t="shared" si="184"/>
        <v>28</v>
      </c>
      <c r="O1537" s="28">
        <f t="shared" si="185"/>
        <v>4.9093716979598474E-2</v>
      </c>
      <c r="P1537" s="28">
        <f t="shared" si="186"/>
        <v>5.1324503311258277E-2</v>
      </c>
      <c r="Q1537" s="26">
        <f t="shared" si="187"/>
        <v>0.99258278145695367</v>
      </c>
      <c r="R1537" s="29">
        <f t="shared" si="188"/>
        <v>19.339354838709678</v>
      </c>
      <c r="S1537" s="30">
        <f t="shared" si="189"/>
        <v>10</v>
      </c>
      <c r="T1537" s="30">
        <f t="shared" si="190"/>
        <v>2023</v>
      </c>
      <c r="U1537" s="29" t="str">
        <f t="shared" si="191"/>
        <v>October</v>
      </c>
    </row>
    <row r="1538" spans="1:21" ht="17.399999999999999" x14ac:dyDescent="0.3">
      <c r="A1538" s="21" t="s">
        <v>892</v>
      </c>
      <c r="B1538" s="21" t="s">
        <v>893</v>
      </c>
      <c r="C1538" s="23" t="s">
        <v>3515</v>
      </c>
      <c r="D1538" s="21" t="s">
        <v>3517</v>
      </c>
      <c r="E1538" s="24">
        <v>45212</v>
      </c>
      <c r="F1538" s="24">
        <v>45216</v>
      </c>
      <c r="G1538" s="22" t="s">
        <v>14</v>
      </c>
      <c r="H1538" s="25">
        <v>55340</v>
      </c>
      <c r="I1538" s="25">
        <v>1118</v>
      </c>
      <c r="J1538" s="26">
        <v>824.48</v>
      </c>
      <c r="K1538" s="25">
        <v>66</v>
      </c>
      <c r="L1538" s="21" t="s">
        <v>17</v>
      </c>
      <c r="M1538" s="22" t="s">
        <v>3537</v>
      </c>
      <c r="N1538" s="27">
        <f t="shared" ref="N1538:N1601" si="192">F1538-E1538</f>
        <v>4</v>
      </c>
      <c r="O1538" s="28">
        <f t="shared" ref="O1538:O1601" si="193">I1538/H1538</f>
        <v>2.0202385254788579E-2</v>
      </c>
      <c r="P1538" s="28">
        <f t="shared" ref="P1538:P1601" si="194">K1538/I1538</f>
        <v>5.9033989266547404E-2</v>
      </c>
      <c r="Q1538" s="26">
        <f t="shared" ref="Q1538:Q1601" si="195">J1538/I1538</f>
        <v>0.73745974955277283</v>
      </c>
      <c r="R1538" s="29">
        <f t="shared" ref="R1538:R1601" si="196">IFERROR(J1538/K1538,"0")</f>
        <v>12.492121212121212</v>
      </c>
      <c r="S1538" s="30">
        <f t="shared" ref="S1538:S1601" si="197">MONTH(E1538)</f>
        <v>10</v>
      </c>
      <c r="T1538" s="30">
        <f t="shared" ref="T1538:T1601" si="198">YEAR(E1538)</f>
        <v>2023</v>
      </c>
      <c r="U1538" s="29" t="str">
        <f t="shared" ref="U1538:U1601" si="199">TEXT(E1538,"mmmm")</f>
        <v>October</v>
      </c>
    </row>
    <row r="1539" spans="1:21" ht="17.399999999999999" x14ac:dyDescent="0.3">
      <c r="A1539" s="21" t="s">
        <v>2369</v>
      </c>
      <c r="B1539" s="22" t="s">
        <v>3948</v>
      </c>
      <c r="C1539" s="23" t="s">
        <v>3515</v>
      </c>
      <c r="D1539" s="22" t="s">
        <v>3545</v>
      </c>
      <c r="E1539" s="24">
        <v>45212</v>
      </c>
      <c r="F1539" s="24">
        <v>45217</v>
      </c>
      <c r="G1539" s="22" t="s">
        <v>11</v>
      </c>
      <c r="H1539" s="25">
        <v>18327</v>
      </c>
      <c r="I1539" s="25">
        <v>723</v>
      </c>
      <c r="J1539" s="26">
        <v>1126.76</v>
      </c>
      <c r="K1539" s="25">
        <v>122</v>
      </c>
      <c r="L1539" s="21" t="s">
        <v>21</v>
      </c>
      <c r="M1539" s="22" t="s">
        <v>11</v>
      </c>
      <c r="N1539" s="27">
        <f t="shared" si="192"/>
        <v>5</v>
      </c>
      <c r="O1539" s="28">
        <f t="shared" si="193"/>
        <v>3.9449991815354392E-2</v>
      </c>
      <c r="P1539" s="28">
        <f t="shared" si="194"/>
        <v>0.16874135546334718</v>
      </c>
      <c r="Q1539" s="26">
        <f t="shared" si="195"/>
        <v>1.5584508990318118</v>
      </c>
      <c r="R1539" s="29">
        <f t="shared" si="196"/>
        <v>9.2357377049180336</v>
      </c>
      <c r="S1539" s="30">
        <f t="shared" si="197"/>
        <v>10</v>
      </c>
      <c r="T1539" s="30">
        <f t="shared" si="198"/>
        <v>2023</v>
      </c>
      <c r="U1539" s="29" t="str">
        <f t="shared" si="199"/>
        <v>October</v>
      </c>
    </row>
    <row r="1540" spans="1:21" ht="17.399999999999999" x14ac:dyDescent="0.3">
      <c r="A1540" s="21" t="s">
        <v>3077</v>
      </c>
      <c r="B1540" s="21" t="s">
        <v>3078</v>
      </c>
      <c r="C1540" s="23" t="s">
        <v>3515</v>
      </c>
      <c r="D1540" s="21" t="s">
        <v>3520</v>
      </c>
      <c r="E1540" s="24">
        <v>45212</v>
      </c>
      <c r="F1540" s="24">
        <v>45238</v>
      </c>
      <c r="G1540" s="22" t="s">
        <v>11</v>
      </c>
      <c r="H1540" s="25">
        <v>93241</v>
      </c>
      <c r="I1540" s="25">
        <v>1369</v>
      </c>
      <c r="J1540" s="26">
        <v>1262.25</v>
      </c>
      <c r="K1540" s="25">
        <v>257</v>
      </c>
      <c r="L1540" s="21" t="s">
        <v>21</v>
      </c>
      <c r="M1540" s="22" t="s">
        <v>11</v>
      </c>
      <c r="N1540" s="27">
        <f t="shared" si="192"/>
        <v>26</v>
      </c>
      <c r="O1540" s="28">
        <f t="shared" si="193"/>
        <v>1.4682382213832971E-2</v>
      </c>
      <c r="P1540" s="28">
        <f t="shared" si="194"/>
        <v>0.1877282688093499</v>
      </c>
      <c r="Q1540" s="26">
        <f t="shared" si="195"/>
        <v>0.92202337472607743</v>
      </c>
      <c r="R1540" s="29">
        <f t="shared" si="196"/>
        <v>4.9114785992217902</v>
      </c>
      <c r="S1540" s="30">
        <f t="shared" si="197"/>
        <v>10</v>
      </c>
      <c r="T1540" s="30">
        <f t="shared" si="198"/>
        <v>2023</v>
      </c>
      <c r="U1540" s="29" t="str">
        <f t="shared" si="199"/>
        <v>October</v>
      </c>
    </row>
    <row r="1541" spans="1:21" ht="17.399999999999999" x14ac:dyDescent="0.3">
      <c r="A1541" s="21" t="s">
        <v>306</v>
      </c>
      <c r="B1541" s="21" t="s">
        <v>307</v>
      </c>
      <c r="C1541" s="23" t="s">
        <v>3518</v>
      </c>
      <c r="D1541" s="21" t="s">
        <v>3520</v>
      </c>
      <c r="E1541" s="24">
        <v>45213</v>
      </c>
      <c r="F1541" s="24">
        <v>45224</v>
      </c>
      <c r="G1541" s="22" t="s">
        <v>31</v>
      </c>
      <c r="H1541" s="25">
        <v>26939</v>
      </c>
      <c r="I1541" s="25">
        <v>1087</v>
      </c>
      <c r="J1541" s="26">
        <v>2135.17</v>
      </c>
      <c r="K1541" s="25">
        <v>172</v>
      </c>
      <c r="L1541" s="21" t="s">
        <v>21</v>
      </c>
      <c r="M1541" s="22" t="s">
        <v>31</v>
      </c>
      <c r="N1541" s="27">
        <f t="shared" si="192"/>
        <v>11</v>
      </c>
      <c r="O1541" s="28">
        <f t="shared" si="193"/>
        <v>4.035042132224656E-2</v>
      </c>
      <c r="P1541" s="28">
        <f t="shared" si="194"/>
        <v>0.15823367065317387</v>
      </c>
      <c r="Q1541" s="26">
        <f t="shared" si="195"/>
        <v>1.9642778288868445</v>
      </c>
      <c r="R1541" s="29">
        <f t="shared" si="196"/>
        <v>12.413779069767441</v>
      </c>
      <c r="S1541" s="30">
        <f t="shared" si="197"/>
        <v>10</v>
      </c>
      <c r="T1541" s="30">
        <f t="shared" si="198"/>
        <v>2023</v>
      </c>
      <c r="U1541" s="29" t="str">
        <f t="shared" si="199"/>
        <v>October</v>
      </c>
    </row>
    <row r="1542" spans="1:21" ht="17.399999999999999" x14ac:dyDescent="0.3">
      <c r="A1542" s="21" t="s">
        <v>902</v>
      </c>
      <c r="B1542" s="21" t="s">
        <v>903</v>
      </c>
      <c r="C1542" s="23" t="s">
        <v>3516</v>
      </c>
      <c r="D1542" s="21" t="s">
        <v>3521</v>
      </c>
      <c r="E1542" s="24">
        <v>45213</v>
      </c>
      <c r="F1542" s="24">
        <v>45215</v>
      </c>
      <c r="G1542" s="22" t="s">
        <v>11</v>
      </c>
      <c r="H1542" s="25">
        <v>61403</v>
      </c>
      <c r="I1542" s="25">
        <v>1405</v>
      </c>
      <c r="J1542" s="26">
        <v>2626.42</v>
      </c>
      <c r="K1542" s="25">
        <v>97</v>
      </c>
      <c r="L1542" s="21" t="s">
        <v>21</v>
      </c>
      <c r="M1542" s="22" t="s">
        <v>11</v>
      </c>
      <c r="N1542" s="27">
        <f t="shared" si="192"/>
        <v>2</v>
      </c>
      <c r="O1542" s="28">
        <f t="shared" si="193"/>
        <v>2.2881618161979058E-2</v>
      </c>
      <c r="P1542" s="28">
        <f t="shared" si="194"/>
        <v>6.9039145907473315E-2</v>
      </c>
      <c r="Q1542" s="26">
        <f t="shared" si="195"/>
        <v>1.869338078291815</v>
      </c>
      <c r="R1542" s="29">
        <f t="shared" si="196"/>
        <v>27.076494845360827</v>
      </c>
      <c r="S1542" s="30">
        <f t="shared" si="197"/>
        <v>10</v>
      </c>
      <c r="T1542" s="30">
        <f t="shared" si="198"/>
        <v>2023</v>
      </c>
      <c r="U1542" s="29" t="str">
        <f t="shared" si="199"/>
        <v>October</v>
      </c>
    </row>
    <row r="1543" spans="1:21" ht="17.399999999999999" x14ac:dyDescent="0.3">
      <c r="A1543" s="21" t="s">
        <v>1626</v>
      </c>
      <c r="B1543" s="21" t="s">
        <v>1627</v>
      </c>
      <c r="C1543" s="23" t="s">
        <v>3516</v>
      </c>
      <c r="D1543" s="21" t="s">
        <v>3520</v>
      </c>
      <c r="E1543" s="24">
        <v>45213</v>
      </c>
      <c r="F1543" s="24">
        <v>45234</v>
      </c>
      <c r="G1543" s="22" t="s">
        <v>14</v>
      </c>
      <c r="H1543" s="25">
        <v>80252</v>
      </c>
      <c r="I1543" s="25">
        <v>2180</v>
      </c>
      <c r="J1543" s="26">
        <v>4133.2</v>
      </c>
      <c r="K1543" s="25">
        <v>181</v>
      </c>
      <c r="L1543" s="21" t="s">
        <v>17</v>
      </c>
      <c r="M1543" s="22" t="s">
        <v>3537</v>
      </c>
      <c r="N1543" s="27">
        <f t="shared" si="192"/>
        <v>21</v>
      </c>
      <c r="O1543" s="28">
        <f t="shared" si="193"/>
        <v>2.7164432039076907E-2</v>
      </c>
      <c r="P1543" s="28">
        <f t="shared" si="194"/>
        <v>8.3027522935779821E-2</v>
      </c>
      <c r="Q1543" s="26">
        <f t="shared" si="195"/>
        <v>1.8959633027522935</v>
      </c>
      <c r="R1543" s="29">
        <f t="shared" si="196"/>
        <v>22.835359116022097</v>
      </c>
      <c r="S1543" s="30">
        <f t="shared" si="197"/>
        <v>10</v>
      </c>
      <c r="T1543" s="30">
        <f t="shared" si="198"/>
        <v>2023</v>
      </c>
      <c r="U1543" s="29" t="str">
        <f t="shared" si="199"/>
        <v>October</v>
      </c>
    </row>
    <row r="1544" spans="1:21" ht="17.399999999999999" x14ac:dyDescent="0.3">
      <c r="A1544" s="21" t="s">
        <v>2775</v>
      </c>
      <c r="B1544" s="21" t="s">
        <v>2776</v>
      </c>
      <c r="C1544" s="23" t="s">
        <v>3516</v>
      </c>
      <c r="D1544" s="21" t="s">
        <v>3521</v>
      </c>
      <c r="E1544" s="24">
        <v>45213</v>
      </c>
      <c r="F1544" s="24">
        <v>45241</v>
      </c>
      <c r="G1544" s="22" t="s">
        <v>24</v>
      </c>
      <c r="H1544" s="25">
        <v>76532</v>
      </c>
      <c r="I1544" s="25">
        <v>1874</v>
      </c>
      <c r="J1544" s="26">
        <v>1250.3900000000001</v>
      </c>
      <c r="K1544" s="25">
        <v>308</v>
      </c>
      <c r="L1544" s="21" t="s">
        <v>21</v>
      </c>
      <c r="M1544" s="22" t="s">
        <v>3536</v>
      </c>
      <c r="N1544" s="27">
        <f t="shared" si="192"/>
        <v>28</v>
      </c>
      <c r="O1544" s="28">
        <f t="shared" si="193"/>
        <v>2.4486489311660482E-2</v>
      </c>
      <c r="P1544" s="28">
        <f t="shared" si="194"/>
        <v>0.16435432230522945</v>
      </c>
      <c r="Q1544" s="26">
        <f t="shared" si="195"/>
        <v>0.66723052294557106</v>
      </c>
      <c r="R1544" s="29">
        <f t="shared" si="196"/>
        <v>4.0597077922077922</v>
      </c>
      <c r="S1544" s="30">
        <f t="shared" si="197"/>
        <v>10</v>
      </c>
      <c r="T1544" s="30">
        <f t="shared" si="198"/>
        <v>2023</v>
      </c>
      <c r="U1544" s="29" t="str">
        <f t="shared" si="199"/>
        <v>October</v>
      </c>
    </row>
    <row r="1545" spans="1:21" ht="17.399999999999999" x14ac:dyDescent="0.3">
      <c r="A1545" s="21" t="s">
        <v>224</v>
      </c>
      <c r="B1545" s="21" t="s">
        <v>225</v>
      </c>
      <c r="C1545" s="23" t="s">
        <v>3515</v>
      </c>
      <c r="D1545" s="21" t="s">
        <v>3520</v>
      </c>
      <c r="E1545" s="24">
        <v>45213</v>
      </c>
      <c r="F1545" s="24">
        <v>45214</v>
      </c>
      <c r="G1545" s="22" t="s">
        <v>24</v>
      </c>
      <c r="H1545" s="25">
        <v>90135</v>
      </c>
      <c r="I1545" s="25">
        <v>964</v>
      </c>
      <c r="J1545" s="26">
        <v>1854.54</v>
      </c>
      <c r="K1545" s="25">
        <v>61</v>
      </c>
      <c r="L1545" s="21" t="s">
        <v>21</v>
      </c>
      <c r="M1545" s="22" t="s">
        <v>3536</v>
      </c>
      <c r="N1545" s="27">
        <f t="shared" si="192"/>
        <v>1</v>
      </c>
      <c r="O1545" s="28">
        <f t="shared" si="193"/>
        <v>1.0695068508348587E-2</v>
      </c>
      <c r="P1545" s="28">
        <f t="shared" si="194"/>
        <v>6.3278008298755184E-2</v>
      </c>
      <c r="Q1545" s="26">
        <f t="shared" si="195"/>
        <v>1.9237966804979252</v>
      </c>
      <c r="R1545" s="29">
        <f t="shared" si="196"/>
        <v>30.402295081967214</v>
      </c>
      <c r="S1545" s="30">
        <f t="shared" si="197"/>
        <v>10</v>
      </c>
      <c r="T1545" s="30">
        <f t="shared" si="198"/>
        <v>2023</v>
      </c>
      <c r="U1545" s="29" t="str">
        <f t="shared" si="199"/>
        <v>October</v>
      </c>
    </row>
    <row r="1546" spans="1:21" ht="17.399999999999999" x14ac:dyDescent="0.3">
      <c r="A1546" s="21" t="s">
        <v>2228</v>
      </c>
      <c r="B1546" s="21" t="s">
        <v>2229</v>
      </c>
      <c r="C1546" s="23" t="s">
        <v>3515</v>
      </c>
      <c r="D1546" s="21" t="s">
        <v>3521</v>
      </c>
      <c r="E1546" s="24">
        <v>45213</v>
      </c>
      <c r="F1546" s="24">
        <v>45235</v>
      </c>
      <c r="G1546" s="22" t="s">
        <v>16</v>
      </c>
      <c r="H1546" s="25">
        <v>71480</v>
      </c>
      <c r="I1546" s="25">
        <v>2536</v>
      </c>
      <c r="J1546" s="26">
        <v>1475.19</v>
      </c>
      <c r="K1546" s="25">
        <v>400</v>
      </c>
      <c r="L1546" s="21" t="s">
        <v>21</v>
      </c>
      <c r="M1546" s="22" t="s">
        <v>16</v>
      </c>
      <c r="N1546" s="27">
        <f t="shared" si="192"/>
        <v>22</v>
      </c>
      <c r="O1546" s="28">
        <f t="shared" si="193"/>
        <v>3.547845551203134E-2</v>
      </c>
      <c r="P1546" s="28">
        <f t="shared" si="194"/>
        <v>0.15772870662460567</v>
      </c>
      <c r="Q1546" s="26">
        <f t="shared" si="195"/>
        <v>0.58169952681388015</v>
      </c>
      <c r="R1546" s="29">
        <f t="shared" si="196"/>
        <v>3.6879750000000002</v>
      </c>
      <c r="S1546" s="30">
        <f t="shared" si="197"/>
        <v>10</v>
      </c>
      <c r="T1546" s="30">
        <f t="shared" si="198"/>
        <v>2023</v>
      </c>
      <c r="U1546" s="29" t="str">
        <f t="shared" si="199"/>
        <v>October</v>
      </c>
    </row>
    <row r="1547" spans="1:21" ht="17.399999999999999" x14ac:dyDescent="0.3">
      <c r="A1547" s="21" t="s">
        <v>2782</v>
      </c>
      <c r="B1547" s="21" t="s">
        <v>2783</v>
      </c>
      <c r="C1547" s="23" t="s">
        <v>3515</v>
      </c>
      <c r="D1547" s="21" t="s">
        <v>3517</v>
      </c>
      <c r="E1547" s="24">
        <v>45213</v>
      </c>
      <c r="F1547" s="24">
        <v>45243</v>
      </c>
      <c r="G1547" s="22" t="s">
        <v>14</v>
      </c>
      <c r="H1547" s="25">
        <v>14919</v>
      </c>
      <c r="I1547" s="25">
        <v>155</v>
      </c>
      <c r="J1547" s="26">
        <v>133.35</v>
      </c>
      <c r="K1547" s="25">
        <v>16</v>
      </c>
      <c r="L1547" s="21" t="s">
        <v>17</v>
      </c>
      <c r="M1547" s="22" t="s">
        <v>3537</v>
      </c>
      <c r="N1547" s="27">
        <f t="shared" si="192"/>
        <v>30</v>
      </c>
      <c r="O1547" s="28">
        <f t="shared" si="193"/>
        <v>1.0389436289295529E-2</v>
      </c>
      <c r="P1547" s="28">
        <f t="shared" si="194"/>
        <v>0.1032258064516129</v>
      </c>
      <c r="Q1547" s="26">
        <f t="shared" si="195"/>
        <v>0.86032258064516121</v>
      </c>
      <c r="R1547" s="29">
        <f t="shared" si="196"/>
        <v>8.3343749999999996</v>
      </c>
      <c r="S1547" s="30">
        <f t="shared" si="197"/>
        <v>10</v>
      </c>
      <c r="T1547" s="30">
        <f t="shared" si="198"/>
        <v>2023</v>
      </c>
      <c r="U1547" s="29" t="str">
        <f t="shared" si="199"/>
        <v>October</v>
      </c>
    </row>
    <row r="1548" spans="1:21" ht="17.399999999999999" x14ac:dyDescent="0.3">
      <c r="A1548" s="21" t="s">
        <v>2009</v>
      </c>
      <c r="B1548" s="21" t="s">
        <v>2010</v>
      </c>
      <c r="C1548" s="23" t="s">
        <v>3519</v>
      </c>
      <c r="D1548" s="21" t="s">
        <v>3517</v>
      </c>
      <c r="E1548" s="24">
        <v>45214</v>
      </c>
      <c r="F1548" s="24">
        <v>45219</v>
      </c>
      <c r="G1548" s="22" t="s">
        <v>31</v>
      </c>
      <c r="H1548" s="25">
        <v>57819</v>
      </c>
      <c r="I1548" s="25">
        <v>2411</v>
      </c>
      <c r="J1548" s="26">
        <v>3494.03</v>
      </c>
      <c r="K1548" s="25">
        <v>296</v>
      </c>
      <c r="L1548" s="21" t="s">
        <v>21</v>
      </c>
      <c r="M1548" s="22" t="s">
        <v>31</v>
      </c>
      <c r="N1548" s="27">
        <f t="shared" si="192"/>
        <v>5</v>
      </c>
      <c r="O1548" s="28">
        <f t="shared" si="193"/>
        <v>4.1699095453051768E-2</v>
      </c>
      <c r="P1548" s="28">
        <f t="shared" si="194"/>
        <v>0.12277063459145583</v>
      </c>
      <c r="Q1548" s="26">
        <f t="shared" si="195"/>
        <v>1.4492036499377852</v>
      </c>
      <c r="R1548" s="29">
        <f t="shared" si="196"/>
        <v>11.804155405405407</v>
      </c>
      <c r="S1548" s="30">
        <f t="shared" si="197"/>
        <v>10</v>
      </c>
      <c r="T1548" s="30">
        <f t="shared" si="198"/>
        <v>2023</v>
      </c>
      <c r="U1548" s="29" t="str">
        <f t="shared" si="199"/>
        <v>October</v>
      </c>
    </row>
    <row r="1549" spans="1:21" ht="17.399999999999999" x14ac:dyDescent="0.3">
      <c r="A1549" s="21" t="s">
        <v>2449</v>
      </c>
      <c r="B1549" s="21" t="s">
        <v>2450</v>
      </c>
      <c r="C1549" s="23" t="s">
        <v>3519</v>
      </c>
      <c r="D1549" s="21" t="s">
        <v>3520</v>
      </c>
      <c r="E1549" s="24">
        <v>45214</v>
      </c>
      <c r="F1549" s="24">
        <v>45226</v>
      </c>
      <c r="G1549" s="22" t="s">
        <v>11</v>
      </c>
      <c r="H1549" s="25">
        <v>24752</v>
      </c>
      <c r="I1549" s="25">
        <v>809</v>
      </c>
      <c r="J1549" s="26">
        <v>1206.3800000000001</v>
      </c>
      <c r="K1549" s="25">
        <v>41</v>
      </c>
      <c r="L1549" s="21" t="s">
        <v>21</v>
      </c>
      <c r="M1549" s="22" t="s">
        <v>11</v>
      </c>
      <c r="N1549" s="27">
        <f t="shared" si="192"/>
        <v>12</v>
      </c>
      <c r="O1549" s="28">
        <f t="shared" si="193"/>
        <v>3.2684227537168715E-2</v>
      </c>
      <c r="P1549" s="28">
        <f t="shared" si="194"/>
        <v>5.0679851668726822E-2</v>
      </c>
      <c r="Q1549" s="26">
        <f t="shared" si="195"/>
        <v>1.4911990111248457</v>
      </c>
      <c r="R1549" s="29">
        <f t="shared" si="196"/>
        <v>29.423902439024392</v>
      </c>
      <c r="S1549" s="30">
        <f t="shared" si="197"/>
        <v>10</v>
      </c>
      <c r="T1549" s="30">
        <f t="shared" si="198"/>
        <v>2023</v>
      </c>
      <c r="U1549" s="29" t="str">
        <f t="shared" si="199"/>
        <v>October</v>
      </c>
    </row>
    <row r="1550" spans="1:21" ht="17.399999999999999" x14ac:dyDescent="0.3">
      <c r="A1550" s="21" t="s">
        <v>774</v>
      </c>
      <c r="B1550" s="21" t="s">
        <v>775</v>
      </c>
      <c r="C1550" s="23" t="s">
        <v>3518</v>
      </c>
      <c r="D1550" s="21" t="s">
        <v>3521</v>
      </c>
      <c r="E1550" s="24">
        <v>45214</v>
      </c>
      <c r="F1550" s="24">
        <v>45240</v>
      </c>
      <c r="G1550" s="22" t="s">
        <v>14</v>
      </c>
      <c r="H1550" s="25">
        <v>96285</v>
      </c>
      <c r="I1550" s="25">
        <v>2393</v>
      </c>
      <c r="J1550" s="26">
        <v>3363.83</v>
      </c>
      <c r="K1550" s="25">
        <v>197</v>
      </c>
      <c r="L1550" s="21" t="s">
        <v>21</v>
      </c>
      <c r="M1550" s="22" t="s">
        <v>3537</v>
      </c>
      <c r="N1550" s="27">
        <f t="shared" si="192"/>
        <v>26</v>
      </c>
      <c r="O1550" s="28">
        <f t="shared" si="193"/>
        <v>2.4853300098665421E-2</v>
      </c>
      <c r="P1550" s="28">
        <f t="shared" si="194"/>
        <v>8.2323443376514829E-2</v>
      </c>
      <c r="Q1550" s="26">
        <f t="shared" si="195"/>
        <v>1.4056957793564564</v>
      </c>
      <c r="R1550" s="29">
        <f t="shared" si="196"/>
        <v>17.075279187817259</v>
      </c>
      <c r="S1550" s="30">
        <f t="shared" si="197"/>
        <v>10</v>
      </c>
      <c r="T1550" s="30">
        <f t="shared" si="198"/>
        <v>2023</v>
      </c>
      <c r="U1550" s="29" t="str">
        <f t="shared" si="199"/>
        <v>October</v>
      </c>
    </row>
    <row r="1551" spans="1:21" ht="17.399999999999999" x14ac:dyDescent="0.3">
      <c r="A1551" s="21" t="s">
        <v>2390</v>
      </c>
      <c r="B1551" s="22" t="s">
        <v>3949</v>
      </c>
      <c r="C1551" s="23" t="s">
        <v>3518</v>
      </c>
      <c r="D1551" s="22" t="s">
        <v>3545</v>
      </c>
      <c r="E1551" s="24">
        <v>45214</v>
      </c>
      <c r="F1551" s="24">
        <v>45232</v>
      </c>
      <c r="G1551" s="22" t="s">
        <v>3535</v>
      </c>
      <c r="H1551" s="25">
        <v>32419</v>
      </c>
      <c r="I1551" s="25">
        <v>1216</v>
      </c>
      <c r="J1551" s="26">
        <v>1756.44</v>
      </c>
      <c r="K1551" s="25">
        <v>198</v>
      </c>
      <c r="L1551" s="21" t="s">
        <v>21</v>
      </c>
      <c r="M1551" s="22" t="s">
        <v>3535</v>
      </c>
      <c r="N1551" s="27">
        <f t="shared" si="192"/>
        <v>18</v>
      </c>
      <c r="O1551" s="28">
        <f t="shared" si="193"/>
        <v>3.7508868256269472E-2</v>
      </c>
      <c r="P1551" s="28">
        <f t="shared" si="194"/>
        <v>0.16282894736842105</v>
      </c>
      <c r="Q1551" s="26">
        <f t="shared" si="195"/>
        <v>1.4444407894736842</v>
      </c>
      <c r="R1551" s="29">
        <f t="shared" si="196"/>
        <v>8.8709090909090911</v>
      </c>
      <c r="S1551" s="30">
        <f t="shared" si="197"/>
        <v>10</v>
      </c>
      <c r="T1551" s="30">
        <f t="shared" si="198"/>
        <v>2023</v>
      </c>
      <c r="U1551" s="29" t="str">
        <f t="shared" si="199"/>
        <v>October</v>
      </c>
    </row>
    <row r="1552" spans="1:21" ht="17.399999999999999" x14ac:dyDescent="0.3">
      <c r="A1552" s="21" t="s">
        <v>760</v>
      </c>
      <c r="B1552" s="21" t="s">
        <v>761</v>
      </c>
      <c r="C1552" s="23" t="s">
        <v>3516</v>
      </c>
      <c r="D1552" s="21" t="s">
        <v>3517</v>
      </c>
      <c r="E1552" s="24">
        <v>45214</v>
      </c>
      <c r="F1552" s="24">
        <v>45231</v>
      </c>
      <c r="G1552" s="22" t="s">
        <v>11</v>
      </c>
      <c r="H1552" s="25">
        <v>51300</v>
      </c>
      <c r="I1552" s="25">
        <v>902</v>
      </c>
      <c r="J1552" s="26">
        <v>933.71</v>
      </c>
      <c r="K1552" s="25">
        <v>62</v>
      </c>
      <c r="L1552" s="21" t="s">
        <v>17</v>
      </c>
      <c r="M1552" s="22" t="s">
        <v>11</v>
      </c>
      <c r="N1552" s="27">
        <f t="shared" si="192"/>
        <v>17</v>
      </c>
      <c r="O1552" s="28">
        <f t="shared" si="193"/>
        <v>1.7582846003898634E-2</v>
      </c>
      <c r="P1552" s="28">
        <f t="shared" si="194"/>
        <v>6.8736141906873618E-2</v>
      </c>
      <c r="Q1552" s="26">
        <f t="shared" si="195"/>
        <v>1.0351552106430155</v>
      </c>
      <c r="R1552" s="29">
        <f t="shared" si="196"/>
        <v>15.05983870967742</v>
      </c>
      <c r="S1552" s="30">
        <f t="shared" si="197"/>
        <v>10</v>
      </c>
      <c r="T1552" s="30">
        <f t="shared" si="198"/>
        <v>2023</v>
      </c>
      <c r="U1552" s="29" t="str">
        <f t="shared" si="199"/>
        <v>October</v>
      </c>
    </row>
    <row r="1553" spans="1:21" ht="17.399999999999999" x14ac:dyDescent="0.3">
      <c r="A1553" s="21" t="s">
        <v>1062</v>
      </c>
      <c r="B1553" s="21" t="s">
        <v>1063</v>
      </c>
      <c r="C1553" s="23" t="s">
        <v>3516</v>
      </c>
      <c r="D1553" s="21" t="s">
        <v>3521</v>
      </c>
      <c r="E1553" s="24">
        <v>45214</v>
      </c>
      <c r="F1553" s="24">
        <v>45216</v>
      </c>
      <c r="G1553" s="22" t="s">
        <v>3535</v>
      </c>
      <c r="H1553" s="25">
        <v>60031</v>
      </c>
      <c r="I1553" s="25">
        <v>2192</v>
      </c>
      <c r="J1553" s="26">
        <v>3793.56</v>
      </c>
      <c r="K1553" s="25">
        <v>317</v>
      </c>
      <c r="L1553" s="21" t="s">
        <v>21</v>
      </c>
      <c r="M1553" s="22" t="s">
        <v>3535</v>
      </c>
      <c r="N1553" s="27">
        <f t="shared" si="192"/>
        <v>2</v>
      </c>
      <c r="O1553" s="28">
        <f t="shared" si="193"/>
        <v>3.6514467525112025E-2</v>
      </c>
      <c r="P1553" s="28">
        <f t="shared" si="194"/>
        <v>0.14461678832116789</v>
      </c>
      <c r="Q1553" s="26">
        <f t="shared" si="195"/>
        <v>1.7306386861313869</v>
      </c>
      <c r="R1553" s="29">
        <f t="shared" si="196"/>
        <v>11.967066246056783</v>
      </c>
      <c r="S1553" s="30">
        <f t="shared" si="197"/>
        <v>10</v>
      </c>
      <c r="T1553" s="30">
        <f t="shared" si="198"/>
        <v>2023</v>
      </c>
      <c r="U1553" s="29" t="str">
        <f t="shared" si="199"/>
        <v>October</v>
      </c>
    </row>
    <row r="1554" spans="1:21" ht="17.399999999999999" x14ac:dyDescent="0.3">
      <c r="A1554" s="21" t="s">
        <v>1214</v>
      </c>
      <c r="B1554" s="21" t="s">
        <v>1215</v>
      </c>
      <c r="C1554" s="23" t="s">
        <v>3516</v>
      </c>
      <c r="D1554" s="21" t="s">
        <v>3517</v>
      </c>
      <c r="E1554" s="24">
        <v>45214</v>
      </c>
      <c r="F1554" s="24">
        <v>45225</v>
      </c>
      <c r="G1554" s="22" t="s">
        <v>11</v>
      </c>
      <c r="H1554" s="25">
        <v>41262</v>
      </c>
      <c r="I1554" s="25">
        <v>1025</v>
      </c>
      <c r="J1554" s="26">
        <v>1640.88</v>
      </c>
      <c r="K1554" s="25">
        <v>64</v>
      </c>
      <c r="L1554" s="21" t="s">
        <v>17</v>
      </c>
      <c r="M1554" s="22" t="s">
        <v>11</v>
      </c>
      <c r="N1554" s="27">
        <f t="shared" si="192"/>
        <v>11</v>
      </c>
      <c r="O1554" s="28">
        <f t="shared" si="193"/>
        <v>2.4841258300615579E-2</v>
      </c>
      <c r="P1554" s="28">
        <f t="shared" si="194"/>
        <v>6.2439024390243902E-2</v>
      </c>
      <c r="Q1554" s="26">
        <f t="shared" si="195"/>
        <v>1.600858536585366</v>
      </c>
      <c r="R1554" s="29">
        <f t="shared" si="196"/>
        <v>25.638750000000002</v>
      </c>
      <c r="S1554" s="30">
        <f t="shared" si="197"/>
        <v>10</v>
      </c>
      <c r="T1554" s="30">
        <f t="shared" si="198"/>
        <v>2023</v>
      </c>
      <c r="U1554" s="29" t="str">
        <f t="shared" si="199"/>
        <v>October</v>
      </c>
    </row>
    <row r="1555" spans="1:21" ht="17.399999999999999" x14ac:dyDescent="0.3">
      <c r="A1555" s="21" t="s">
        <v>22</v>
      </c>
      <c r="B1555" s="21" t="s">
        <v>23</v>
      </c>
      <c r="C1555" s="23" t="s">
        <v>3515</v>
      </c>
      <c r="D1555" s="21" t="s">
        <v>3517</v>
      </c>
      <c r="E1555" s="24">
        <v>45214</v>
      </c>
      <c r="F1555" s="24">
        <v>45227</v>
      </c>
      <c r="G1555" s="22" t="s">
        <v>24</v>
      </c>
      <c r="H1555" s="25">
        <v>83386</v>
      </c>
      <c r="I1555" s="25">
        <v>2643</v>
      </c>
      <c r="J1555" s="26">
        <v>2697.03</v>
      </c>
      <c r="K1555" s="25">
        <v>0</v>
      </c>
      <c r="L1555" s="21" t="s">
        <v>21</v>
      </c>
      <c r="M1555" s="22" t="s">
        <v>3536</v>
      </c>
      <c r="N1555" s="27">
        <f t="shared" si="192"/>
        <v>13</v>
      </c>
      <c r="O1555" s="28">
        <f t="shared" si="193"/>
        <v>3.1695968148130381E-2</v>
      </c>
      <c r="P1555" s="28">
        <f t="shared" si="194"/>
        <v>0</v>
      </c>
      <c r="Q1555" s="26">
        <f t="shared" si="195"/>
        <v>1.0204426787741203</v>
      </c>
      <c r="R1555" s="29" t="str">
        <f t="shared" si="196"/>
        <v>0</v>
      </c>
      <c r="S1555" s="30">
        <f t="shared" si="197"/>
        <v>10</v>
      </c>
      <c r="T1555" s="30">
        <f t="shared" si="198"/>
        <v>2023</v>
      </c>
      <c r="U1555" s="29" t="str">
        <f t="shared" si="199"/>
        <v>October</v>
      </c>
    </row>
    <row r="1556" spans="1:21" ht="17.399999999999999" x14ac:dyDescent="0.3">
      <c r="A1556" s="21" t="s">
        <v>1136</v>
      </c>
      <c r="B1556" s="21" t="s">
        <v>1137</v>
      </c>
      <c r="C1556" s="23" t="s">
        <v>3515</v>
      </c>
      <c r="D1556" s="21" t="s">
        <v>3517</v>
      </c>
      <c r="E1556" s="24">
        <v>45214</v>
      </c>
      <c r="F1556" s="24">
        <v>45226</v>
      </c>
      <c r="G1556" s="22" t="s">
        <v>11</v>
      </c>
      <c r="H1556" s="25">
        <v>61566</v>
      </c>
      <c r="I1556" s="25">
        <v>3056</v>
      </c>
      <c r="J1556" s="26">
        <v>5460.87</v>
      </c>
      <c r="K1556" s="25">
        <v>216</v>
      </c>
      <c r="L1556" s="21" t="s">
        <v>17</v>
      </c>
      <c r="M1556" s="22" t="s">
        <v>11</v>
      </c>
      <c r="N1556" s="27">
        <f t="shared" si="192"/>
        <v>12</v>
      </c>
      <c r="O1556" s="28">
        <f t="shared" si="193"/>
        <v>4.9637787090277101E-2</v>
      </c>
      <c r="P1556" s="28">
        <f t="shared" si="194"/>
        <v>7.0680628272251314E-2</v>
      </c>
      <c r="Q1556" s="26">
        <f t="shared" si="195"/>
        <v>1.7869339005235603</v>
      </c>
      <c r="R1556" s="29">
        <f t="shared" si="196"/>
        <v>25.281805555555554</v>
      </c>
      <c r="S1556" s="30">
        <f t="shared" si="197"/>
        <v>10</v>
      </c>
      <c r="T1556" s="30">
        <f t="shared" si="198"/>
        <v>2023</v>
      </c>
      <c r="U1556" s="29" t="str">
        <f t="shared" si="199"/>
        <v>October</v>
      </c>
    </row>
    <row r="1557" spans="1:21" ht="17.399999999999999" x14ac:dyDescent="0.3">
      <c r="A1557" s="21" t="s">
        <v>2198</v>
      </c>
      <c r="B1557" s="21" t="s">
        <v>2199</v>
      </c>
      <c r="C1557" s="23" t="s">
        <v>3515</v>
      </c>
      <c r="D1557" s="21" t="s">
        <v>3520</v>
      </c>
      <c r="E1557" s="24">
        <v>45214</v>
      </c>
      <c r="F1557" s="24">
        <v>45223</v>
      </c>
      <c r="G1557" s="22" t="s">
        <v>16</v>
      </c>
      <c r="H1557" s="25">
        <v>42914</v>
      </c>
      <c r="I1557" s="25">
        <v>886</v>
      </c>
      <c r="J1557" s="26">
        <v>996.21</v>
      </c>
      <c r="K1557" s="25">
        <v>117</v>
      </c>
      <c r="L1557" s="21" t="s">
        <v>21</v>
      </c>
      <c r="M1557" s="22" t="s">
        <v>16</v>
      </c>
      <c r="N1557" s="27">
        <f t="shared" si="192"/>
        <v>9</v>
      </c>
      <c r="O1557" s="28">
        <f t="shared" si="193"/>
        <v>2.0645943048888473E-2</v>
      </c>
      <c r="P1557" s="28">
        <f t="shared" si="194"/>
        <v>0.13205417607223477</v>
      </c>
      <c r="Q1557" s="26">
        <f t="shared" si="195"/>
        <v>1.1243905191873589</v>
      </c>
      <c r="R1557" s="29">
        <f t="shared" si="196"/>
        <v>8.5146153846153858</v>
      </c>
      <c r="S1557" s="30">
        <f t="shared" si="197"/>
        <v>10</v>
      </c>
      <c r="T1557" s="30">
        <f t="shared" si="198"/>
        <v>2023</v>
      </c>
      <c r="U1557" s="29" t="str">
        <f t="shared" si="199"/>
        <v>October</v>
      </c>
    </row>
    <row r="1558" spans="1:21" ht="17.399999999999999" x14ac:dyDescent="0.3">
      <c r="A1558" s="21" t="s">
        <v>2946</v>
      </c>
      <c r="B1558" s="21" t="s">
        <v>2947</v>
      </c>
      <c r="C1558" s="23" t="s">
        <v>3515</v>
      </c>
      <c r="D1558" s="21" t="s">
        <v>3521</v>
      </c>
      <c r="E1558" s="24">
        <v>45214</v>
      </c>
      <c r="F1558" s="24">
        <v>45220</v>
      </c>
      <c r="G1558" s="22" t="s">
        <v>3535</v>
      </c>
      <c r="H1558" s="25">
        <v>61504</v>
      </c>
      <c r="I1558" s="25">
        <v>789</v>
      </c>
      <c r="J1558" s="26">
        <v>1051.93</v>
      </c>
      <c r="K1558" s="25">
        <v>85</v>
      </c>
      <c r="L1558" s="21" t="s">
        <v>21</v>
      </c>
      <c r="M1558" s="22" t="s">
        <v>3535</v>
      </c>
      <c r="N1558" s="27">
        <f t="shared" si="192"/>
        <v>6</v>
      </c>
      <c r="O1558" s="28">
        <f t="shared" si="193"/>
        <v>1.2828433922996879E-2</v>
      </c>
      <c r="P1558" s="28">
        <f t="shared" si="194"/>
        <v>0.10773130544993663</v>
      </c>
      <c r="Q1558" s="26">
        <f t="shared" si="195"/>
        <v>1.3332446134347276</v>
      </c>
      <c r="R1558" s="29">
        <f t="shared" si="196"/>
        <v>12.37564705882353</v>
      </c>
      <c r="S1558" s="30">
        <f t="shared" si="197"/>
        <v>10</v>
      </c>
      <c r="T1558" s="30">
        <f t="shared" si="198"/>
        <v>2023</v>
      </c>
      <c r="U1558" s="29" t="str">
        <f t="shared" si="199"/>
        <v>October</v>
      </c>
    </row>
    <row r="1559" spans="1:21" ht="17.399999999999999" x14ac:dyDescent="0.3">
      <c r="A1559" s="21" t="s">
        <v>1983</v>
      </c>
      <c r="B1559" s="21" t="s">
        <v>1984</v>
      </c>
      <c r="C1559" s="23" t="s">
        <v>3519</v>
      </c>
      <c r="D1559" s="21" t="s">
        <v>3517</v>
      </c>
      <c r="E1559" s="24">
        <v>45215</v>
      </c>
      <c r="F1559" s="24">
        <v>45228</v>
      </c>
      <c r="G1559" s="22" t="s">
        <v>24</v>
      </c>
      <c r="H1559" s="25">
        <v>46558</v>
      </c>
      <c r="I1559" s="25">
        <v>1410</v>
      </c>
      <c r="J1559" s="26">
        <v>2419.14</v>
      </c>
      <c r="K1559" s="25">
        <v>131</v>
      </c>
      <c r="L1559" s="21" t="s">
        <v>21</v>
      </c>
      <c r="M1559" s="22" t="s">
        <v>3536</v>
      </c>
      <c r="N1559" s="27">
        <f t="shared" si="192"/>
        <v>13</v>
      </c>
      <c r="O1559" s="28">
        <f t="shared" si="193"/>
        <v>3.0284806048369774E-2</v>
      </c>
      <c r="P1559" s="28">
        <f t="shared" si="194"/>
        <v>9.2907801418439712E-2</v>
      </c>
      <c r="Q1559" s="26">
        <f t="shared" si="195"/>
        <v>1.7157021276595743</v>
      </c>
      <c r="R1559" s="29">
        <f t="shared" si="196"/>
        <v>18.466717557251908</v>
      </c>
      <c r="S1559" s="30">
        <f t="shared" si="197"/>
        <v>10</v>
      </c>
      <c r="T1559" s="30">
        <f t="shared" si="198"/>
        <v>2023</v>
      </c>
      <c r="U1559" s="29" t="str">
        <f t="shared" si="199"/>
        <v>October</v>
      </c>
    </row>
    <row r="1560" spans="1:21" ht="17.399999999999999" x14ac:dyDescent="0.3">
      <c r="A1560" s="21" t="s">
        <v>2928</v>
      </c>
      <c r="B1560" s="22" t="s">
        <v>3950</v>
      </c>
      <c r="C1560" s="23" t="s">
        <v>3519</v>
      </c>
      <c r="D1560" s="22" t="s">
        <v>3545</v>
      </c>
      <c r="E1560" s="24">
        <v>45215</v>
      </c>
      <c r="F1560" s="24">
        <v>45234</v>
      </c>
      <c r="G1560" s="22" t="s">
        <v>14</v>
      </c>
      <c r="H1560" s="25">
        <v>85386</v>
      </c>
      <c r="I1560" s="25">
        <v>4137</v>
      </c>
      <c r="J1560" s="26">
        <v>4664.21</v>
      </c>
      <c r="K1560" s="25">
        <v>704</v>
      </c>
      <c r="L1560" s="21" t="s">
        <v>21</v>
      </c>
      <c r="M1560" s="22" t="s">
        <v>3537</v>
      </c>
      <c r="N1560" s="27">
        <f t="shared" si="192"/>
        <v>19</v>
      </c>
      <c r="O1560" s="28">
        <f t="shared" si="193"/>
        <v>4.8450565666502708E-2</v>
      </c>
      <c r="P1560" s="28">
        <f t="shared" si="194"/>
        <v>0.17017162194827171</v>
      </c>
      <c r="Q1560" s="26">
        <f t="shared" si="195"/>
        <v>1.1274377568286198</v>
      </c>
      <c r="R1560" s="29">
        <f t="shared" si="196"/>
        <v>6.6252982954545452</v>
      </c>
      <c r="S1560" s="30">
        <f t="shared" si="197"/>
        <v>10</v>
      </c>
      <c r="T1560" s="30">
        <f t="shared" si="198"/>
        <v>2023</v>
      </c>
      <c r="U1560" s="29" t="str">
        <f t="shared" si="199"/>
        <v>October</v>
      </c>
    </row>
    <row r="1561" spans="1:21" ht="17.399999999999999" x14ac:dyDescent="0.3">
      <c r="A1561" s="21" t="s">
        <v>1433</v>
      </c>
      <c r="B1561" s="21" t="s">
        <v>1434</v>
      </c>
      <c r="C1561" s="23" t="s">
        <v>3516</v>
      </c>
      <c r="D1561" s="21" t="s">
        <v>3521</v>
      </c>
      <c r="E1561" s="24">
        <v>45215</v>
      </c>
      <c r="F1561" s="24">
        <v>45237</v>
      </c>
      <c r="G1561" s="22" t="s">
        <v>14</v>
      </c>
      <c r="H1561" s="25">
        <v>13763</v>
      </c>
      <c r="I1561" s="25">
        <v>677</v>
      </c>
      <c r="J1561" s="26">
        <v>596.07000000000005</v>
      </c>
      <c r="K1561" s="25">
        <v>93</v>
      </c>
      <c r="L1561" s="21" t="s">
        <v>21</v>
      </c>
      <c r="M1561" s="22" t="s">
        <v>3537</v>
      </c>
      <c r="N1561" s="27">
        <f t="shared" si="192"/>
        <v>22</v>
      </c>
      <c r="O1561" s="28">
        <f t="shared" si="193"/>
        <v>4.9189856862602632E-2</v>
      </c>
      <c r="P1561" s="28">
        <f t="shared" si="194"/>
        <v>0.13737075332348597</v>
      </c>
      <c r="Q1561" s="26">
        <f t="shared" si="195"/>
        <v>0.88045790251107836</v>
      </c>
      <c r="R1561" s="29">
        <f t="shared" si="196"/>
        <v>6.4093548387096781</v>
      </c>
      <c r="S1561" s="30">
        <f t="shared" si="197"/>
        <v>10</v>
      </c>
      <c r="T1561" s="30">
        <f t="shared" si="198"/>
        <v>2023</v>
      </c>
      <c r="U1561" s="29" t="str">
        <f t="shared" si="199"/>
        <v>October</v>
      </c>
    </row>
    <row r="1562" spans="1:21" ht="17.399999999999999" x14ac:dyDescent="0.3">
      <c r="A1562" s="21" t="s">
        <v>2682</v>
      </c>
      <c r="B1562" s="21" t="s">
        <v>2683</v>
      </c>
      <c r="C1562" s="23" t="s">
        <v>3516</v>
      </c>
      <c r="D1562" s="21" t="s">
        <v>3521</v>
      </c>
      <c r="E1562" s="24">
        <v>45215</v>
      </c>
      <c r="F1562" s="24">
        <v>45227</v>
      </c>
      <c r="G1562" s="22" t="s">
        <v>31</v>
      </c>
      <c r="H1562" s="25">
        <v>57276</v>
      </c>
      <c r="I1562" s="25">
        <v>1887</v>
      </c>
      <c r="J1562" s="26">
        <v>3290.41</v>
      </c>
      <c r="K1562" s="25">
        <v>207</v>
      </c>
      <c r="L1562" s="21" t="s">
        <v>17</v>
      </c>
      <c r="M1562" s="22" t="s">
        <v>31</v>
      </c>
      <c r="N1562" s="27">
        <f t="shared" si="192"/>
        <v>12</v>
      </c>
      <c r="O1562" s="28">
        <f t="shared" si="193"/>
        <v>3.294573643410853E-2</v>
      </c>
      <c r="P1562" s="28">
        <f t="shared" si="194"/>
        <v>0.10969793322734499</v>
      </c>
      <c r="Q1562" s="26">
        <f t="shared" si="195"/>
        <v>1.7437254901960784</v>
      </c>
      <c r="R1562" s="29">
        <f t="shared" si="196"/>
        <v>15.895700483091787</v>
      </c>
      <c r="S1562" s="30">
        <f t="shared" si="197"/>
        <v>10</v>
      </c>
      <c r="T1562" s="30">
        <f t="shared" si="198"/>
        <v>2023</v>
      </c>
      <c r="U1562" s="29" t="str">
        <f t="shared" si="199"/>
        <v>October</v>
      </c>
    </row>
    <row r="1563" spans="1:21" ht="17.399999999999999" x14ac:dyDescent="0.3">
      <c r="A1563" s="21" t="s">
        <v>3360</v>
      </c>
      <c r="B1563" s="21" t="s">
        <v>3361</v>
      </c>
      <c r="C1563" s="23" t="s">
        <v>3516</v>
      </c>
      <c r="D1563" s="21" t="s">
        <v>3520</v>
      </c>
      <c r="E1563" s="24">
        <v>45215</v>
      </c>
      <c r="F1563" s="24">
        <v>45245</v>
      </c>
      <c r="G1563" s="22" t="s">
        <v>16</v>
      </c>
      <c r="H1563" s="25">
        <v>76304</v>
      </c>
      <c r="I1563" s="25">
        <v>1762</v>
      </c>
      <c r="J1563" s="26">
        <v>2776.99</v>
      </c>
      <c r="K1563" s="25">
        <v>214</v>
      </c>
      <c r="L1563" s="21" t="s">
        <v>21</v>
      </c>
      <c r="M1563" s="22" t="s">
        <v>16</v>
      </c>
      <c r="N1563" s="27">
        <f t="shared" si="192"/>
        <v>30</v>
      </c>
      <c r="O1563" s="28">
        <f t="shared" si="193"/>
        <v>2.3091843153700987E-2</v>
      </c>
      <c r="P1563" s="28">
        <f t="shared" si="194"/>
        <v>0.12145289443813848</v>
      </c>
      <c r="Q1563" s="26">
        <f t="shared" si="195"/>
        <v>1.5760442678774118</v>
      </c>
      <c r="R1563" s="29">
        <f t="shared" si="196"/>
        <v>12.976588785046728</v>
      </c>
      <c r="S1563" s="30">
        <f t="shared" si="197"/>
        <v>10</v>
      </c>
      <c r="T1563" s="30">
        <f t="shared" si="198"/>
        <v>2023</v>
      </c>
      <c r="U1563" s="29" t="str">
        <f t="shared" si="199"/>
        <v>October</v>
      </c>
    </row>
    <row r="1564" spans="1:21" ht="17.399999999999999" x14ac:dyDescent="0.3">
      <c r="A1564" s="21" t="s">
        <v>1323</v>
      </c>
      <c r="B1564" s="22" t="s">
        <v>3951</v>
      </c>
      <c r="C1564" s="23" t="s">
        <v>3515</v>
      </c>
      <c r="D1564" s="22" t="s">
        <v>3545</v>
      </c>
      <c r="E1564" s="24">
        <v>45215</v>
      </c>
      <c r="F1564" s="24">
        <v>45231</v>
      </c>
      <c r="G1564" s="22" t="s">
        <v>14</v>
      </c>
      <c r="H1564" s="25">
        <v>25504</v>
      </c>
      <c r="I1564" s="25">
        <v>1252</v>
      </c>
      <c r="J1564" s="26">
        <v>1757.44</v>
      </c>
      <c r="K1564" s="25">
        <v>234</v>
      </c>
      <c r="L1564" s="21" t="s">
        <v>17</v>
      </c>
      <c r="M1564" s="22" t="s">
        <v>3537</v>
      </c>
      <c r="N1564" s="27">
        <f t="shared" si="192"/>
        <v>16</v>
      </c>
      <c r="O1564" s="28">
        <f t="shared" si="193"/>
        <v>4.9090338770388958E-2</v>
      </c>
      <c r="P1564" s="28">
        <f t="shared" si="194"/>
        <v>0.18690095846645369</v>
      </c>
      <c r="Q1564" s="26">
        <f t="shared" si="195"/>
        <v>1.4037060702875399</v>
      </c>
      <c r="R1564" s="29">
        <f t="shared" si="196"/>
        <v>7.5104273504273511</v>
      </c>
      <c r="S1564" s="30">
        <f t="shared" si="197"/>
        <v>10</v>
      </c>
      <c r="T1564" s="30">
        <f t="shared" si="198"/>
        <v>2023</v>
      </c>
      <c r="U1564" s="29" t="str">
        <f t="shared" si="199"/>
        <v>October</v>
      </c>
    </row>
    <row r="1565" spans="1:21" ht="17.399999999999999" x14ac:dyDescent="0.3">
      <c r="A1565" s="21" t="s">
        <v>2099</v>
      </c>
      <c r="B1565" s="21" t="s">
        <v>2100</v>
      </c>
      <c r="C1565" s="23" t="s">
        <v>3519</v>
      </c>
      <c r="D1565" s="21" t="s">
        <v>3517</v>
      </c>
      <c r="E1565" s="24">
        <v>45215</v>
      </c>
      <c r="F1565" s="24">
        <v>45220</v>
      </c>
      <c r="G1565" s="22" t="s">
        <v>14</v>
      </c>
      <c r="H1565" s="25">
        <v>76993</v>
      </c>
      <c r="I1565" s="25">
        <v>3761</v>
      </c>
      <c r="J1565" s="26">
        <v>5910.87</v>
      </c>
      <c r="K1565" s="25">
        <v>239</v>
      </c>
      <c r="L1565" s="21" t="s">
        <v>21</v>
      </c>
      <c r="M1565" s="22" t="s">
        <v>3537</v>
      </c>
      <c r="N1565" s="27">
        <f t="shared" si="192"/>
        <v>5</v>
      </c>
      <c r="O1565" s="28">
        <f t="shared" si="193"/>
        <v>4.8848596625667269E-2</v>
      </c>
      <c r="P1565" s="28">
        <f t="shared" si="194"/>
        <v>6.3546929008242492E-2</v>
      </c>
      <c r="Q1565" s="26">
        <f t="shared" si="195"/>
        <v>1.5716219090667376</v>
      </c>
      <c r="R1565" s="29">
        <f t="shared" si="196"/>
        <v>24.731673640167365</v>
      </c>
      <c r="S1565" s="30">
        <f t="shared" si="197"/>
        <v>10</v>
      </c>
      <c r="T1565" s="30">
        <f t="shared" si="198"/>
        <v>2023</v>
      </c>
      <c r="U1565" s="29" t="str">
        <f t="shared" si="199"/>
        <v>October</v>
      </c>
    </row>
    <row r="1566" spans="1:21" ht="17.399999999999999" x14ac:dyDescent="0.3">
      <c r="A1566" s="21" t="s">
        <v>388</v>
      </c>
      <c r="B1566" s="21" t="s">
        <v>389</v>
      </c>
      <c r="C1566" s="23" t="s">
        <v>3518</v>
      </c>
      <c r="D1566" s="21" t="s">
        <v>3520</v>
      </c>
      <c r="E1566" s="24">
        <v>45216</v>
      </c>
      <c r="F1566" s="24">
        <v>45230</v>
      </c>
      <c r="G1566" s="22" t="s">
        <v>14</v>
      </c>
      <c r="H1566" s="25">
        <v>68172</v>
      </c>
      <c r="I1566" s="25">
        <v>1185</v>
      </c>
      <c r="J1566" s="26">
        <v>2326.23</v>
      </c>
      <c r="K1566" s="25">
        <v>0</v>
      </c>
      <c r="L1566" s="21" t="s">
        <v>17</v>
      </c>
      <c r="M1566" s="22" t="s">
        <v>3537</v>
      </c>
      <c r="N1566" s="27">
        <f t="shared" si="192"/>
        <v>14</v>
      </c>
      <c r="O1566" s="28">
        <f t="shared" si="193"/>
        <v>1.7382503080443583E-2</v>
      </c>
      <c r="P1566" s="28">
        <f t="shared" si="194"/>
        <v>0</v>
      </c>
      <c r="Q1566" s="26">
        <f t="shared" si="195"/>
        <v>1.9630632911392405</v>
      </c>
      <c r="R1566" s="29" t="str">
        <f t="shared" si="196"/>
        <v>0</v>
      </c>
      <c r="S1566" s="30">
        <f t="shared" si="197"/>
        <v>10</v>
      </c>
      <c r="T1566" s="30">
        <f t="shared" si="198"/>
        <v>2023</v>
      </c>
      <c r="U1566" s="29" t="str">
        <f t="shared" si="199"/>
        <v>October</v>
      </c>
    </row>
    <row r="1567" spans="1:21" ht="17.399999999999999" x14ac:dyDescent="0.3">
      <c r="A1567" s="21" t="s">
        <v>704</v>
      </c>
      <c r="B1567" s="22" t="s">
        <v>3952</v>
      </c>
      <c r="C1567" s="23" t="s">
        <v>3516</v>
      </c>
      <c r="D1567" s="22" t="s">
        <v>3545</v>
      </c>
      <c r="E1567" s="24">
        <v>45216</v>
      </c>
      <c r="F1567" s="24">
        <v>45234</v>
      </c>
      <c r="G1567" s="22" t="s">
        <v>31</v>
      </c>
      <c r="H1567" s="25">
        <v>83074</v>
      </c>
      <c r="I1567" s="25">
        <v>2889</v>
      </c>
      <c r="J1567" s="26">
        <v>2060.96</v>
      </c>
      <c r="K1567" s="25">
        <v>175</v>
      </c>
      <c r="L1567" s="21" t="s">
        <v>17</v>
      </c>
      <c r="M1567" s="22" t="s">
        <v>31</v>
      </c>
      <c r="N1567" s="27">
        <f t="shared" si="192"/>
        <v>18</v>
      </c>
      <c r="O1567" s="28">
        <f t="shared" si="193"/>
        <v>3.4776223607867682E-2</v>
      </c>
      <c r="P1567" s="28">
        <f t="shared" si="194"/>
        <v>6.0574593284873655E-2</v>
      </c>
      <c r="Q1567" s="26">
        <f t="shared" si="195"/>
        <v>0.71338179300796123</v>
      </c>
      <c r="R1567" s="29">
        <f t="shared" si="196"/>
        <v>11.776914285714286</v>
      </c>
      <c r="S1567" s="30">
        <f t="shared" si="197"/>
        <v>10</v>
      </c>
      <c r="T1567" s="30">
        <f t="shared" si="198"/>
        <v>2023</v>
      </c>
      <c r="U1567" s="29" t="str">
        <f t="shared" si="199"/>
        <v>October</v>
      </c>
    </row>
    <row r="1568" spans="1:21" ht="17.399999999999999" x14ac:dyDescent="0.3">
      <c r="A1568" s="21" t="s">
        <v>1676</v>
      </c>
      <c r="B1568" s="21" t="s">
        <v>1677</v>
      </c>
      <c r="C1568" s="23" t="s">
        <v>3516</v>
      </c>
      <c r="D1568" s="21" t="s">
        <v>3521</v>
      </c>
      <c r="E1568" s="24">
        <v>45216</v>
      </c>
      <c r="F1568" s="24">
        <v>45217</v>
      </c>
      <c r="G1568" s="22" t="s">
        <v>11</v>
      </c>
      <c r="H1568" s="25">
        <v>9717</v>
      </c>
      <c r="I1568" s="25">
        <v>188</v>
      </c>
      <c r="J1568" s="26">
        <v>132.16999999999999</v>
      </c>
      <c r="K1568" s="25">
        <v>28</v>
      </c>
      <c r="L1568" s="21" t="s">
        <v>17</v>
      </c>
      <c r="M1568" s="22" t="s">
        <v>11</v>
      </c>
      <c r="N1568" s="27">
        <f t="shared" si="192"/>
        <v>1</v>
      </c>
      <c r="O1568" s="28">
        <f t="shared" si="193"/>
        <v>1.9347535247504374E-2</v>
      </c>
      <c r="P1568" s="28">
        <f t="shared" si="194"/>
        <v>0.14893617021276595</v>
      </c>
      <c r="Q1568" s="26">
        <f t="shared" si="195"/>
        <v>0.70303191489361694</v>
      </c>
      <c r="R1568" s="29">
        <f t="shared" si="196"/>
        <v>4.720357142857142</v>
      </c>
      <c r="S1568" s="30">
        <f t="shared" si="197"/>
        <v>10</v>
      </c>
      <c r="T1568" s="30">
        <f t="shared" si="198"/>
        <v>2023</v>
      </c>
      <c r="U1568" s="29" t="str">
        <f t="shared" si="199"/>
        <v>October</v>
      </c>
    </row>
    <row r="1569" spans="1:21" ht="17.399999999999999" x14ac:dyDescent="0.3">
      <c r="A1569" s="21" t="s">
        <v>2360</v>
      </c>
      <c r="B1569" s="21" t="s">
        <v>2361</v>
      </c>
      <c r="C1569" s="23" t="s">
        <v>3516</v>
      </c>
      <c r="D1569" s="21" t="s">
        <v>3517</v>
      </c>
      <c r="E1569" s="24">
        <v>45216</v>
      </c>
      <c r="F1569" s="24">
        <v>45232</v>
      </c>
      <c r="G1569" s="22" t="s">
        <v>11</v>
      </c>
      <c r="H1569" s="25">
        <v>85458</v>
      </c>
      <c r="I1569" s="25">
        <v>3432</v>
      </c>
      <c r="J1569" s="26">
        <v>6767.43</v>
      </c>
      <c r="K1569" s="25">
        <v>581</v>
      </c>
      <c r="L1569" s="21" t="s">
        <v>17</v>
      </c>
      <c r="M1569" s="22" t="s">
        <v>11</v>
      </c>
      <c r="N1569" s="27">
        <f t="shared" si="192"/>
        <v>16</v>
      </c>
      <c r="O1569" s="28">
        <f t="shared" si="193"/>
        <v>4.0160078635119008E-2</v>
      </c>
      <c r="P1569" s="28">
        <f t="shared" si="194"/>
        <v>0.16928904428904429</v>
      </c>
      <c r="Q1569" s="26">
        <f t="shared" si="195"/>
        <v>1.9718618881118881</v>
      </c>
      <c r="R1569" s="29">
        <f t="shared" si="196"/>
        <v>11.647900172117041</v>
      </c>
      <c r="S1569" s="30">
        <f t="shared" si="197"/>
        <v>10</v>
      </c>
      <c r="T1569" s="30">
        <f t="shared" si="198"/>
        <v>2023</v>
      </c>
      <c r="U1569" s="29" t="str">
        <f t="shared" si="199"/>
        <v>October</v>
      </c>
    </row>
    <row r="1570" spans="1:21" ht="17.399999999999999" x14ac:dyDescent="0.3">
      <c r="A1570" s="21" t="s">
        <v>2638</v>
      </c>
      <c r="B1570" s="21" t="s">
        <v>2639</v>
      </c>
      <c r="C1570" s="23" t="s">
        <v>3515</v>
      </c>
      <c r="D1570" s="21" t="s">
        <v>3521</v>
      </c>
      <c r="E1570" s="24">
        <v>45216</v>
      </c>
      <c r="F1570" s="24">
        <v>45227</v>
      </c>
      <c r="G1570" s="22" t="s">
        <v>11</v>
      </c>
      <c r="H1570" s="25">
        <v>95006</v>
      </c>
      <c r="I1570" s="25">
        <v>4008</v>
      </c>
      <c r="J1570" s="26">
        <v>7285.04</v>
      </c>
      <c r="K1570" s="25">
        <v>760</v>
      </c>
      <c r="L1570" s="21" t="s">
        <v>21</v>
      </c>
      <c r="M1570" s="22" t="s">
        <v>11</v>
      </c>
      <c r="N1570" s="27">
        <f t="shared" si="192"/>
        <v>11</v>
      </c>
      <c r="O1570" s="28">
        <f t="shared" si="193"/>
        <v>4.2186809254152371E-2</v>
      </c>
      <c r="P1570" s="28">
        <f t="shared" si="194"/>
        <v>0.18962075848303392</v>
      </c>
      <c r="Q1570" s="26">
        <f t="shared" si="195"/>
        <v>1.817624750499002</v>
      </c>
      <c r="R1570" s="29">
        <f t="shared" si="196"/>
        <v>9.5855789473684219</v>
      </c>
      <c r="S1570" s="30">
        <f t="shared" si="197"/>
        <v>10</v>
      </c>
      <c r="T1570" s="30">
        <f t="shared" si="198"/>
        <v>2023</v>
      </c>
      <c r="U1570" s="29" t="str">
        <f t="shared" si="199"/>
        <v>October</v>
      </c>
    </row>
    <row r="1571" spans="1:21" ht="17.399999999999999" x14ac:dyDescent="0.3">
      <c r="A1571" s="21" t="s">
        <v>2018</v>
      </c>
      <c r="B1571" s="21" t="s">
        <v>2019</v>
      </c>
      <c r="C1571" s="23" t="s">
        <v>3519</v>
      </c>
      <c r="D1571" s="21" t="s">
        <v>3520</v>
      </c>
      <c r="E1571" s="24">
        <v>45217</v>
      </c>
      <c r="F1571" s="24">
        <v>45246</v>
      </c>
      <c r="G1571" s="22" t="s">
        <v>14</v>
      </c>
      <c r="H1571" s="25">
        <v>26053</v>
      </c>
      <c r="I1571" s="25">
        <v>1001</v>
      </c>
      <c r="J1571" s="26">
        <v>1359.04</v>
      </c>
      <c r="K1571" s="25">
        <v>192</v>
      </c>
      <c r="L1571" s="21" t="s">
        <v>17</v>
      </c>
      <c r="M1571" s="22" t="s">
        <v>3537</v>
      </c>
      <c r="N1571" s="27">
        <f t="shared" si="192"/>
        <v>29</v>
      </c>
      <c r="O1571" s="28">
        <f t="shared" si="193"/>
        <v>3.8421678885349093E-2</v>
      </c>
      <c r="P1571" s="28">
        <f t="shared" si="194"/>
        <v>0.19180819180819181</v>
      </c>
      <c r="Q1571" s="26">
        <f t="shared" si="195"/>
        <v>1.3576823176823176</v>
      </c>
      <c r="R1571" s="29">
        <f t="shared" si="196"/>
        <v>7.0783333333333331</v>
      </c>
      <c r="S1571" s="30">
        <f t="shared" si="197"/>
        <v>10</v>
      </c>
      <c r="T1571" s="30">
        <f t="shared" si="198"/>
        <v>2023</v>
      </c>
      <c r="U1571" s="29" t="str">
        <f t="shared" si="199"/>
        <v>October</v>
      </c>
    </row>
    <row r="1572" spans="1:21" ht="17.399999999999999" x14ac:dyDescent="0.3">
      <c r="A1572" s="21" t="s">
        <v>102</v>
      </c>
      <c r="B1572" s="21" t="s">
        <v>103</v>
      </c>
      <c r="C1572" s="23" t="s">
        <v>3518</v>
      </c>
      <c r="D1572" s="21" t="s">
        <v>3520</v>
      </c>
      <c r="E1572" s="24">
        <v>45217</v>
      </c>
      <c r="F1572" s="24">
        <v>45238</v>
      </c>
      <c r="G1572" s="22" t="s">
        <v>11</v>
      </c>
      <c r="H1572" s="25">
        <v>69148</v>
      </c>
      <c r="I1572" s="25">
        <v>954</v>
      </c>
      <c r="J1572" s="26">
        <v>1547.16</v>
      </c>
      <c r="K1572" s="25">
        <v>74</v>
      </c>
      <c r="L1572" s="21" t="s">
        <v>17</v>
      </c>
      <c r="M1572" s="22" t="s">
        <v>11</v>
      </c>
      <c r="N1572" s="27">
        <f t="shared" si="192"/>
        <v>21</v>
      </c>
      <c r="O1572" s="28">
        <f t="shared" si="193"/>
        <v>1.3796494475617515E-2</v>
      </c>
      <c r="P1572" s="28">
        <f t="shared" si="194"/>
        <v>7.7568134171907763E-2</v>
      </c>
      <c r="Q1572" s="26">
        <f t="shared" si="195"/>
        <v>1.6217610062893082</v>
      </c>
      <c r="R1572" s="29">
        <f t="shared" si="196"/>
        <v>20.907567567567568</v>
      </c>
      <c r="S1572" s="30">
        <f t="shared" si="197"/>
        <v>10</v>
      </c>
      <c r="T1572" s="30">
        <f t="shared" si="198"/>
        <v>2023</v>
      </c>
      <c r="U1572" s="29" t="str">
        <f t="shared" si="199"/>
        <v>October</v>
      </c>
    </row>
    <row r="1573" spans="1:21" ht="17.399999999999999" x14ac:dyDescent="0.3">
      <c r="A1573" s="21" t="s">
        <v>794</v>
      </c>
      <c r="B1573" s="21" t="s">
        <v>795</v>
      </c>
      <c r="C1573" s="23" t="s">
        <v>3516</v>
      </c>
      <c r="D1573" s="21" t="s">
        <v>3521</v>
      </c>
      <c r="E1573" s="24">
        <v>45217</v>
      </c>
      <c r="F1573" s="24">
        <v>45227</v>
      </c>
      <c r="G1573" s="22" t="s">
        <v>24</v>
      </c>
      <c r="H1573" s="25">
        <v>67412</v>
      </c>
      <c r="I1573" s="25">
        <v>2329</v>
      </c>
      <c r="J1573" s="26">
        <v>3203.32</v>
      </c>
      <c r="K1573" s="25">
        <v>211</v>
      </c>
      <c r="L1573" s="21" t="s">
        <v>21</v>
      </c>
      <c r="M1573" s="22" t="s">
        <v>3536</v>
      </c>
      <c r="N1573" s="27">
        <f t="shared" si="192"/>
        <v>10</v>
      </c>
      <c r="O1573" s="28">
        <f t="shared" si="193"/>
        <v>3.454874503055836E-2</v>
      </c>
      <c r="P1573" s="28">
        <f t="shared" si="194"/>
        <v>9.0596822670674107E-2</v>
      </c>
      <c r="Q1573" s="26">
        <f t="shared" si="195"/>
        <v>1.375405753542293</v>
      </c>
      <c r="R1573" s="29">
        <f t="shared" si="196"/>
        <v>15.181611374407584</v>
      </c>
      <c r="S1573" s="30">
        <f t="shared" si="197"/>
        <v>10</v>
      </c>
      <c r="T1573" s="30">
        <f t="shared" si="198"/>
        <v>2023</v>
      </c>
      <c r="U1573" s="29" t="str">
        <f t="shared" si="199"/>
        <v>October</v>
      </c>
    </row>
    <row r="1574" spans="1:21" ht="17.399999999999999" x14ac:dyDescent="0.3">
      <c r="A1574" s="21" t="s">
        <v>1273</v>
      </c>
      <c r="B1574" s="22" t="s">
        <v>3953</v>
      </c>
      <c r="C1574" s="23" t="s">
        <v>3516</v>
      </c>
      <c r="D1574" s="22" t="s">
        <v>3545</v>
      </c>
      <c r="E1574" s="24">
        <v>45217</v>
      </c>
      <c r="F1574" s="24">
        <v>45224</v>
      </c>
      <c r="G1574" s="22" t="s">
        <v>16</v>
      </c>
      <c r="H1574" s="25">
        <v>67040</v>
      </c>
      <c r="I1574" s="25">
        <v>729</v>
      </c>
      <c r="J1574" s="26">
        <v>549.37</v>
      </c>
      <c r="K1574" s="25">
        <v>119</v>
      </c>
      <c r="L1574" s="21" t="s">
        <v>21</v>
      </c>
      <c r="M1574" s="22" t="s">
        <v>16</v>
      </c>
      <c r="N1574" s="27">
        <f t="shared" si="192"/>
        <v>7</v>
      </c>
      <c r="O1574" s="28">
        <f t="shared" si="193"/>
        <v>1.0874105011933173E-2</v>
      </c>
      <c r="P1574" s="28">
        <f t="shared" si="194"/>
        <v>0.16323731138545952</v>
      </c>
      <c r="Q1574" s="26">
        <f t="shared" si="195"/>
        <v>0.75359396433470505</v>
      </c>
      <c r="R1574" s="29">
        <f t="shared" si="196"/>
        <v>4.6165546218487394</v>
      </c>
      <c r="S1574" s="30">
        <f t="shared" si="197"/>
        <v>10</v>
      </c>
      <c r="T1574" s="30">
        <f t="shared" si="198"/>
        <v>2023</v>
      </c>
      <c r="U1574" s="29" t="str">
        <f t="shared" si="199"/>
        <v>October</v>
      </c>
    </row>
    <row r="1575" spans="1:21" ht="17.399999999999999" x14ac:dyDescent="0.3">
      <c r="A1575" s="21" t="s">
        <v>1285</v>
      </c>
      <c r="B1575" s="22" t="s">
        <v>3954</v>
      </c>
      <c r="C1575" s="23" t="s">
        <v>3516</v>
      </c>
      <c r="D1575" s="22" t="s">
        <v>3545</v>
      </c>
      <c r="E1575" s="24">
        <v>45217</v>
      </c>
      <c r="F1575" s="24">
        <v>45246</v>
      </c>
      <c r="G1575" s="22" t="s">
        <v>11</v>
      </c>
      <c r="H1575" s="25">
        <v>23700</v>
      </c>
      <c r="I1575" s="25">
        <v>452</v>
      </c>
      <c r="J1575" s="26">
        <v>520.5</v>
      </c>
      <c r="K1575" s="25">
        <v>30</v>
      </c>
      <c r="L1575" s="21" t="s">
        <v>17</v>
      </c>
      <c r="M1575" s="22" t="s">
        <v>11</v>
      </c>
      <c r="N1575" s="27">
        <f t="shared" si="192"/>
        <v>29</v>
      </c>
      <c r="O1575" s="28">
        <f t="shared" si="193"/>
        <v>1.9071729957805907E-2</v>
      </c>
      <c r="P1575" s="28">
        <f t="shared" si="194"/>
        <v>6.637168141592921E-2</v>
      </c>
      <c r="Q1575" s="26">
        <f t="shared" si="195"/>
        <v>1.1515486725663717</v>
      </c>
      <c r="R1575" s="29">
        <f t="shared" si="196"/>
        <v>17.350000000000001</v>
      </c>
      <c r="S1575" s="30">
        <f t="shared" si="197"/>
        <v>10</v>
      </c>
      <c r="T1575" s="30">
        <f t="shared" si="198"/>
        <v>2023</v>
      </c>
      <c r="U1575" s="29" t="str">
        <f t="shared" si="199"/>
        <v>October</v>
      </c>
    </row>
    <row r="1576" spans="1:21" ht="17.399999999999999" x14ac:dyDescent="0.3">
      <c r="A1576" s="21" t="s">
        <v>3026</v>
      </c>
      <c r="B1576" s="22" t="s">
        <v>3955</v>
      </c>
      <c r="C1576" s="23" t="s">
        <v>3516</v>
      </c>
      <c r="D1576" s="22" t="s">
        <v>3545</v>
      </c>
      <c r="E1576" s="24">
        <v>45217</v>
      </c>
      <c r="F1576" s="24">
        <v>45224</v>
      </c>
      <c r="G1576" s="22" t="s">
        <v>16</v>
      </c>
      <c r="H1576" s="25">
        <v>8314</v>
      </c>
      <c r="I1576" s="25">
        <v>255</v>
      </c>
      <c r="J1576" s="26">
        <v>234.46</v>
      </c>
      <c r="K1576" s="25">
        <v>43</v>
      </c>
      <c r="L1576" s="21" t="s">
        <v>17</v>
      </c>
      <c r="M1576" s="22" t="s">
        <v>16</v>
      </c>
      <c r="N1576" s="27">
        <f t="shared" si="192"/>
        <v>7</v>
      </c>
      <c r="O1576" s="28">
        <f t="shared" si="193"/>
        <v>3.067115708443589E-2</v>
      </c>
      <c r="P1576" s="28">
        <f t="shared" si="194"/>
        <v>0.16862745098039217</v>
      </c>
      <c r="Q1576" s="26">
        <f t="shared" si="195"/>
        <v>0.91945098039215689</v>
      </c>
      <c r="R1576" s="29">
        <f t="shared" si="196"/>
        <v>5.4525581395348839</v>
      </c>
      <c r="S1576" s="30">
        <f t="shared" si="197"/>
        <v>10</v>
      </c>
      <c r="T1576" s="30">
        <f t="shared" si="198"/>
        <v>2023</v>
      </c>
      <c r="U1576" s="29" t="str">
        <f t="shared" si="199"/>
        <v>October</v>
      </c>
    </row>
    <row r="1577" spans="1:21" ht="17.399999999999999" x14ac:dyDescent="0.3">
      <c r="A1577" s="21" t="s">
        <v>62</v>
      </c>
      <c r="B1577" s="21" t="s">
        <v>63</v>
      </c>
      <c r="C1577" s="23" t="s">
        <v>3515</v>
      </c>
      <c r="D1577" s="21" t="s">
        <v>3517</v>
      </c>
      <c r="E1577" s="24">
        <v>45217</v>
      </c>
      <c r="F1577" s="24">
        <v>45245</v>
      </c>
      <c r="G1577" s="22" t="s">
        <v>24</v>
      </c>
      <c r="H1577" s="25">
        <v>19431</v>
      </c>
      <c r="I1577" s="25">
        <v>810</v>
      </c>
      <c r="J1577" s="26">
        <v>567.39</v>
      </c>
      <c r="K1577" s="25">
        <v>47</v>
      </c>
      <c r="L1577" s="21" t="s">
        <v>21</v>
      </c>
      <c r="M1577" s="22" t="s">
        <v>3536</v>
      </c>
      <c r="N1577" s="27">
        <f t="shared" si="192"/>
        <v>28</v>
      </c>
      <c r="O1577" s="28">
        <f t="shared" si="193"/>
        <v>4.1685965724872626E-2</v>
      </c>
      <c r="P1577" s="28">
        <f t="shared" si="194"/>
        <v>5.802469135802469E-2</v>
      </c>
      <c r="Q1577" s="26">
        <f t="shared" si="195"/>
        <v>0.70048148148148148</v>
      </c>
      <c r="R1577" s="29">
        <f t="shared" si="196"/>
        <v>12.072127659574468</v>
      </c>
      <c r="S1577" s="30">
        <f t="shared" si="197"/>
        <v>10</v>
      </c>
      <c r="T1577" s="30">
        <f t="shared" si="198"/>
        <v>2023</v>
      </c>
      <c r="U1577" s="29" t="str">
        <f t="shared" si="199"/>
        <v>October</v>
      </c>
    </row>
    <row r="1578" spans="1:21" ht="17.399999999999999" x14ac:dyDescent="0.3">
      <c r="A1578" s="21" t="s">
        <v>1493</v>
      </c>
      <c r="B1578" s="22" t="s">
        <v>3956</v>
      </c>
      <c r="C1578" s="23" t="s">
        <v>3515</v>
      </c>
      <c r="D1578" s="22" t="s">
        <v>3545</v>
      </c>
      <c r="E1578" s="24">
        <v>45217</v>
      </c>
      <c r="F1578" s="24">
        <v>45240</v>
      </c>
      <c r="G1578" s="22" t="s">
        <v>16</v>
      </c>
      <c r="H1578" s="25">
        <v>38131</v>
      </c>
      <c r="I1578" s="25">
        <v>1668</v>
      </c>
      <c r="J1578" s="26">
        <v>3308.07</v>
      </c>
      <c r="K1578" s="25">
        <v>0</v>
      </c>
      <c r="L1578" s="21" t="s">
        <v>21</v>
      </c>
      <c r="M1578" s="22" t="s">
        <v>16</v>
      </c>
      <c r="N1578" s="27">
        <f t="shared" si="192"/>
        <v>23</v>
      </c>
      <c r="O1578" s="28">
        <f t="shared" si="193"/>
        <v>4.3743935380661403E-2</v>
      </c>
      <c r="P1578" s="28">
        <f t="shared" si="194"/>
        <v>0</v>
      </c>
      <c r="Q1578" s="26">
        <f t="shared" si="195"/>
        <v>1.9832553956834533</v>
      </c>
      <c r="R1578" s="29" t="str">
        <f t="shared" si="196"/>
        <v>0</v>
      </c>
      <c r="S1578" s="30">
        <f t="shared" si="197"/>
        <v>10</v>
      </c>
      <c r="T1578" s="30">
        <f t="shared" si="198"/>
        <v>2023</v>
      </c>
      <c r="U1578" s="29" t="str">
        <f t="shared" si="199"/>
        <v>October</v>
      </c>
    </row>
    <row r="1579" spans="1:21" ht="17.399999999999999" x14ac:dyDescent="0.3">
      <c r="A1579" s="21" t="s">
        <v>1901</v>
      </c>
      <c r="B1579" s="21" t="s">
        <v>1902</v>
      </c>
      <c r="C1579" s="23" t="s">
        <v>3515</v>
      </c>
      <c r="D1579" s="21" t="s">
        <v>3517</v>
      </c>
      <c r="E1579" s="24">
        <v>45217</v>
      </c>
      <c r="F1579" s="24">
        <v>45233</v>
      </c>
      <c r="G1579" s="22" t="s">
        <v>11</v>
      </c>
      <c r="H1579" s="25">
        <v>37258</v>
      </c>
      <c r="I1579" s="25">
        <v>1143</v>
      </c>
      <c r="J1579" s="26">
        <v>2177.86</v>
      </c>
      <c r="K1579" s="25">
        <v>133</v>
      </c>
      <c r="L1579" s="21" t="s">
        <v>21</v>
      </c>
      <c r="M1579" s="22" t="s">
        <v>11</v>
      </c>
      <c r="N1579" s="27">
        <f t="shared" si="192"/>
        <v>16</v>
      </c>
      <c r="O1579" s="28">
        <f t="shared" si="193"/>
        <v>3.0677975199957058E-2</v>
      </c>
      <c r="P1579" s="28">
        <f t="shared" si="194"/>
        <v>0.1163604549431321</v>
      </c>
      <c r="Q1579" s="26">
        <f t="shared" si="195"/>
        <v>1.9053893263342083</v>
      </c>
      <c r="R1579" s="29">
        <f t="shared" si="196"/>
        <v>16.374887218045114</v>
      </c>
      <c r="S1579" s="30">
        <f t="shared" si="197"/>
        <v>10</v>
      </c>
      <c r="T1579" s="30">
        <f t="shared" si="198"/>
        <v>2023</v>
      </c>
      <c r="U1579" s="29" t="str">
        <f t="shared" si="199"/>
        <v>October</v>
      </c>
    </row>
    <row r="1580" spans="1:21" ht="17.399999999999999" x14ac:dyDescent="0.3">
      <c r="A1580" s="21" t="s">
        <v>2867</v>
      </c>
      <c r="B1580" s="22" t="s">
        <v>3957</v>
      </c>
      <c r="C1580" s="23" t="s">
        <v>3515</v>
      </c>
      <c r="D1580" s="22" t="s">
        <v>3545</v>
      </c>
      <c r="E1580" s="24">
        <v>45217</v>
      </c>
      <c r="F1580" s="24">
        <v>45242</v>
      </c>
      <c r="G1580" s="22" t="s">
        <v>24</v>
      </c>
      <c r="H1580" s="25">
        <v>1806</v>
      </c>
      <c r="I1580" s="25">
        <v>26</v>
      </c>
      <c r="J1580" s="26">
        <v>35.75</v>
      </c>
      <c r="K1580" s="25">
        <v>4</v>
      </c>
      <c r="L1580" s="21" t="s">
        <v>21</v>
      </c>
      <c r="M1580" s="22" t="s">
        <v>3536</v>
      </c>
      <c r="N1580" s="27">
        <f t="shared" si="192"/>
        <v>25</v>
      </c>
      <c r="O1580" s="28">
        <f t="shared" si="193"/>
        <v>1.4396456256921373E-2</v>
      </c>
      <c r="P1580" s="28">
        <f t="shared" si="194"/>
        <v>0.15384615384615385</v>
      </c>
      <c r="Q1580" s="26">
        <f t="shared" si="195"/>
        <v>1.375</v>
      </c>
      <c r="R1580" s="29">
        <f t="shared" si="196"/>
        <v>8.9375</v>
      </c>
      <c r="S1580" s="30">
        <f t="shared" si="197"/>
        <v>10</v>
      </c>
      <c r="T1580" s="30">
        <f t="shared" si="198"/>
        <v>2023</v>
      </c>
      <c r="U1580" s="29" t="str">
        <f t="shared" si="199"/>
        <v>October</v>
      </c>
    </row>
    <row r="1581" spans="1:21" ht="17.399999999999999" x14ac:dyDescent="0.3">
      <c r="A1581" s="21" t="s">
        <v>485</v>
      </c>
      <c r="B1581" s="21" t="s">
        <v>486</v>
      </c>
      <c r="C1581" s="23" t="s">
        <v>3519</v>
      </c>
      <c r="D1581" s="21" t="s">
        <v>3517</v>
      </c>
      <c r="E1581" s="24">
        <v>45218</v>
      </c>
      <c r="F1581" s="24">
        <v>45228</v>
      </c>
      <c r="G1581" s="22" t="s">
        <v>24</v>
      </c>
      <c r="H1581" s="25">
        <v>48254</v>
      </c>
      <c r="I1581" s="25">
        <v>1973</v>
      </c>
      <c r="J1581" s="26">
        <v>3857.91</v>
      </c>
      <c r="K1581" s="25">
        <v>340</v>
      </c>
      <c r="L1581" s="21" t="s">
        <v>17</v>
      </c>
      <c r="M1581" s="22" t="s">
        <v>3536</v>
      </c>
      <c r="N1581" s="27">
        <f t="shared" si="192"/>
        <v>10</v>
      </c>
      <c r="O1581" s="28">
        <f t="shared" si="193"/>
        <v>4.0887802047498652E-2</v>
      </c>
      <c r="P1581" s="28">
        <f t="shared" si="194"/>
        <v>0.17232640648758235</v>
      </c>
      <c r="Q1581" s="26">
        <f t="shared" si="195"/>
        <v>1.9553522554485554</v>
      </c>
      <c r="R1581" s="29">
        <f t="shared" si="196"/>
        <v>11.346794117647059</v>
      </c>
      <c r="S1581" s="30">
        <f t="shared" si="197"/>
        <v>10</v>
      </c>
      <c r="T1581" s="30">
        <f t="shared" si="198"/>
        <v>2023</v>
      </c>
      <c r="U1581" s="29" t="str">
        <f t="shared" si="199"/>
        <v>October</v>
      </c>
    </row>
    <row r="1582" spans="1:21" ht="17.399999999999999" x14ac:dyDescent="0.3">
      <c r="A1582" s="21" t="s">
        <v>1701</v>
      </c>
      <c r="B1582" s="22" t="s">
        <v>3958</v>
      </c>
      <c r="C1582" s="23" t="s">
        <v>3519</v>
      </c>
      <c r="D1582" s="22" t="s">
        <v>3545</v>
      </c>
      <c r="E1582" s="24">
        <v>45218</v>
      </c>
      <c r="F1582" s="24">
        <v>45226</v>
      </c>
      <c r="G1582" s="22" t="s">
        <v>31</v>
      </c>
      <c r="H1582" s="25">
        <v>56658</v>
      </c>
      <c r="I1582" s="25">
        <v>2622</v>
      </c>
      <c r="J1582" s="26">
        <v>2156.27</v>
      </c>
      <c r="K1582" s="25">
        <v>282</v>
      </c>
      <c r="L1582" s="21" t="s">
        <v>17</v>
      </c>
      <c r="M1582" s="22" t="s">
        <v>31</v>
      </c>
      <c r="N1582" s="27">
        <f t="shared" si="192"/>
        <v>8</v>
      </c>
      <c r="O1582" s="28">
        <f t="shared" si="193"/>
        <v>4.6277665995975853E-2</v>
      </c>
      <c r="P1582" s="28">
        <f t="shared" si="194"/>
        <v>0.10755148741418764</v>
      </c>
      <c r="Q1582" s="26">
        <f t="shared" si="195"/>
        <v>0.82237604881769644</v>
      </c>
      <c r="R1582" s="29">
        <f t="shared" si="196"/>
        <v>7.6463475177304963</v>
      </c>
      <c r="S1582" s="30">
        <f t="shared" si="197"/>
        <v>10</v>
      </c>
      <c r="T1582" s="30">
        <f t="shared" si="198"/>
        <v>2023</v>
      </c>
      <c r="U1582" s="29" t="str">
        <f t="shared" si="199"/>
        <v>October</v>
      </c>
    </row>
    <row r="1583" spans="1:21" ht="17.399999999999999" x14ac:dyDescent="0.3">
      <c r="A1583" s="21" t="s">
        <v>2348</v>
      </c>
      <c r="B1583" s="21" t="s">
        <v>2349</v>
      </c>
      <c r="C1583" s="23" t="s">
        <v>3518</v>
      </c>
      <c r="D1583" s="21" t="s">
        <v>3520</v>
      </c>
      <c r="E1583" s="24">
        <v>45218</v>
      </c>
      <c r="F1583" s="24">
        <v>45227</v>
      </c>
      <c r="G1583" s="22" t="s">
        <v>14</v>
      </c>
      <c r="H1583" s="25">
        <v>65929</v>
      </c>
      <c r="I1583" s="25">
        <v>1755</v>
      </c>
      <c r="J1583" s="26">
        <v>2658.77</v>
      </c>
      <c r="K1583" s="25">
        <v>0</v>
      </c>
      <c r="L1583" s="21" t="s">
        <v>21</v>
      </c>
      <c r="M1583" s="22" t="s">
        <v>3537</v>
      </c>
      <c r="N1583" s="27">
        <f t="shared" si="192"/>
        <v>9</v>
      </c>
      <c r="O1583" s="28">
        <f t="shared" si="193"/>
        <v>2.6619545268394787E-2</v>
      </c>
      <c r="P1583" s="28">
        <f t="shared" si="194"/>
        <v>0</v>
      </c>
      <c r="Q1583" s="26">
        <f t="shared" si="195"/>
        <v>1.514968660968661</v>
      </c>
      <c r="R1583" s="29" t="str">
        <f t="shared" si="196"/>
        <v>0</v>
      </c>
      <c r="S1583" s="30">
        <f t="shared" si="197"/>
        <v>10</v>
      </c>
      <c r="T1583" s="30">
        <f t="shared" si="198"/>
        <v>2023</v>
      </c>
      <c r="U1583" s="29" t="str">
        <f t="shared" si="199"/>
        <v>October</v>
      </c>
    </row>
    <row r="1584" spans="1:21" ht="17.399999999999999" x14ac:dyDescent="0.3">
      <c r="A1584" s="21" t="s">
        <v>3383</v>
      </c>
      <c r="B1584" s="21" t="s">
        <v>3384</v>
      </c>
      <c r="C1584" s="23" t="s">
        <v>3515</v>
      </c>
      <c r="D1584" s="21" t="s">
        <v>3520</v>
      </c>
      <c r="E1584" s="24">
        <v>45218</v>
      </c>
      <c r="F1584" s="24">
        <v>45230</v>
      </c>
      <c r="G1584" s="22" t="s">
        <v>3535</v>
      </c>
      <c r="H1584" s="25">
        <v>23431</v>
      </c>
      <c r="I1584" s="25">
        <v>951</v>
      </c>
      <c r="J1584" s="26">
        <v>1512.39</v>
      </c>
      <c r="K1584" s="25">
        <v>179</v>
      </c>
      <c r="L1584" s="21" t="s">
        <v>17</v>
      </c>
      <c r="M1584" s="22" t="s">
        <v>3535</v>
      </c>
      <c r="N1584" s="27">
        <f t="shared" si="192"/>
        <v>12</v>
      </c>
      <c r="O1584" s="28">
        <f t="shared" si="193"/>
        <v>4.058725619905254E-2</v>
      </c>
      <c r="P1584" s="28">
        <f t="shared" si="194"/>
        <v>0.1882229232386961</v>
      </c>
      <c r="Q1584" s="26">
        <f t="shared" si="195"/>
        <v>1.5903154574132494</v>
      </c>
      <c r="R1584" s="29">
        <f t="shared" si="196"/>
        <v>8.4491061452513971</v>
      </c>
      <c r="S1584" s="30">
        <f t="shared" si="197"/>
        <v>10</v>
      </c>
      <c r="T1584" s="30">
        <f t="shared" si="198"/>
        <v>2023</v>
      </c>
      <c r="U1584" s="29" t="str">
        <f t="shared" si="199"/>
        <v>October</v>
      </c>
    </row>
    <row r="1585" spans="1:21" ht="17.399999999999999" x14ac:dyDescent="0.3">
      <c r="A1585" s="21" t="s">
        <v>1437</v>
      </c>
      <c r="B1585" s="22" t="s">
        <v>3959</v>
      </c>
      <c r="C1585" s="23" t="s">
        <v>3516</v>
      </c>
      <c r="D1585" s="22" t="s">
        <v>3545</v>
      </c>
      <c r="E1585" s="24">
        <v>45218</v>
      </c>
      <c r="F1585" s="24">
        <v>45223</v>
      </c>
      <c r="G1585" s="22" t="s">
        <v>11</v>
      </c>
      <c r="H1585" s="25">
        <v>61100</v>
      </c>
      <c r="I1585" s="25">
        <v>928</v>
      </c>
      <c r="J1585" s="26">
        <v>577.67999999999995</v>
      </c>
      <c r="K1585" s="25">
        <v>74</v>
      </c>
      <c r="L1585" s="21" t="s">
        <v>21</v>
      </c>
      <c r="M1585" s="22" t="s">
        <v>11</v>
      </c>
      <c r="N1585" s="27">
        <f t="shared" si="192"/>
        <v>5</v>
      </c>
      <c r="O1585" s="28">
        <f t="shared" si="193"/>
        <v>1.5188216039279868E-2</v>
      </c>
      <c r="P1585" s="28">
        <f t="shared" si="194"/>
        <v>7.9741379310344834E-2</v>
      </c>
      <c r="Q1585" s="26">
        <f t="shared" si="195"/>
        <v>0.62249999999999994</v>
      </c>
      <c r="R1585" s="29">
        <f t="shared" si="196"/>
        <v>7.8064864864864862</v>
      </c>
      <c r="S1585" s="30">
        <f t="shared" si="197"/>
        <v>10</v>
      </c>
      <c r="T1585" s="30">
        <f t="shared" si="198"/>
        <v>2023</v>
      </c>
      <c r="U1585" s="29" t="str">
        <f t="shared" si="199"/>
        <v>October</v>
      </c>
    </row>
    <row r="1586" spans="1:21" ht="17.399999999999999" x14ac:dyDescent="0.3">
      <c r="A1586" s="21" t="s">
        <v>129</v>
      </c>
      <c r="B1586" s="21" t="s">
        <v>130</v>
      </c>
      <c r="C1586" s="23" t="s">
        <v>3519</v>
      </c>
      <c r="D1586" s="21" t="s">
        <v>3517</v>
      </c>
      <c r="E1586" s="24">
        <v>45219</v>
      </c>
      <c r="F1586" s="24">
        <v>45243</v>
      </c>
      <c r="G1586" s="22" t="s">
        <v>31</v>
      </c>
      <c r="H1586" s="25">
        <v>41757</v>
      </c>
      <c r="I1586" s="25">
        <v>1535</v>
      </c>
      <c r="J1586" s="26">
        <v>1772.36</v>
      </c>
      <c r="K1586" s="25">
        <v>0</v>
      </c>
      <c r="L1586" s="21" t="s">
        <v>21</v>
      </c>
      <c r="M1586" s="22" t="s">
        <v>31</v>
      </c>
      <c r="N1586" s="27">
        <f t="shared" si="192"/>
        <v>24</v>
      </c>
      <c r="O1586" s="28">
        <f t="shared" si="193"/>
        <v>3.6760303661661518E-2</v>
      </c>
      <c r="P1586" s="28">
        <f t="shared" si="194"/>
        <v>0</v>
      </c>
      <c r="Q1586" s="26">
        <f t="shared" si="195"/>
        <v>1.1546319218241041</v>
      </c>
      <c r="R1586" s="29" t="str">
        <f t="shared" si="196"/>
        <v>0</v>
      </c>
      <c r="S1586" s="30">
        <f t="shared" si="197"/>
        <v>10</v>
      </c>
      <c r="T1586" s="30">
        <f t="shared" si="198"/>
        <v>2023</v>
      </c>
      <c r="U1586" s="29" t="str">
        <f t="shared" si="199"/>
        <v>October</v>
      </c>
    </row>
    <row r="1587" spans="1:21" ht="17.399999999999999" x14ac:dyDescent="0.3">
      <c r="A1587" s="21" t="s">
        <v>1544</v>
      </c>
      <c r="B1587" s="21" t="s">
        <v>1545</v>
      </c>
      <c r="C1587" s="23" t="s">
        <v>3519</v>
      </c>
      <c r="D1587" s="21" t="s">
        <v>3520</v>
      </c>
      <c r="E1587" s="24">
        <v>45219</v>
      </c>
      <c r="F1587" s="24">
        <v>45243</v>
      </c>
      <c r="G1587" s="22" t="s">
        <v>16</v>
      </c>
      <c r="H1587" s="25">
        <v>84251</v>
      </c>
      <c r="I1587" s="25">
        <v>2156</v>
      </c>
      <c r="J1587" s="26">
        <v>3601.64</v>
      </c>
      <c r="K1587" s="25">
        <v>314</v>
      </c>
      <c r="L1587" s="21" t="s">
        <v>21</v>
      </c>
      <c r="M1587" s="22" t="s">
        <v>16</v>
      </c>
      <c r="N1587" s="27">
        <f t="shared" si="192"/>
        <v>24</v>
      </c>
      <c r="O1587" s="28">
        <f t="shared" si="193"/>
        <v>2.5590200709783861E-2</v>
      </c>
      <c r="P1587" s="28">
        <f t="shared" si="194"/>
        <v>0.1456400742115028</v>
      </c>
      <c r="Q1587" s="26">
        <f t="shared" si="195"/>
        <v>1.6705194805194805</v>
      </c>
      <c r="R1587" s="29">
        <f t="shared" si="196"/>
        <v>11.470191082802547</v>
      </c>
      <c r="S1587" s="30">
        <f t="shared" si="197"/>
        <v>10</v>
      </c>
      <c r="T1587" s="30">
        <f t="shared" si="198"/>
        <v>2023</v>
      </c>
      <c r="U1587" s="29" t="str">
        <f t="shared" si="199"/>
        <v>October</v>
      </c>
    </row>
    <row r="1588" spans="1:21" ht="17.399999999999999" x14ac:dyDescent="0.3">
      <c r="A1588" s="21" t="s">
        <v>3141</v>
      </c>
      <c r="B1588" s="21" t="s">
        <v>3142</v>
      </c>
      <c r="C1588" s="23" t="s">
        <v>3518</v>
      </c>
      <c r="D1588" s="21" t="s">
        <v>3517</v>
      </c>
      <c r="E1588" s="24">
        <v>45219</v>
      </c>
      <c r="F1588" s="24">
        <v>45232</v>
      </c>
      <c r="G1588" s="22" t="s">
        <v>14</v>
      </c>
      <c r="H1588" s="25">
        <v>51192</v>
      </c>
      <c r="I1588" s="25">
        <v>2378</v>
      </c>
      <c r="J1588" s="26">
        <v>2223.59</v>
      </c>
      <c r="K1588" s="25">
        <v>235</v>
      </c>
      <c r="L1588" s="21" t="s">
        <v>17</v>
      </c>
      <c r="M1588" s="22" t="s">
        <v>3537</v>
      </c>
      <c r="N1588" s="27">
        <f t="shared" si="192"/>
        <v>13</v>
      </c>
      <c r="O1588" s="28">
        <f t="shared" si="193"/>
        <v>4.6452570714174087E-2</v>
      </c>
      <c r="P1588" s="28">
        <f t="shared" si="194"/>
        <v>9.8822539949537422E-2</v>
      </c>
      <c r="Q1588" s="26">
        <f t="shared" si="195"/>
        <v>0.93506728343145507</v>
      </c>
      <c r="R1588" s="29">
        <f t="shared" si="196"/>
        <v>9.4620851063829789</v>
      </c>
      <c r="S1588" s="30">
        <f t="shared" si="197"/>
        <v>10</v>
      </c>
      <c r="T1588" s="30">
        <f t="shared" si="198"/>
        <v>2023</v>
      </c>
      <c r="U1588" s="29" t="str">
        <f t="shared" si="199"/>
        <v>October</v>
      </c>
    </row>
    <row r="1589" spans="1:21" ht="17.399999999999999" x14ac:dyDescent="0.3">
      <c r="A1589" s="21" t="s">
        <v>3405</v>
      </c>
      <c r="B1589" s="21" t="s">
        <v>3406</v>
      </c>
      <c r="C1589" s="23" t="s">
        <v>3518</v>
      </c>
      <c r="D1589" s="21" t="s">
        <v>3521</v>
      </c>
      <c r="E1589" s="24">
        <v>45219</v>
      </c>
      <c r="F1589" s="24">
        <v>45240</v>
      </c>
      <c r="G1589" s="22" t="s">
        <v>11</v>
      </c>
      <c r="H1589" s="25">
        <v>82061</v>
      </c>
      <c r="I1589" s="25">
        <v>3714</v>
      </c>
      <c r="J1589" s="26">
        <v>2835.67</v>
      </c>
      <c r="K1589" s="25">
        <v>255</v>
      </c>
      <c r="L1589" s="21" t="s">
        <v>21</v>
      </c>
      <c r="M1589" s="22" t="s">
        <v>11</v>
      </c>
      <c r="N1589" s="27">
        <f t="shared" si="192"/>
        <v>21</v>
      </c>
      <c r="O1589" s="28">
        <f t="shared" si="193"/>
        <v>4.5259014635454113E-2</v>
      </c>
      <c r="P1589" s="28">
        <f t="shared" si="194"/>
        <v>6.8659127625201932E-2</v>
      </c>
      <c r="Q1589" s="26">
        <f t="shared" si="195"/>
        <v>0.7635083467959074</v>
      </c>
      <c r="R1589" s="29">
        <f t="shared" si="196"/>
        <v>11.120274509803922</v>
      </c>
      <c r="S1589" s="30">
        <f t="shared" si="197"/>
        <v>10</v>
      </c>
      <c r="T1589" s="30">
        <f t="shared" si="198"/>
        <v>2023</v>
      </c>
      <c r="U1589" s="29" t="str">
        <f t="shared" si="199"/>
        <v>October</v>
      </c>
    </row>
    <row r="1590" spans="1:21" ht="17.399999999999999" x14ac:dyDescent="0.3">
      <c r="A1590" s="21" t="s">
        <v>2216</v>
      </c>
      <c r="B1590" s="21" t="s">
        <v>2217</v>
      </c>
      <c r="C1590" s="23" t="s">
        <v>3516</v>
      </c>
      <c r="D1590" s="21" t="s">
        <v>3521</v>
      </c>
      <c r="E1590" s="24">
        <v>45219</v>
      </c>
      <c r="F1590" s="24">
        <v>45224</v>
      </c>
      <c r="G1590" s="22" t="s">
        <v>24</v>
      </c>
      <c r="H1590" s="25">
        <v>95270</v>
      </c>
      <c r="I1590" s="25">
        <v>1668</v>
      </c>
      <c r="J1590" s="26">
        <v>1799.62</v>
      </c>
      <c r="K1590" s="25">
        <v>249</v>
      </c>
      <c r="L1590" s="21" t="s">
        <v>21</v>
      </c>
      <c r="M1590" s="22" t="s">
        <v>3536</v>
      </c>
      <c r="N1590" s="27">
        <f t="shared" si="192"/>
        <v>5</v>
      </c>
      <c r="O1590" s="28">
        <f t="shared" si="193"/>
        <v>1.7508134774850425E-2</v>
      </c>
      <c r="P1590" s="28">
        <f t="shared" si="194"/>
        <v>0.14928057553956833</v>
      </c>
      <c r="Q1590" s="26">
        <f t="shared" si="195"/>
        <v>1.0789088729016787</v>
      </c>
      <c r="R1590" s="29">
        <f t="shared" si="196"/>
        <v>7.2273895582329315</v>
      </c>
      <c r="S1590" s="30">
        <f t="shared" si="197"/>
        <v>10</v>
      </c>
      <c r="T1590" s="30">
        <f t="shared" si="198"/>
        <v>2023</v>
      </c>
      <c r="U1590" s="29" t="str">
        <f t="shared" si="199"/>
        <v>October</v>
      </c>
    </row>
    <row r="1591" spans="1:21" ht="17.399999999999999" x14ac:dyDescent="0.3">
      <c r="A1591" s="21" t="s">
        <v>3351</v>
      </c>
      <c r="B1591" s="22" t="s">
        <v>3960</v>
      </c>
      <c r="C1591" s="23" t="s">
        <v>3516</v>
      </c>
      <c r="D1591" s="22" t="s">
        <v>3545</v>
      </c>
      <c r="E1591" s="24">
        <v>45219</v>
      </c>
      <c r="F1591" s="24">
        <v>45222</v>
      </c>
      <c r="G1591" s="22" t="s">
        <v>16</v>
      </c>
      <c r="H1591" s="25">
        <v>31087</v>
      </c>
      <c r="I1591" s="25">
        <v>1394</v>
      </c>
      <c r="J1591" s="26">
        <v>1772.8</v>
      </c>
      <c r="K1591" s="25">
        <v>74</v>
      </c>
      <c r="L1591" s="21" t="s">
        <v>17</v>
      </c>
      <c r="M1591" s="22" t="s">
        <v>16</v>
      </c>
      <c r="N1591" s="27">
        <f t="shared" si="192"/>
        <v>3</v>
      </c>
      <c r="O1591" s="28">
        <f t="shared" si="193"/>
        <v>4.4841895326020523E-2</v>
      </c>
      <c r="P1591" s="28">
        <f t="shared" si="194"/>
        <v>5.308464849354376E-2</v>
      </c>
      <c r="Q1591" s="26">
        <f t="shared" si="195"/>
        <v>1.2717360114777618</v>
      </c>
      <c r="R1591" s="29">
        <f t="shared" si="196"/>
        <v>23.956756756756757</v>
      </c>
      <c r="S1591" s="30">
        <f t="shared" si="197"/>
        <v>10</v>
      </c>
      <c r="T1591" s="30">
        <f t="shared" si="198"/>
        <v>2023</v>
      </c>
      <c r="U1591" s="29" t="str">
        <f t="shared" si="199"/>
        <v>October</v>
      </c>
    </row>
    <row r="1592" spans="1:21" ht="17.399999999999999" x14ac:dyDescent="0.3">
      <c r="A1592" s="21" t="s">
        <v>2105</v>
      </c>
      <c r="B1592" s="21" t="s">
        <v>2106</v>
      </c>
      <c r="C1592" s="23" t="s">
        <v>3515</v>
      </c>
      <c r="D1592" s="21" t="s">
        <v>3521</v>
      </c>
      <c r="E1592" s="24">
        <v>45219</v>
      </c>
      <c r="F1592" s="24">
        <v>45232</v>
      </c>
      <c r="G1592" s="22" t="s">
        <v>24</v>
      </c>
      <c r="H1592" s="25">
        <v>18368</v>
      </c>
      <c r="I1592" s="25">
        <v>743</v>
      </c>
      <c r="J1592" s="26">
        <v>654.15</v>
      </c>
      <c r="K1592" s="25">
        <v>120</v>
      </c>
      <c r="L1592" s="21" t="s">
        <v>17</v>
      </c>
      <c r="M1592" s="22" t="s">
        <v>3536</v>
      </c>
      <c r="N1592" s="27">
        <f t="shared" si="192"/>
        <v>13</v>
      </c>
      <c r="O1592" s="28">
        <f t="shared" si="193"/>
        <v>4.0450783972125433E-2</v>
      </c>
      <c r="P1592" s="28">
        <f t="shared" si="194"/>
        <v>0.16150740242261102</v>
      </c>
      <c r="Q1592" s="26">
        <f t="shared" si="195"/>
        <v>0.88041722745625839</v>
      </c>
      <c r="R1592" s="29">
        <f t="shared" si="196"/>
        <v>5.4512499999999999</v>
      </c>
      <c r="S1592" s="30">
        <f t="shared" si="197"/>
        <v>10</v>
      </c>
      <c r="T1592" s="30">
        <f t="shared" si="198"/>
        <v>2023</v>
      </c>
      <c r="U1592" s="29" t="str">
        <f t="shared" si="199"/>
        <v>October</v>
      </c>
    </row>
    <row r="1593" spans="1:21" ht="17.399999999999999" x14ac:dyDescent="0.3">
      <c r="A1593" s="21" t="s">
        <v>2180</v>
      </c>
      <c r="B1593" s="21" t="s">
        <v>2181</v>
      </c>
      <c r="C1593" s="23" t="s">
        <v>3515</v>
      </c>
      <c r="D1593" s="21" t="s">
        <v>3521</v>
      </c>
      <c r="E1593" s="24">
        <v>45219</v>
      </c>
      <c r="F1593" s="24">
        <v>45227</v>
      </c>
      <c r="G1593" s="22" t="s">
        <v>3535</v>
      </c>
      <c r="H1593" s="25">
        <v>14224</v>
      </c>
      <c r="I1593" s="25">
        <v>206</v>
      </c>
      <c r="J1593" s="26">
        <v>108.85</v>
      </c>
      <c r="K1593" s="25">
        <v>19</v>
      </c>
      <c r="L1593" s="21" t="s">
        <v>17</v>
      </c>
      <c r="M1593" s="22" t="s">
        <v>3535</v>
      </c>
      <c r="N1593" s="27">
        <f t="shared" si="192"/>
        <v>8</v>
      </c>
      <c r="O1593" s="28">
        <f t="shared" si="193"/>
        <v>1.4482564679415073E-2</v>
      </c>
      <c r="P1593" s="28">
        <f t="shared" si="194"/>
        <v>9.2233009708737865E-2</v>
      </c>
      <c r="Q1593" s="26">
        <f t="shared" si="195"/>
        <v>0.52839805825242714</v>
      </c>
      <c r="R1593" s="29">
        <f t="shared" si="196"/>
        <v>5.7289473684210526</v>
      </c>
      <c r="S1593" s="30">
        <f t="shared" si="197"/>
        <v>10</v>
      </c>
      <c r="T1593" s="30">
        <f t="shared" si="198"/>
        <v>2023</v>
      </c>
      <c r="U1593" s="29" t="str">
        <f t="shared" si="199"/>
        <v>October</v>
      </c>
    </row>
    <row r="1594" spans="1:21" ht="17.399999999999999" x14ac:dyDescent="0.3">
      <c r="A1594" s="21" t="s">
        <v>3051</v>
      </c>
      <c r="B1594" s="22" t="s">
        <v>3961</v>
      </c>
      <c r="C1594" s="23" t="s">
        <v>3515</v>
      </c>
      <c r="D1594" s="22" t="s">
        <v>3545</v>
      </c>
      <c r="E1594" s="24">
        <v>45219</v>
      </c>
      <c r="F1594" s="24">
        <v>45230</v>
      </c>
      <c r="G1594" s="22" t="s">
        <v>11</v>
      </c>
      <c r="H1594" s="25">
        <v>64620</v>
      </c>
      <c r="I1594" s="25">
        <v>1830</v>
      </c>
      <c r="J1594" s="26">
        <v>1705.23</v>
      </c>
      <c r="K1594" s="25">
        <v>211</v>
      </c>
      <c r="L1594" s="21" t="s">
        <v>17</v>
      </c>
      <c r="M1594" s="22" t="s">
        <v>11</v>
      </c>
      <c r="N1594" s="27">
        <f t="shared" si="192"/>
        <v>11</v>
      </c>
      <c r="O1594" s="28">
        <f t="shared" si="193"/>
        <v>2.8319405756731662E-2</v>
      </c>
      <c r="P1594" s="28">
        <f t="shared" si="194"/>
        <v>0.11530054644808743</v>
      </c>
      <c r="Q1594" s="26">
        <f t="shared" si="195"/>
        <v>0.93181967213114758</v>
      </c>
      <c r="R1594" s="29">
        <f t="shared" si="196"/>
        <v>8.0816587677725114</v>
      </c>
      <c r="S1594" s="30">
        <f t="shared" si="197"/>
        <v>10</v>
      </c>
      <c r="T1594" s="30">
        <f t="shared" si="198"/>
        <v>2023</v>
      </c>
      <c r="U1594" s="29" t="str">
        <f t="shared" si="199"/>
        <v>October</v>
      </c>
    </row>
    <row r="1595" spans="1:21" ht="17.399999999999999" x14ac:dyDescent="0.3">
      <c r="A1595" s="21" t="s">
        <v>3265</v>
      </c>
      <c r="B1595" s="21" t="s">
        <v>3266</v>
      </c>
      <c r="C1595" s="23" t="s">
        <v>3515</v>
      </c>
      <c r="D1595" s="21" t="s">
        <v>3517</v>
      </c>
      <c r="E1595" s="24">
        <v>45219</v>
      </c>
      <c r="F1595" s="24">
        <v>45249</v>
      </c>
      <c r="G1595" s="22" t="s">
        <v>16</v>
      </c>
      <c r="H1595" s="25">
        <v>86530</v>
      </c>
      <c r="I1595" s="25">
        <v>1613</v>
      </c>
      <c r="J1595" s="26">
        <v>1327.07</v>
      </c>
      <c r="K1595" s="25">
        <v>0</v>
      </c>
      <c r="L1595" s="21" t="s">
        <v>21</v>
      </c>
      <c r="M1595" s="22" t="s">
        <v>16</v>
      </c>
      <c r="N1595" s="27">
        <f t="shared" si="192"/>
        <v>30</v>
      </c>
      <c r="O1595" s="28">
        <f t="shared" si="193"/>
        <v>1.864093378019184E-2</v>
      </c>
      <c r="P1595" s="28">
        <f t="shared" si="194"/>
        <v>0</v>
      </c>
      <c r="Q1595" s="26">
        <f t="shared" si="195"/>
        <v>0.82273403595784245</v>
      </c>
      <c r="R1595" s="29" t="str">
        <f t="shared" si="196"/>
        <v>0</v>
      </c>
      <c r="S1595" s="30">
        <f t="shared" si="197"/>
        <v>10</v>
      </c>
      <c r="T1595" s="30">
        <f t="shared" si="198"/>
        <v>2023</v>
      </c>
      <c r="U1595" s="29" t="str">
        <f t="shared" si="199"/>
        <v>October</v>
      </c>
    </row>
    <row r="1596" spans="1:21" ht="17.399999999999999" x14ac:dyDescent="0.3">
      <c r="A1596" s="21" t="s">
        <v>2679</v>
      </c>
      <c r="B1596" s="22" t="s">
        <v>3962</v>
      </c>
      <c r="C1596" s="23" t="s">
        <v>3519</v>
      </c>
      <c r="D1596" s="22" t="s">
        <v>3545</v>
      </c>
      <c r="E1596" s="24">
        <v>45220</v>
      </c>
      <c r="F1596" s="24">
        <v>45233</v>
      </c>
      <c r="G1596" s="22" t="s">
        <v>3535</v>
      </c>
      <c r="H1596" s="25">
        <v>13182</v>
      </c>
      <c r="I1596" s="25">
        <v>655</v>
      </c>
      <c r="J1596" s="26">
        <v>1021.1</v>
      </c>
      <c r="K1596" s="25">
        <v>63</v>
      </c>
      <c r="L1596" s="21" t="s">
        <v>17</v>
      </c>
      <c r="M1596" s="22" t="s">
        <v>3535</v>
      </c>
      <c r="N1596" s="27">
        <f t="shared" si="192"/>
        <v>13</v>
      </c>
      <c r="O1596" s="28">
        <f t="shared" si="193"/>
        <v>4.9688969807313001E-2</v>
      </c>
      <c r="P1596" s="28">
        <f t="shared" si="194"/>
        <v>9.6183206106870228E-2</v>
      </c>
      <c r="Q1596" s="26">
        <f t="shared" si="195"/>
        <v>1.5589312977099237</v>
      </c>
      <c r="R1596" s="29">
        <f t="shared" si="196"/>
        <v>16.207936507936509</v>
      </c>
      <c r="S1596" s="30">
        <f t="shared" si="197"/>
        <v>10</v>
      </c>
      <c r="T1596" s="30">
        <f t="shared" si="198"/>
        <v>2023</v>
      </c>
      <c r="U1596" s="29" t="str">
        <f t="shared" si="199"/>
        <v>October</v>
      </c>
    </row>
    <row r="1597" spans="1:21" ht="17.399999999999999" x14ac:dyDescent="0.3">
      <c r="A1597" s="21" t="s">
        <v>1297</v>
      </c>
      <c r="B1597" s="21" t="s">
        <v>1298</v>
      </c>
      <c r="C1597" s="23" t="s">
        <v>3518</v>
      </c>
      <c r="D1597" s="21" t="s">
        <v>3520</v>
      </c>
      <c r="E1597" s="24">
        <v>45220</v>
      </c>
      <c r="F1597" s="24">
        <v>45239</v>
      </c>
      <c r="G1597" s="22" t="s">
        <v>11</v>
      </c>
      <c r="H1597" s="25">
        <v>22732</v>
      </c>
      <c r="I1597" s="25">
        <v>997</v>
      </c>
      <c r="J1597" s="26">
        <v>1141</v>
      </c>
      <c r="K1597" s="25">
        <v>103</v>
      </c>
      <c r="L1597" s="21" t="s">
        <v>21</v>
      </c>
      <c r="M1597" s="22" t="s">
        <v>11</v>
      </c>
      <c r="N1597" s="27">
        <f t="shared" si="192"/>
        <v>19</v>
      </c>
      <c r="O1597" s="28">
        <f t="shared" si="193"/>
        <v>4.3858877353510468E-2</v>
      </c>
      <c r="P1597" s="28">
        <f t="shared" si="194"/>
        <v>0.10330992978936811</v>
      </c>
      <c r="Q1597" s="26">
        <f t="shared" si="195"/>
        <v>1.1444332998996991</v>
      </c>
      <c r="R1597" s="29">
        <f t="shared" si="196"/>
        <v>11.077669902912621</v>
      </c>
      <c r="S1597" s="30">
        <f t="shared" si="197"/>
        <v>10</v>
      </c>
      <c r="T1597" s="30">
        <f t="shared" si="198"/>
        <v>2023</v>
      </c>
      <c r="U1597" s="29" t="str">
        <f t="shared" si="199"/>
        <v>October</v>
      </c>
    </row>
    <row r="1598" spans="1:21" ht="17.399999999999999" x14ac:dyDescent="0.3">
      <c r="A1598" s="21" t="s">
        <v>1853</v>
      </c>
      <c r="B1598" s="21" t="s">
        <v>1854</v>
      </c>
      <c r="C1598" s="23" t="s">
        <v>3518</v>
      </c>
      <c r="D1598" s="21" t="s">
        <v>3521</v>
      </c>
      <c r="E1598" s="24">
        <v>45220</v>
      </c>
      <c r="F1598" s="24">
        <v>45225</v>
      </c>
      <c r="G1598" s="22" t="s">
        <v>3535</v>
      </c>
      <c r="H1598" s="25">
        <v>37976</v>
      </c>
      <c r="I1598" s="25">
        <v>482</v>
      </c>
      <c r="J1598" s="26">
        <v>417.53</v>
      </c>
      <c r="K1598" s="25">
        <v>68</v>
      </c>
      <c r="L1598" s="21" t="s">
        <v>21</v>
      </c>
      <c r="M1598" s="22" t="s">
        <v>3535</v>
      </c>
      <c r="N1598" s="27">
        <f t="shared" si="192"/>
        <v>5</v>
      </c>
      <c r="O1598" s="28">
        <f t="shared" si="193"/>
        <v>1.2692226669475459E-2</v>
      </c>
      <c r="P1598" s="28">
        <f t="shared" si="194"/>
        <v>0.14107883817427386</v>
      </c>
      <c r="Q1598" s="26">
        <f t="shared" si="195"/>
        <v>0.86624481327800829</v>
      </c>
      <c r="R1598" s="29">
        <f t="shared" si="196"/>
        <v>6.140147058823529</v>
      </c>
      <c r="S1598" s="30">
        <f t="shared" si="197"/>
        <v>10</v>
      </c>
      <c r="T1598" s="30">
        <f t="shared" si="198"/>
        <v>2023</v>
      </c>
      <c r="U1598" s="29" t="str">
        <f t="shared" si="199"/>
        <v>October</v>
      </c>
    </row>
    <row r="1599" spans="1:21" ht="17.399999999999999" x14ac:dyDescent="0.3">
      <c r="A1599" s="21" t="s">
        <v>826</v>
      </c>
      <c r="B1599" s="22" t="s">
        <v>3963</v>
      </c>
      <c r="C1599" s="23" t="s">
        <v>3516</v>
      </c>
      <c r="D1599" s="22" t="s">
        <v>3545</v>
      </c>
      <c r="E1599" s="24">
        <v>45220</v>
      </c>
      <c r="F1599" s="24">
        <v>45249</v>
      </c>
      <c r="G1599" s="22" t="s">
        <v>14</v>
      </c>
      <c r="H1599" s="25">
        <v>29251</v>
      </c>
      <c r="I1599" s="25">
        <v>819</v>
      </c>
      <c r="J1599" s="26">
        <v>530.79999999999995</v>
      </c>
      <c r="K1599" s="25">
        <v>153</v>
      </c>
      <c r="L1599" s="21" t="s">
        <v>21</v>
      </c>
      <c r="M1599" s="22" t="s">
        <v>3537</v>
      </c>
      <c r="N1599" s="27">
        <f t="shared" si="192"/>
        <v>29</v>
      </c>
      <c r="O1599" s="28">
        <f t="shared" si="193"/>
        <v>2.7999042767768625E-2</v>
      </c>
      <c r="P1599" s="28">
        <f t="shared" si="194"/>
        <v>0.18681318681318682</v>
      </c>
      <c r="Q1599" s="26">
        <f t="shared" si="195"/>
        <v>0.64810744810744803</v>
      </c>
      <c r="R1599" s="29">
        <f t="shared" si="196"/>
        <v>3.4692810457516337</v>
      </c>
      <c r="S1599" s="30">
        <f t="shared" si="197"/>
        <v>10</v>
      </c>
      <c r="T1599" s="30">
        <f t="shared" si="198"/>
        <v>2023</v>
      </c>
      <c r="U1599" s="29" t="str">
        <f t="shared" si="199"/>
        <v>October</v>
      </c>
    </row>
    <row r="1600" spans="1:21" ht="17.399999999999999" x14ac:dyDescent="0.3">
      <c r="A1600" s="21" t="s">
        <v>1054</v>
      </c>
      <c r="B1600" s="21" t="s">
        <v>1055</v>
      </c>
      <c r="C1600" s="23" t="s">
        <v>3516</v>
      </c>
      <c r="D1600" s="21" t="s">
        <v>3521</v>
      </c>
      <c r="E1600" s="24">
        <v>45220</v>
      </c>
      <c r="F1600" s="24">
        <v>45226</v>
      </c>
      <c r="G1600" s="22" t="s">
        <v>31</v>
      </c>
      <c r="H1600" s="25">
        <v>38841</v>
      </c>
      <c r="I1600" s="25">
        <v>1387</v>
      </c>
      <c r="J1600" s="26">
        <v>1368.3</v>
      </c>
      <c r="K1600" s="25">
        <v>148</v>
      </c>
      <c r="L1600" s="21" t="s">
        <v>17</v>
      </c>
      <c r="M1600" s="22" t="s">
        <v>31</v>
      </c>
      <c r="N1600" s="27">
        <f t="shared" si="192"/>
        <v>6</v>
      </c>
      <c r="O1600" s="28">
        <f t="shared" si="193"/>
        <v>3.5709688216060347E-2</v>
      </c>
      <c r="P1600" s="28">
        <f t="shared" si="194"/>
        <v>0.10670511896178803</v>
      </c>
      <c r="Q1600" s="26">
        <f t="shared" si="195"/>
        <v>0.98651766402307139</v>
      </c>
      <c r="R1600" s="29">
        <f t="shared" si="196"/>
        <v>9.2452702702702698</v>
      </c>
      <c r="S1600" s="30">
        <f t="shared" si="197"/>
        <v>10</v>
      </c>
      <c r="T1600" s="30">
        <f t="shared" si="198"/>
        <v>2023</v>
      </c>
      <c r="U1600" s="29" t="str">
        <f t="shared" si="199"/>
        <v>October</v>
      </c>
    </row>
    <row r="1601" spans="1:21" ht="17.399999999999999" x14ac:dyDescent="0.3">
      <c r="A1601" s="21" t="s">
        <v>772</v>
      </c>
      <c r="B1601" s="21" t="s">
        <v>773</v>
      </c>
      <c r="C1601" s="23" t="s">
        <v>3515</v>
      </c>
      <c r="D1601" s="21" t="s">
        <v>3517</v>
      </c>
      <c r="E1601" s="24">
        <v>45220</v>
      </c>
      <c r="F1601" s="24">
        <v>45233</v>
      </c>
      <c r="G1601" s="22" t="s">
        <v>3535</v>
      </c>
      <c r="H1601" s="25">
        <v>54006</v>
      </c>
      <c r="I1601" s="25">
        <v>632</v>
      </c>
      <c r="J1601" s="26">
        <v>1207.33</v>
      </c>
      <c r="K1601" s="25">
        <v>77</v>
      </c>
      <c r="L1601" s="21" t="s">
        <v>17</v>
      </c>
      <c r="M1601" s="22" t="s">
        <v>3535</v>
      </c>
      <c r="N1601" s="27">
        <f t="shared" si="192"/>
        <v>13</v>
      </c>
      <c r="O1601" s="28">
        <f t="shared" si="193"/>
        <v>1.1702403436655186E-2</v>
      </c>
      <c r="P1601" s="28">
        <f t="shared" si="194"/>
        <v>0.12183544303797468</v>
      </c>
      <c r="Q1601" s="26">
        <f t="shared" si="195"/>
        <v>1.9103322784810126</v>
      </c>
      <c r="R1601" s="29">
        <f t="shared" si="196"/>
        <v>15.679610389610389</v>
      </c>
      <c r="S1601" s="30">
        <f t="shared" si="197"/>
        <v>10</v>
      </c>
      <c r="T1601" s="30">
        <f t="shared" si="198"/>
        <v>2023</v>
      </c>
      <c r="U1601" s="29" t="str">
        <f t="shared" si="199"/>
        <v>October</v>
      </c>
    </row>
    <row r="1602" spans="1:21" ht="17.399999999999999" x14ac:dyDescent="0.3">
      <c r="A1602" s="21" t="s">
        <v>3221</v>
      </c>
      <c r="B1602" s="21" t="s">
        <v>3222</v>
      </c>
      <c r="C1602" s="23" t="s">
        <v>3515</v>
      </c>
      <c r="D1602" s="21" t="s">
        <v>3517</v>
      </c>
      <c r="E1602" s="24">
        <v>45220</v>
      </c>
      <c r="F1602" s="24">
        <v>45235</v>
      </c>
      <c r="G1602" s="22" t="s">
        <v>11</v>
      </c>
      <c r="H1602" s="25">
        <v>23042</v>
      </c>
      <c r="I1602" s="25">
        <v>774</v>
      </c>
      <c r="J1602" s="26">
        <v>909.77</v>
      </c>
      <c r="K1602" s="25">
        <v>0</v>
      </c>
      <c r="L1602" s="21" t="s">
        <v>21</v>
      </c>
      <c r="M1602" s="22" t="s">
        <v>11</v>
      </c>
      <c r="N1602" s="27">
        <f t="shared" ref="N1602:N1665" si="200">F1602-E1602</f>
        <v>15</v>
      </c>
      <c r="O1602" s="28">
        <f t="shared" ref="O1602:O1665" si="201">I1602/H1602</f>
        <v>3.359083412898186E-2</v>
      </c>
      <c r="P1602" s="28">
        <f t="shared" ref="P1602:P1665" si="202">K1602/I1602</f>
        <v>0</v>
      </c>
      <c r="Q1602" s="26">
        <f t="shared" ref="Q1602:Q1665" si="203">J1602/I1602</f>
        <v>1.1754134366925064</v>
      </c>
      <c r="R1602" s="29" t="str">
        <f t="shared" ref="R1602:R1665" si="204">IFERROR(J1602/K1602,"0")</f>
        <v>0</v>
      </c>
      <c r="S1602" s="30">
        <f t="shared" ref="S1602:S1665" si="205">MONTH(E1602)</f>
        <v>10</v>
      </c>
      <c r="T1602" s="30">
        <f t="shared" ref="T1602:T1665" si="206">YEAR(E1602)</f>
        <v>2023</v>
      </c>
      <c r="U1602" s="29" t="str">
        <f t="shared" ref="U1602:U1665" si="207">TEXT(E1602,"mmmm")</f>
        <v>October</v>
      </c>
    </row>
    <row r="1603" spans="1:21" ht="17.399999999999999" x14ac:dyDescent="0.3">
      <c r="A1603" s="21" t="s">
        <v>3136</v>
      </c>
      <c r="B1603" s="22" t="s">
        <v>3964</v>
      </c>
      <c r="C1603" s="23" t="s">
        <v>3519</v>
      </c>
      <c r="D1603" s="22" t="s">
        <v>3545</v>
      </c>
      <c r="E1603" s="24">
        <v>45221</v>
      </c>
      <c r="F1603" s="24">
        <v>45233</v>
      </c>
      <c r="G1603" s="22" t="s">
        <v>16</v>
      </c>
      <c r="H1603" s="25">
        <v>84807</v>
      </c>
      <c r="I1603" s="25">
        <v>3066</v>
      </c>
      <c r="J1603" s="26">
        <v>3911.65</v>
      </c>
      <c r="K1603" s="25">
        <v>226</v>
      </c>
      <c r="L1603" s="21" t="s">
        <v>17</v>
      </c>
      <c r="M1603" s="22" t="s">
        <v>16</v>
      </c>
      <c r="N1603" s="27">
        <f t="shared" si="200"/>
        <v>12</v>
      </c>
      <c r="O1603" s="28">
        <f t="shared" si="201"/>
        <v>3.6152676076267286E-2</v>
      </c>
      <c r="P1603" s="28">
        <f t="shared" si="202"/>
        <v>7.3711676451402475E-2</v>
      </c>
      <c r="Q1603" s="26">
        <f t="shared" si="203"/>
        <v>1.2758153946510111</v>
      </c>
      <c r="R1603" s="29">
        <f t="shared" si="204"/>
        <v>17.308185840707964</v>
      </c>
      <c r="S1603" s="30">
        <f t="shared" si="205"/>
        <v>10</v>
      </c>
      <c r="T1603" s="30">
        <f t="shared" si="206"/>
        <v>2023</v>
      </c>
      <c r="U1603" s="29" t="str">
        <f t="shared" si="207"/>
        <v>October</v>
      </c>
    </row>
    <row r="1604" spans="1:21" ht="17.399999999999999" x14ac:dyDescent="0.3">
      <c r="A1604" s="21" t="s">
        <v>333</v>
      </c>
      <c r="B1604" s="22" t="s">
        <v>3965</v>
      </c>
      <c r="C1604" s="23" t="s">
        <v>3518</v>
      </c>
      <c r="D1604" s="22" t="s">
        <v>3545</v>
      </c>
      <c r="E1604" s="24">
        <v>45221</v>
      </c>
      <c r="F1604" s="24">
        <v>45225</v>
      </c>
      <c r="G1604" s="22" t="s">
        <v>16</v>
      </c>
      <c r="H1604" s="25">
        <v>7776</v>
      </c>
      <c r="I1604" s="25">
        <v>310</v>
      </c>
      <c r="J1604" s="26">
        <v>316.58999999999997</v>
      </c>
      <c r="K1604" s="25">
        <v>29</v>
      </c>
      <c r="L1604" s="21" t="s">
        <v>21</v>
      </c>
      <c r="M1604" s="22" t="s">
        <v>16</v>
      </c>
      <c r="N1604" s="27">
        <f t="shared" si="200"/>
        <v>4</v>
      </c>
      <c r="O1604" s="28">
        <f t="shared" si="201"/>
        <v>3.9866255144032921E-2</v>
      </c>
      <c r="P1604" s="28">
        <f t="shared" si="202"/>
        <v>9.3548387096774197E-2</v>
      </c>
      <c r="Q1604" s="26">
        <f t="shared" si="203"/>
        <v>1.0212580645161289</v>
      </c>
      <c r="R1604" s="29">
        <f t="shared" si="204"/>
        <v>10.916896551724138</v>
      </c>
      <c r="S1604" s="30">
        <f t="shared" si="205"/>
        <v>10</v>
      </c>
      <c r="T1604" s="30">
        <f t="shared" si="206"/>
        <v>2023</v>
      </c>
      <c r="U1604" s="29" t="str">
        <f t="shared" si="207"/>
        <v>October</v>
      </c>
    </row>
    <row r="1605" spans="1:21" ht="17.399999999999999" x14ac:dyDescent="0.3">
      <c r="A1605" s="21" t="s">
        <v>3481</v>
      </c>
      <c r="B1605" s="21" t="s">
        <v>3482</v>
      </c>
      <c r="C1605" s="23" t="s">
        <v>3518</v>
      </c>
      <c r="D1605" s="21" t="s">
        <v>3521</v>
      </c>
      <c r="E1605" s="24">
        <v>45221</v>
      </c>
      <c r="F1605" s="24">
        <v>45229</v>
      </c>
      <c r="G1605" s="22" t="s">
        <v>16</v>
      </c>
      <c r="H1605" s="25">
        <v>11326</v>
      </c>
      <c r="I1605" s="25">
        <v>494</v>
      </c>
      <c r="J1605" s="26">
        <v>652.54999999999995</v>
      </c>
      <c r="K1605" s="25">
        <v>96</v>
      </c>
      <c r="L1605" s="21" t="s">
        <v>17</v>
      </c>
      <c r="M1605" s="22" t="s">
        <v>16</v>
      </c>
      <c r="N1605" s="27">
        <f t="shared" si="200"/>
        <v>8</v>
      </c>
      <c r="O1605" s="28">
        <f t="shared" si="201"/>
        <v>4.3616457707928658E-2</v>
      </c>
      <c r="P1605" s="28">
        <f t="shared" si="202"/>
        <v>0.19433198380566802</v>
      </c>
      <c r="Q1605" s="26">
        <f t="shared" si="203"/>
        <v>1.3209514170040484</v>
      </c>
      <c r="R1605" s="29">
        <f t="shared" si="204"/>
        <v>6.7973958333333329</v>
      </c>
      <c r="S1605" s="30">
        <f t="shared" si="205"/>
        <v>10</v>
      </c>
      <c r="T1605" s="30">
        <f t="shared" si="206"/>
        <v>2023</v>
      </c>
      <c r="U1605" s="29" t="str">
        <f t="shared" si="207"/>
        <v>October</v>
      </c>
    </row>
    <row r="1606" spans="1:21" ht="17.399999999999999" x14ac:dyDescent="0.3">
      <c r="A1606" s="21" t="s">
        <v>1092</v>
      </c>
      <c r="B1606" s="22" t="s">
        <v>3966</v>
      </c>
      <c r="C1606" s="23" t="s">
        <v>3516</v>
      </c>
      <c r="D1606" s="22" t="s">
        <v>3545</v>
      </c>
      <c r="E1606" s="24">
        <v>45221</v>
      </c>
      <c r="F1606" s="24">
        <v>45249</v>
      </c>
      <c r="G1606" s="22" t="s">
        <v>3535</v>
      </c>
      <c r="H1606" s="25">
        <v>1728</v>
      </c>
      <c r="I1606" s="25">
        <v>58</v>
      </c>
      <c r="J1606" s="26">
        <v>72.23</v>
      </c>
      <c r="K1606" s="25">
        <v>7</v>
      </c>
      <c r="L1606" s="21" t="s">
        <v>17</v>
      </c>
      <c r="M1606" s="22" t="s">
        <v>3535</v>
      </c>
      <c r="N1606" s="27">
        <f t="shared" si="200"/>
        <v>28</v>
      </c>
      <c r="O1606" s="28">
        <f t="shared" si="201"/>
        <v>3.3564814814814818E-2</v>
      </c>
      <c r="P1606" s="28">
        <f t="shared" si="202"/>
        <v>0.1206896551724138</v>
      </c>
      <c r="Q1606" s="26">
        <f t="shared" si="203"/>
        <v>1.2453448275862069</v>
      </c>
      <c r="R1606" s="29">
        <f t="shared" si="204"/>
        <v>10.318571428571429</v>
      </c>
      <c r="S1606" s="30">
        <f t="shared" si="205"/>
        <v>10</v>
      </c>
      <c r="T1606" s="30">
        <f t="shared" si="206"/>
        <v>2023</v>
      </c>
      <c r="U1606" s="29" t="str">
        <f t="shared" si="207"/>
        <v>October</v>
      </c>
    </row>
    <row r="1607" spans="1:21" ht="17.399999999999999" x14ac:dyDescent="0.3">
      <c r="A1607" s="21" t="s">
        <v>2826</v>
      </c>
      <c r="B1607" s="21" t="s">
        <v>2827</v>
      </c>
      <c r="C1607" s="23" t="s">
        <v>3516</v>
      </c>
      <c r="D1607" s="21" t="s">
        <v>3520</v>
      </c>
      <c r="E1607" s="24">
        <v>45221</v>
      </c>
      <c r="F1607" s="24">
        <v>45235</v>
      </c>
      <c r="G1607" s="22" t="s">
        <v>31</v>
      </c>
      <c r="H1607" s="25">
        <v>3050</v>
      </c>
      <c r="I1607" s="25">
        <v>81</v>
      </c>
      <c r="J1607" s="26">
        <v>116.35</v>
      </c>
      <c r="K1607" s="25">
        <v>0</v>
      </c>
      <c r="L1607" s="21" t="s">
        <v>17</v>
      </c>
      <c r="M1607" s="22" t="s">
        <v>31</v>
      </c>
      <c r="N1607" s="27">
        <f t="shared" si="200"/>
        <v>14</v>
      </c>
      <c r="O1607" s="28">
        <f t="shared" si="201"/>
        <v>2.6557377049180327E-2</v>
      </c>
      <c r="P1607" s="28">
        <f t="shared" si="202"/>
        <v>0</v>
      </c>
      <c r="Q1607" s="26">
        <f t="shared" si="203"/>
        <v>1.4364197530864198</v>
      </c>
      <c r="R1607" s="29" t="str">
        <f t="shared" si="204"/>
        <v>0</v>
      </c>
      <c r="S1607" s="30">
        <f t="shared" si="205"/>
        <v>10</v>
      </c>
      <c r="T1607" s="30">
        <f t="shared" si="206"/>
        <v>2023</v>
      </c>
      <c r="U1607" s="29" t="str">
        <f t="shared" si="207"/>
        <v>October</v>
      </c>
    </row>
    <row r="1608" spans="1:21" ht="17.399999999999999" x14ac:dyDescent="0.3">
      <c r="A1608" s="21" t="s">
        <v>496</v>
      </c>
      <c r="B1608" s="22" t="s">
        <v>3967</v>
      </c>
      <c r="C1608" s="23" t="s">
        <v>3515</v>
      </c>
      <c r="D1608" s="22" t="s">
        <v>3545</v>
      </c>
      <c r="E1608" s="24">
        <v>45221</v>
      </c>
      <c r="F1608" s="24">
        <v>45250</v>
      </c>
      <c r="G1608" s="22" t="s">
        <v>11</v>
      </c>
      <c r="H1608" s="25">
        <v>47843</v>
      </c>
      <c r="I1608" s="25">
        <v>1135</v>
      </c>
      <c r="J1608" s="26">
        <v>848.93</v>
      </c>
      <c r="K1608" s="25">
        <v>0</v>
      </c>
      <c r="L1608" s="21" t="s">
        <v>17</v>
      </c>
      <c r="M1608" s="22" t="s">
        <v>11</v>
      </c>
      <c r="N1608" s="27">
        <f t="shared" si="200"/>
        <v>29</v>
      </c>
      <c r="O1608" s="28">
        <f t="shared" si="201"/>
        <v>2.372342871475451E-2</v>
      </c>
      <c r="P1608" s="28">
        <f t="shared" si="202"/>
        <v>0</v>
      </c>
      <c r="Q1608" s="26">
        <f t="shared" si="203"/>
        <v>0.74795594713656388</v>
      </c>
      <c r="R1608" s="29" t="str">
        <f t="shared" si="204"/>
        <v>0</v>
      </c>
      <c r="S1608" s="30">
        <f t="shared" si="205"/>
        <v>10</v>
      </c>
      <c r="T1608" s="30">
        <f t="shared" si="206"/>
        <v>2023</v>
      </c>
      <c r="U1608" s="29" t="str">
        <f t="shared" si="207"/>
        <v>October</v>
      </c>
    </row>
    <row r="1609" spans="1:21" ht="17.399999999999999" x14ac:dyDescent="0.3">
      <c r="A1609" s="21" t="s">
        <v>1974</v>
      </c>
      <c r="B1609" s="21" t="s">
        <v>1975</v>
      </c>
      <c r="C1609" s="23" t="s">
        <v>3515</v>
      </c>
      <c r="D1609" s="21" t="s">
        <v>3520</v>
      </c>
      <c r="E1609" s="24">
        <v>45221</v>
      </c>
      <c r="F1609" s="24">
        <v>45235</v>
      </c>
      <c r="G1609" s="22" t="s">
        <v>31</v>
      </c>
      <c r="H1609" s="25">
        <v>10184</v>
      </c>
      <c r="I1609" s="25">
        <v>443</v>
      </c>
      <c r="J1609" s="26">
        <v>640.61</v>
      </c>
      <c r="K1609" s="25">
        <v>0</v>
      </c>
      <c r="L1609" s="21" t="s">
        <v>21</v>
      </c>
      <c r="M1609" s="22" t="s">
        <v>31</v>
      </c>
      <c r="N1609" s="27">
        <f t="shared" si="200"/>
        <v>14</v>
      </c>
      <c r="O1609" s="28">
        <f t="shared" si="201"/>
        <v>4.3499607227022778E-2</v>
      </c>
      <c r="P1609" s="28">
        <f t="shared" si="202"/>
        <v>0</v>
      </c>
      <c r="Q1609" s="26">
        <f t="shared" si="203"/>
        <v>1.4460722347629797</v>
      </c>
      <c r="R1609" s="29" t="str">
        <f t="shared" si="204"/>
        <v>0</v>
      </c>
      <c r="S1609" s="30">
        <f t="shared" si="205"/>
        <v>10</v>
      </c>
      <c r="T1609" s="30">
        <f t="shared" si="206"/>
        <v>2023</v>
      </c>
      <c r="U1609" s="29" t="str">
        <f t="shared" si="207"/>
        <v>October</v>
      </c>
    </row>
    <row r="1610" spans="1:21" ht="17.399999999999999" x14ac:dyDescent="0.3">
      <c r="A1610" s="21" t="s">
        <v>2787</v>
      </c>
      <c r="B1610" s="21" t="s">
        <v>2788</v>
      </c>
      <c r="C1610" s="23" t="s">
        <v>3515</v>
      </c>
      <c r="D1610" s="21" t="s">
        <v>3517</v>
      </c>
      <c r="E1610" s="24">
        <v>45221</v>
      </c>
      <c r="F1610" s="24">
        <v>45235</v>
      </c>
      <c r="G1610" s="22" t="s">
        <v>16</v>
      </c>
      <c r="H1610" s="25">
        <v>40974</v>
      </c>
      <c r="I1610" s="25">
        <v>494</v>
      </c>
      <c r="J1610" s="26">
        <v>306.99</v>
      </c>
      <c r="K1610" s="25">
        <v>29</v>
      </c>
      <c r="L1610" s="21" t="s">
        <v>21</v>
      </c>
      <c r="M1610" s="22" t="s">
        <v>16</v>
      </c>
      <c r="N1610" s="27">
        <f t="shared" si="200"/>
        <v>14</v>
      </c>
      <c r="O1610" s="28">
        <f t="shared" si="201"/>
        <v>1.2056426026260555E-2</v>
      </c>
      <c r="P1610" s="28">
        <f t="shared" si="202"/>
        <v>5.8704453441295545E-2</v>
      </c>
      <c r="Q1610" s="26">
        <f t="shared" si="203"/>
        <v>0.62143724696356273</v>
      </c>
      <c r="R1610" s="29">
        <f t="shared" si="204"/>
        <v>10.585862068965518</v>
      </c>
      <c r="S1610" s="30">
        <f t="shared" si="205"/>
        <v>10</v>
      </c>
      <c r="T1610" s="30">
        <f t="shared" si="206"/>
        <v>2023</v>
      </c>
      <c r="U1610" s="29" t="str">
        <f t="shared" si="207"/>
        <v>October</v>
      </c>
    </row>
    <row r="1611" spans="1:21" ht="17.399999999999999" x14ac:dyDescent="0.3">
      <c r="A1611" s="21" t="s">
        <v>768</v>
      </c>
      <c r="B1611" s="22" t="s">
        <v>3968</v>
      </c>
      <c r="C1611" s="23" t="s">
        <v>3518</v>
      </c>
      <c r="D1611" s="22" t="s">
        <v>3545</v>
      </c>
      <c r="E1611" s="24">
        <v>45222</v>
      </c>
      <c r="F1611" s="24">
        <v>45228</v>
      </c>
      <c r="G1611" s="22" t="s">
        <v>31</v>
      </c>
      <c r="H1611" s="25">
        <v>57661</v>
      </c>
      <c r="I1611" s="25">
        <v>2028</v>
      </c>
      <c r="J1611" s="26">
        <v>1339.67</v>
      </c>
      <c r="K1611" s="25">
        <v>362</v>
      </c>
      <c r="L1611" s="21" t="s">
        <v>17</v>
      </c>
      <c r="M1611" s="22" t="s">
        <v>31</v>
      </c>
      <c r="N1611" s="27">
        <f t="shared" si="200"/>
        <v>6</v>
      </c>
      <c r="O1611" s="28">
        <f t="shared" si="201"/>
        <v>3.517108617609823E-2</v>
      </c>
      <c r="P1611" s="28">
        <f t="shared" si="202"/>
        <v>0.17850098619329388</v>
      </c>
      <c r="Q1611" s="26">
        <f t="shared" si="203"/>
        <v>0.66058678500986201</v>
      </c>
      <c r="R1611" s="29">
        <f t="shared" si="204"/>
        <v>3.7007458563535915</v>
      </c>
      <c r="S1611" s="30">
        <f t="shared" si="205"/>
        <v>10</v>
      </c>
      <c r="T1611" s="30">
        <f t="shared" si="206"/>
        <v>2023</v>
      </c>
      <c r="U1611" s="29" t="str">
        <f t="shared" si="207"/>
        <v>October</v>
      </c>
    </row>
    <row r="1612" spans="1:21" ht="17.399999999999999" x14ac:dyDescent="0.3">
      <c r="A1612" s="21" t="s">
        <v>2043</v>
      </c>
      <c r="B1612" s="21" t="s">
        <v>2044</v>
      </c>
      <c r="C1612" s="23" t="s">
        <v>3518</v>
      </c>
      <c r="D1612" s="21" t="s">
        <v>3521</v>
      </c>
      <c r="E1612" s="24">
        <v>45222</v>
      </c>
      <c r="F1612" s="24">
        <v>45225</v>
      </c>
      <c r="G1612" s="22" t="s">
        <v>24</v>
      </c>
      <c r="H1612" s="25">
        <v>68779</v>
      </c>
      <c r="I1612" s="25">
        <v>782</v>
      </c>
      <c r="J1612" s="26">
        <v>624.21</v>
      </c>
      <c r="K1612" s="25">
        <v>81</v>
      </c>
      <c r="L1612" s="21" t="s">
        <v>17</v>
      </c>
      <c r="M1612" s="22" t="s">
        <v>3536</v>
      </c>
      <c r="N1612" s="27">
        <f t="shared" si="200"/>
        <v>3</v>
      </c>
      <c r="O1612" s="28">
        <f t="shared" si="201"/>
        <v>1.1369749487488914E-2</v>
      </c>
      <c r="P1612" s="28">
        <f t="shared" si="202"/>
        <v>0.10358056265984655</v>
      </c>
      <c r="Q1612" s="26">
        <f t="shared" si="203"/>
        <v>0.79822250639386194</v>
      </c>
      <c r="R1612" s="29">
        <f t="shared" si="204"/>
        <v>7.7062962962962969</v>
      </c>
      <c r="S1612" s="30">
        <f t="shared" si="205"/>
        <v>10</v>
      </c>
      <c r="T1612" s="30">
        <f t="shared" si="206"/>
        <v>2023</v>
      </c>
      <c r="U1612" s="29" t="str">
        <f t="shared" si="207"/>
        <v>October</v>
      </c>
    </row>
    <row r="1613" spans="1:21" ht="17.399999999999999" x14ac:dyDescent="0.3">
      <c r="A1613" s="21" t="s">
        <v>2256</v>
      </c>
      <c r="B1613" s="21" t="s">
        <v>2257</v>
      </c>
      <c r="C1613" s="23" t="s">
        <v>3516</v>
      </c>
      <c r="D1613" s="21" t="s">
        <v>3521</v>
      </c>
      <c r="E1613" s="24">
        <v>45222</v>
      </c>
      <c r="F1613" s="24">
        <v>45251</v>
      </c>
      <c r="G1613" s="22" t="s">
        <v>14</v>
      </c>
      <c r="H1613" s="25">
        <v>25442</v>
      </c>
      <c r="I1613" s="25">
        <v>663</v>
      </c>
      <c r="J1613" s="26">
        <v>1152.17</v>
      </c>
      <c r="K1613" s="25">
        <v>54</v>
      </c>
      <c r="L1613" s="21" t="s">
        <v>17</v>
      </c>
      <c r="M1613" s="22" t="s">
        <v>3537</v>
      </c>
      <c r="N1613" s="27">
        <f t="shared" si="200"/>
        <v>29</v>
      </c>
      <c r="O1613" s="28">
        <f t="shared" si="201"/>
        <v>2.6059272069805833E-2</v>
      </c>
      <c r="P1613" s="28">
        <f t="shared" si="202"/>
        <v>8.1447963800904979E-2</v>
      </c>
      <c r="Q1613" s="26">
        <f t="shared" si="203"/>
        <v>1.7378129713423831</v>
      </c>
      <c r="R1613" s="29">
        <f t="shared" si="204"/>
        <v>21.336481481481481</v>
      </c>
      <c r="S1613" s="30">
        <f t="shared" si="205"/>
        <v>10</v>
      </c>
      <c r="T1613" s="30">
        <f t="shared" si="206"/>
        <v>2023</v>
      </c>
      <c r="U1613" s="29" t="str">
        <f t="shared" si="207"/>
        <v>October</v>
      </c>
    </row>
    <row r="1614" spans="1:21" ht="17.399999999999999" x14ac:dyDescent="0.3">
      <c r="A1614" s="21" t="s">
        <v>3120</v>
      </c>
      <c r="B1614" s="21" t="s">
        <v>3121</v>
      </c>
      <c r="C1614" s="23" t="s">
        <v>3516</v>
      </c>
      <c r="D1614" s="21" t="s">
        <v>3520</v>
      </c>
      <c r="E1614" s="24">
        <v>45222</v>
      </c>
      <c r="F1614" s="24">
        <v>45230</v>
      </c>
      <c r="G1614" s="22" t="s">
        <v>11</v>
      </c>
      <c r="H1614" s="25">
        <v>62246</v>
      </c>
      <c r="I1614" s="25">
        <v>2657</v>
      </c>
      <c r="J1614" s="26">
        <v>3788.43</v>
      </c>
      <c r="K1614" s="25">
        <v>257</v>
      </c>
      <c r="L1614" s="21" t="s">
        <v>17</v>
      </c>
      <c r="M1614" s="22" t="s">
        <v>11</v>
      </c>
      <c r="N1614" s="27">
        <f t="shared" si="200"/>
        <v>8</v>
      </c>
      <c r="O1614" s="28">
        <f t="shared" si="201"/>
        <v>4.2685473765382516E-2</v>
      </c>
      <c r="P1614" s="28">
        <f t="shared" si="202"/>
        <v>9.6725630410237115E-2</v>
      </c>
      <c r="Q1614" s="26">
        <f t="shared" si="203"/>
        <v>1.4258298833270606</v>
      </c>
      <c r="R1614" s="29">
        <f t="shared" si="204"/>
        <v>14.740972762645914</v>
      </c>
      <c r="S1614" s="30">
        <f t="shared" si="205"/>
        <v>10</v>
      </c>
      <c r="T1614" s="30">
        <f t="shared" si="206"/>
        <v>2023</v>
      </c>
      <c r="U1614" s="29" t="str">
        <f t="shared" si="207"/>
        <v>October</v>
      </c>
    </row>
    <row r="1615" spans="1:21" ht="17.399999999999999" x14ac:dyDescent="0.3">
      <c r="A1615" s="21" t="s">
        <v>2830</v>
      </c>
      <c r="B1615" s="21" t="s">
        <v>2831</v>
      </c>
      <c r="C1615" s="23" t="s">
        <v>3515</v>
      </c>
      <c r="D1615" s="21" t="s">
        <v>3520</v>
      </c>
      <c r="E1615" s="24">
        <v>45222</v>
      </c>
      <c r="F1615" s="24">
        <v>45228</v>
      </c>
      <c r="G1615" s="22" t="s">
        <v>16</v>
      </c>
      <c r="H1615" s="25">
        <v>25951</v>
      </c>
      <c r="I1615" s="25">
        <v>280</v>
      </c>
      <c r="J1615" s="26">
        <v>219.94</v>
      </c>
      <c r="K1615" s="25">
        <v>32</v>
      </c>
      <c r="L1615" s="21" t="s">
        <v>21</v>
      </c>
      <c r="M1615" s="22" t="s">
        <v>16</v>
      </c>
      <c r="N1615" s="27">
        <f t="shared" si="200"/>
        <v>6</v>
      </c>
      <c r="O1615" s="28">
        <f t="shared" si="201"/>
        <v>1.0789564949327578E-2</v>
      </c>
      <c r="P1615" s="28">
        <f t="shared" si="202"/>
        <v>0.11428571428571428</v>
      </c>
      <c r="Q1615" s="26">
        <f t="shared" si="203"/>
        <v>0.78549999999999998</v>
      </c>
      <c r="R1615" s="29">
        <f t="shared" si="204"/>
        <v>6.8731249999999999</v>
      </c>
      <c r="S1615" s="30">
        <f t="shared" si="205"/>
        <v>10</v>
      </c>
      <c r="T1615" s="30">
        <f t="shared" si="206"/>
        <v>2023</v>
      </c>
      <c r="U1615" s="29" t="str">
        <f t="shared" si="207"/>
        <v>October</v>
      </c>
    </row>
    <row r="1616" spans="1:21" ht="17.399999999999999" x14ac:dyDescent="0.3">
      <c r="A1616" s="21" t="s">
        <v>162</v>
      </c>
      <c r="B1616" s="22" t="s">
        <v>3969</v>
      </c>
      <c r="C1616" s="23" t="s">
        <v>3519</v>
      </c>
      <c r="D1616" s="22" t="s">
        <v>3545</v>
      </c>
      <c r="E1616" s="24">
        <v>45223</v>
      </c>
      <c r="F1616" s="24">
        <v>45253</v>
      </c>
      <c r="G1616" s="22" t="s">
        <v>3535</v>
      </c>
      <c r="H1616" s="25">
        <v>75065</v>
      </c>
      <c r="I1616" s="25">
        <v>1119</v>
      </c>
      <c r="J1616" s="26">
        <v>1984.85</v>
      </c>
      <c r="K1616" s="25">
        <v>73</v>
      </c>
      <c r="L1616" s="21" t="s">
        <v>21</v>
      </c>
      <c r="M1616" s="22" t="s">
        <v>3535</v>
      </c>
      <c r="N1616" s="27">
        <f t="shared" si="200"/>
        <v>30</v>
      </c>
      <c r="O1616" s="28">
        <f t="shared" si="201"/>
        <v>1.4907080530207154E-2</v>
      </c>
      <c r="P1616" s="28">
        <f t="shared" si="202"/>
        <v>6.523681858802502E-2</v>
      </c>
      <c r="Q1616" s="26">
        <f t="shared" si="203"/>
        <v>1.7737712243074173</v>
      </c>
      <c r="R1616" s="29">
        <f t="shared" si="204"/>
        <v>27.18972602739726</v>
      </c>
      <c r="S1616" s="30">
        <f t="shared" si="205"/>
        <v>10</v>
      </c>
      <c r="T1616" s="30">
        <f t="shared" si="206"/>
        <v>2023</v>
      </c>
      <c r="U1616" s="29" t="str">
        <f t="shared" si="207"/>
        <v>October</v>
      </c>
    </row>
    <row r="1617" spans="1:21" ht="17.399999999999999" x14ac:dyDescent="0.3">
      <c r="A1617" s="21" t="s">
        <v>173</v>
      </c>
      <c r="B1617" s="22" t="s">
        <v>3970</v>
      </c>
      <c r="C1617" s="23" t="s">
        <v>3518</v>
      </c>
      <c r="D1617" s="22" t="s">
        <v>3545</v>
      </c>
      <c r="E1617" s="24">
        <v>45223</v>
      </c>
      <c r="F1617" s="24">
        <v>45239</v>
      </c>
      <c r="G1617" s="22" t="s">
        <v>31</v>
      </c>
      <c r="H1617" s="25">
        <v>40099</v>
      </c>
      <c r="I1617" s="25">
        <v>566</v>
      </c>
      <c r="J1617" s="26">
        <v>1061.2</v>
      </c>
      <c r="K1617" s="25">
        <v>28</v>
      </c>
      <c r="L1617" s="21" t="s">
        <v>17</v>
      </c>
      <c r="M1617" s="22" t="s">
        <v>31</v>
      </c>
      <c r="N1617" s="27">
        <f t="shared" si="200"/>
        <v>16</v>
      </c>
      <c r="O1617" s="28">
        <f t="shared" si="201"/>
        <v>1.4115065213596348E-2</v>
      </c>
      <c r="P1617" s="28">
        <f t="shared" si="202"/>
        <v>4.9469964664310952E-2</v>
      </c>
      <c r="Q1617" s="26">
        <f t="shared" si="203"/>
        <v>1.8749116607773852</v>
      </c>
      <c r="R1617" s="29">
        <f t="shared" si="204"/>
        <v>37.9</v>
      </c>
      <c r="S1617" s="30">
        <f t="shared" si="205"/>
        <v>10</v>
      </c>
      <c r="T1617" s="30">
        <f t="shared" si="206"/>
        <v>2023</v>
      </c>
      <c r="U1617" s="29" t="str">
        <f t="shared" si="207"/>
        <v>October</v>
      </c>
    </row>
    <row r="1618" spans="1:21" ht="17.399999999999999" x14ac:dyDescent="0.3">
      <c r="A1618" s="21" t="s">
        <v>281</v>
      </c>
      <c r="B1618" s="22" t="s">
        <v>3971</v>
      </c>
      <c r="C1618" s="23" t="s">
        <v>3518</v>
      </c>
      <c r="D1618" s="22" t="s">
        <v>3545</v>
      </c>
      <c r="E1618" s="24">
        <v>45223</v>
      </c>
      <c r="F1618" s="24">
        <v>45248</v>
      </c>
      <c r="G1618" s="22" t="s">
        <v>11</v>
      </c>
      <c r="H1618" s="25">
        <v>68214</v>
      </c>
      <c r="I1618" s="25">
        <v>1707</v>
      </c>
      <c r="J1618" s="26">
        <v>2350.11</v>
      </c>
      <c r="K1618" s="25">
        <v>306</v>
      </c>
      <c r="L1618" s="21" t="s">
        <v>21</v>
      </c>
      <c r="M1618" s="22" t="s">
        <v>11</v>
      </c>
      <c r="N1618" s="27">
        <f t="shared" si="200"/>
        <v>25</v>
      </c>
      <c r="O1618" s="28">
        <f t="shared" si="201"/>
        <v>2.502418858298883E-2</v>
      </c>
      <c r="P1618" s="28">
        <f t="shared" si="202"/>
        <v>0.17926186291739896</v>
      </c>
      <c r="Q1618" s="26">
        <f t="shared" si="203"/>
        <v>1.3767486818980668</v>
      </c>
      <c r="R1618" s="29">
        <f t="shared" si="204"/>
        <v>7.6800980392156868</v>
      </c>
      <c r="S1618" s="30">
        <f t="shared" si="205"/>
        <v>10</v>
      </c>
      <c r="T1618" s="30">
        <f t="shared" si="206"/>
        <v>2023</v>
      </c>
      <c r="U1618" s="29" t="str">
        <f t="shared" si="207"/>
        <v>October</v>
      </c>
    </row>
    <row r="1619" spans="1:21" ht="17.399999999999999" x14ac:dyDescent="0.3">
      <c r="A1619" s="21" t="s">
        <v>1198</v>
      </c>
      <c r="B1619" s="21" t="s">
        <v>1199</v>
      </c>
      <c r="C1619" s="23" t="s">
        <v>3515</v>
      </c>
      <c r="D1619" s="21" t="s">
        <v>3520</v>
      </c>
      <c r="E1619" s="24">
        <v>45223</v>
      </c>
      <c r="F1619" s="24">
        <v>45241</v>
      </c>
      <c r="G1619" s="22" t="s">
        <v>24</v>
      </c>
      <c r="H1619" s="25">
        <v>55693</v>
      </c>
      <c r="I1619" s="25">
        <v>1608</v>
      </c>
      <c r="J1619" s="26">
        <v>2558.8000000000002</v>
      </c>
      <c r="K1619" s="25">
        <v>110</v>
      </c>
      <c r="L1619" s="21" t="s">
        <v>21</v>
      </c>
      <c r="M1619" s="22" t="s">
        <v>3536</v>
      </c>
      <c r="N1619" s="27">
        <f t="shared" si="200"/>
        <v>18</v>
      </c>
      <c r="O1619" s="28">
        <f t="shared" si="201"/>
        <v>2.8872569263641751E-2</v>
      </c>
      <c r="P1619" s="28">
        <f t="shared" si="202"/>
        <v>6.8407960199004969E-2</v>
      </c>
      <c r="Q1619" s="26">
        <f t="shared" si="203"/>
        <v>1.5912935323383086</v>
      </c>
      <c r="R1619" s="29">
        <f t="shared" si="204"/>
        <v>23.261818181818182</v>
      </c>
      <c r="S1619" s="30">
        <f t="shared" si="205"/>
        <v>10</v>
      </c>
      <c r="T1619" s="30">
        <f t="shared" si="206"/>
        <v>2023</v>
      </c>
      <c r="U1619" s="29" t="str">
        <f t="shared" si="207"/>
        <v>October</v>
      </c>
    </row>
    <row r="1620" spans="1:21" ht="17.399999999999999" x14ac:dyDescent="0.3">
      <c r="A1620" s="21" t="s">
        <v>872</v>
      </c>
      <c r="B1620" s="21" t="s">
        <v>873</v>
      </c>
      <c r="C1620" s="23" t="s">
        <v>3519</v>
      </c>
      <c r="D1620" s="21" t="s">
        <v>3520</v>
      </c>
      <c r="E1620" s="24">
        <v>45224</v>
      </c>
      <c r="F1620" s="24">
        <v>45254</v>
      </c>
      <c r="G1620" s="22" t="s">
        <v>31</v>
      </c>
      <c r="H1620" s="25">
        <v>17964</v>
      </c>
      <c r="I1620" s="25">
        <v>574</v>
      </c>
      <c r="J1620" s="26">
        <v>310.45999999999998</v>
      </c>
      <c r="K1620" s="25">
        <v>89</v>
      </c>
      <c r="L1620" s="21" t="s">
        <v>21</v>
      </c>
      <c r="M1620" s="22" t="s">
        <v>31</v>
      </c>
      <c r="N1620" s="27">
        <f t="shared" si="200"/>
        <v>30</v>
      </c>
      <c r="O1620" s="28">
        <f t="shared" si="201"/>
        <v>3.1952794477844576E-2</v>
      </c>
      <c r="P1620" s="28">
        <f t="shared" si="202"/>
        <v>0.15505226480836237</v>
      </c>
      <c r="Q1620" s="26">
        <f t="shared" si="203"/>
        <v>0.5408710801393728</v>
      </c>
      <c r="R1620" s="29">
        <f t="shared" si="204"/>
        <v>3.4883146067415729</v>
      </c>
      <c r="S1620" s="30">
        <f t="shared" si="205"/>
        <v>10</v>
      </c>
      <c r="T1620" s="30">
        <f t="shared" si="206"/>
        <v>2023</v>
      </c>
      <c r="U1620" s="29" t="str">
        <f t="shared" si="207"/>
        <v>October</v>
      </c>
    </row>
    <row r="1621" spans="1:21" ht="17.399999999999999" x14ac:dyDescent="0.3">
      <c r="A1621" s="21" t="s">
        <v>996</v>
      </c>
      <c r="B1621" s="21" t="s">
        <v>997</v>
      </c>
      <c r="C1621" s="23" t="s">
        <v>3519</v>
      </c>
      <c r="D1621" s="21" t="s">
        <v>3517</v>
      </c>
      <c r="E1621" s="24">
        <v>45224</v>
      </c>
      <c r="F1621" s="24">
        <v>45225</v>
      </c>
      <c r="G1621" s="22" t="s">
        <v>11</v>
      </c>
      <c r="H1621" s="25">
        <v>98532</v>
      </c>
      <c r="I1621" s="25">
        <v>3260</v>
      </c>
      <c r="J1621" s="26">
        <v>2912.86</v>
      </c>
      <c r="K1621" s="25">
        <v>608</v>
      </c>
      <c r="L1621" s="21" t="s">
        <v>21</v>
      </c>
      <c r="M1621" s="22" t="s">
        <v>11</v>
      </c>
      <c r="N1621" s="27">
        <f t="shared" si="200"/>
        <v>1</v>
      </c>
      <c r="O1621" s="28">
        <f t="shared" si="201"/>
        <v>3.3085698047334876E-2</v>
      </c>
      <c r="P1621" s="28">
        <f t="shared" si="202"/>
        <v>0.18650306748466258</v>
      </c>
      <c r="Q1621" s="26">
        <f t="shared" si="203"/>
        <v>0.89351533742331291</v>
      </c>
      <c r="R1621" s="29">
        <f t="shared" si="204"/>
        <v>4.7908881578947371</v>
      </c>
      <c r="S1621" s="30">
        <f t="shared" si="205"/>
        <v>10</v>
      </c>
      <c r="T1621" s="30">
        <f t="shared" si="206"/>
        <v>2023</v>
      </c>
      <c r="U1621" s="29" t="str">
        <f t="shared" si="207"/>
        <v>October</v>
      </c>
    </row>
    <row r="1622" spans="1:21" ht="17.399999999999999" x14ac:dyDescent="0.3">
      <c r="A1622" s="21" t="s">
        <v>1606</v>
      </c>
      <c r="B1622" s="22" t="s">
        <v>3972</v>
      </c>
      <c r="C1622" s="23" t="s">
        <v>3518</v>
      </c>
      <c r="D1622" s="22" t="s">
        <v>3545</v>
      </c>
      <c r="E1622" s="24">
        <v>45224</v>
      </c>
      <c r="F1622" s="24">
        <v>45241</v>
      </c>
      <c r="G1622" s="22" t="s">
        <v>14</v>
      </c>
      <c r="H1622" s="25">
        <v>42240</v>
      </c>
      <c r="I1622" s="25">
        <v>804</v>
      </c>
      <c r="J1622" s="26">
        <v>1603.86</v>
      </c>
      <c r="K1622" s="25">
        <v>83</v>
      </c>
      <c r="L1622" s="21" t="s">
        <v>17</v>
      </c>
      <c r="M1622" s="22" t="s">
        <v>3537</v>
      </c>
      <c r="N1622" s="27">
        <f t="shared" si="200"/>
        <v>17</v>
      </c>
      <c r="O1622" s="28">
        <f t="shared" si="201"/>
        <v>1.903409090909091E-2</v>
      </c>
      <c r="P1622" s="28">
        <f t="shared" si="202"/>
        <v>0.10323383084577115</v>
      </c>
      <c r="Q1622" s="26">
        <f t="shared" si="203"/>
        <v>1.9948507462686567</v>
      </c>
      <c r="R1622" s="29">
        <f t="shared" si="204"/>
        <v>19.323614457831326</v>
      </c>
      <c r="S1622" s="30">
        <f t="shared" si="205"/>
        <v>10</v>
      </c>
      <c r="T1622" s="30">
        <f t="shared" si="206"/>
        <v>2023</v>
      </c>
      <c r="U1622" s="29" t="str">
        <f t="shared" si="207"/>
        <v>October</v>
      </c>
    </row>
    <row r="1623" spans="1:21" ht="17.399999999999999" x14ac:dyDescent="0.3">
      <c r="A1623" s="21" t="s">
        <v>2620</v>
      </c>
      <c r="B1623" s="21" t="s">
        <v>2621</v>
      </c>
      <c r="C1623" s="23" t="s">
        <v>3516</v>
      </c>
      <c r="D1623" s="21" t="s">
        <v>3517</v>
      </c>
      <c r="E1623" s="24">
        <v>45224</v>
      </c>
      <c r="F1623" s="24">
        <v>45244</v>
      </c>
      <c r="G1623" s="22" t="s">
        <v>24</v>
      </c>
      <c r="H1623" s="25">
        <v>89929</v>
      </c>
      <c r="I1623" s="25">
        <v>2547</v>
      </c>
      <c r="J1623" s="26">
        <v>3118.23</v>
      </c>
      <c r="K1623" s="25">
        <v>148</v>
      </c>
      <c r="L1623" s="21" t="s">
        <v>17</v>
      </c>
      <c r="M1623" s="22" t="s">
        <v>3536</v>
      </c>
      <c r="N1623" s="27">
        <f t="shared" si="200"/>
        <v>20</v>
      </c>
      <c r="O1623" s="28">
        <f t="shared" si="201"/>
        <v>2.8322343181843453E-2</v>
      </c>
      <c r="P1623" s="28">
        <f t="shared" si="202"/>
        <v>5.8107577542206516E-2</v>
      </c>
      <c r="Q1623" s="26">
        <f t="shared" si="203"/>
        <v>1.2242756183745582</v>
      </c>
      <c r="R1623" s="29">
        <f t="shared" si="204"/>
        <v>21.069121621621623</v>
      </c>
      <c r="S1623" s="30">
        <f t="shared" si="205"/>
        <v>10</v>
      </c>
      <c r="T1623" s="30">
        <f t="shared" si="206"/>
        <v>2023</v>
      </c>
      <c r="U1623" s="29" t="str">
        <f t="shared" si="207"/>
        <v>October</v>
      </c>
    </row>
    <row r="1624" spans="1:21" ht="17.399999999999999" x14ac:dyDescent="0.3">
      <c r="A1624" s="21" t="s">
        <v>1724</v>
      </c>
      <c r="B1624" s="21" t="s">
        <v>1725</v>
      </c>
      <c r="C1624" s="23" t="s">
        <v>3515</v>
      </c>
      <c r="D1624" s="21" t="s">
        <v>3520</v>
      </c>
      <c r="E1624" s="24">
        <v>45224</v>
      </c>
      <c r="F1624" s="24">
        <v>45228</v>
      </c>
      <c r="G1624" s="22" t="s">
        <v>31</v>
      </c>
      <c r="H1624" s="25">
        <v>7229</v>
      </c>
      <c r="I1624" s="25">
        <v>316</v>
      </c>
      <c r="J1624" s="26">
        <v>570.35</v>
      </c>
      <c r="K1624" s="25">
        <v>49</v>
      </c>
      <c r="L1624" s="21" t="s">
        <v>17</v>
      </c>
      <c r="M1624" s="22" t="s">
        <v>31</v>
      </c>
      <c r="N1624" s="27">
        <f t="shared" si="200"/>
        <v>4</v>
      </c>
      <c r="O1624" s="28">
        <f t="shared" si="201"/>
        <v>4.3712823350394246E-2</v>
      </c>
      <c r="P1624" s="28">
        <f t="shared" si="202"/>
        <v>0.1550632911392405</v>
      </c>
      <c r="Q1624" s="26">
        <f t="shared" si="203"/>
        <v>1.8049050632911394</v>
      </c>
      <c r="R1624" s="29">
        <f t="shared" si="204"/>
        <v>11.639795918367348</v>
      </c>
      <c r="S1624" s="30">
        <f t="shared" si="205"/>
        <v>10</v>
      </c>
      <c r="T1624" s="30">
        <f t="shared" si="206"/>
        <v>2023</v>
      </c>
      <c r="U1624" s="29" t="str">
        <f t="shared" si="207"/>
        <v>October</v>
      </c>
    </row>
    <row r="1625" spans="1:21" ht="17.399999999999999" x14ac:dyDescent="0.3">
      <c r="A1625" s="21" t="s">
        <v>606</v>
      </c>
      <c r="B1625" s="22" t="s">
        <v>3973</v>
      </c>
      <c r="C1625" s="23" t="s">
        <v>3518</v>
      </c>
      <c r="D1625" s="22" t="s">
        <v>3545</v>
      </c>
      <c r="E1625" s="24">
        <v>45225</v>
      </c>
      <c r="F1625" s="24">
        <v>45252</v>
      </c>
      <c r="G1625" s="22" t="s">
        <v>16</v>
      </c>
      <c r="H1625" s="25">
        <v>4436</v>
      </c>
      <c r="I1625" s="25">
        <v>183</v>
      </c>
      <c r="J1625" s="26">
        <v>263.43</v>
      </c>
      <c r="K1625" s="25">
        <v>25</v>
      </c>
      <c r="L1625" s="21" t="s">
        <v>17</v>
      </c>
      <c r="M1625" s="22" t="s">
        <v>16</v>
      </c>
      <c r="N1625" s="27">
        <f t="shared" si="200"/>
        <v>27</v>
      </c>
      <c r="O1625" s="28">
        <f t="shared" si="201"/>
        <v>4.1253381424706942E-2</v>
      </c>
      <c r="P1625" s="28">
        <f t="shared" si="202"/>
        <v>0.13661202185792351</v>
      </c>
      <c r="Q1625" s="26">
        <f t="shared" si="203"/>
        <v>1.4395081967213115</v>
      </c>
      <c r="R1625" s="29">
        <f t="shared" si="204"/>
        <v>10.5372</v>
      </c>
      <c r="S1625" s="30">
        <f t="shared" si="205"/>
        <v>10</v>
      </c>
      <c r="T1625" s="30">
        <f t="shared" si="206"/>
        <v>2023</v>
      </c>
      <c r="U1625" s="29" t="str">
        <f t="shared" si="207"/>
        <v>October</v>
      </c>
    </row>
    <row r="1626" spans="1:21" ht="17.399999999999999" x14ac:dyDescent="0.3">
      <c r="A1626" s="21" t="s">
        <v>1200</v>
      </c>
      <c r="B1626" s="22" t="s">
        <v>3974</v>
      </c>
      <c r="C1626" s="23" t="s">
        <v>3516</v>
      </c>
      <c r="D1626" s="22" t="s">
        <v>3545</v>
      </c>
      <c r="E1626" s="24">
        <v>45225</v>
      </c>
      <c r="F1626" s="24">
        <v>45239</v>
      </c>
      <c r="G1626" s="22" t="s">
        <v>11</v>
      </c>
      <c r="H1626" s="25">
        <v>27962</v>
      </c>
      <c r="I1626" s="25">
        <v>294</v>
      </c>
      <c r="J1626" s="26">
        <v>360.62</v>
      </c>
      <c r="K1626" s="25">
        <v>48</v>
      </c>
      <c r="L1626" s="21" t="s">
        <v>17</v>
      </c>
      <c r="M1626" s="22" t="s">
        <v>11</v>
      </c>
      <c r="N1626" s="27">
        <f t="shared" si="200"/>
        <v>14</v>
      </c>
      <c r="O1626" s="28">
        <f t="shared" si="201"/>
        <v>1.0514269365567557E-2</v>
      </c>
      <c r="P1626" s="28">
        <f t="shared" si="202"/>
        <v>0.16326530612244897</v>
      </c>
      <c r="Q1626" s="26">
        <f t="shared" si="203"/>
        <v>1.2265986394557824</v>
      </c>
      <c r="R1626" s="29">
        <f t="shared" si="204"/>
        <v>7.5129166666666665</v>
      </c>
      <c r="S1626" s="30">
        <f t="shared" si="205"/>
        <v>10</v>
      </c>
      <c r="T1626" s="30">
        <f t="shared" si="206"/>
        <v>2023</v>
      </c>
      <c r="U1626" s="29" t="str">
        <f t="shared" si="207"/>
        <v>October</v>
      </c>
    </row>
    <row r="1627" spans="1:21" ht="17.399999999999999" x14ac:dyDescent="0.3">
      <c r="A1627" s="21" t="s">
        <v>1192</v>
      </c>
      <c r="B1627" s="21" t="s">
        <v>1193</v>
      </c>
      <c r="C1627" s="23" t="s">
        <v>3515</v>
      </c>
      <c r="D1627" s="21" t="s">
        <v>3520</v>
      </c>
      <c r="E1627" s="24">
        <v>45225</v>
      </c>
      <c r="F1627" s="24">
        <v>45254</v>
      </c>
      <c r="G1627" s="22" t="s">
        <v>11</v>
      </c>
      <c r="H1627" s="25">
        <v>20065</v>
      </c>
      <c r="I1627" s="25">
        <v>306</v>
      </c>
      <c r="J1627" s="26">
        <v>457.22</v>
      </c>
      <c r="K1627" s="25">
        <v>48</v>
      </c>
      <c r="L1627" s="21" t="s">
        <v>21</v>
      </c>
      <c r="M1627" s="22" t="s">
        <v>11</v>
      </c>
      <c r="N1627" s="27">
        <f t="shared" si="200"/>
        <v>29</v>
      </c>
      <c r="O1627" s="28">
        <f t="shared" si="201"/>
        <v>1.5250436082731123E-2</v>
      </c>
      <c r="P1627" s="28">
        <f t="shared" si="202"/>
        <v>0.15686274509803921</v>
      </c>
      <c r="Q1627" s="26">
        <f t="shared" si="203"/>
        <v>1.4941830065359478</v>
      </c>
      <c r="R1627" s="29">
        <f t="shared" si="204"/>
        <v>9.5254166666666666</v>
      </c>
      <c r="S1627" s="30">
        <f t="shared" si="205"/>
        <v>10</v>
      </c>
      <c r="T1627" s="30">
        <f t="shared" si="206"/>
        <v>2023</v>
      </c>
      <c r="U1627" s="29" t="str">
        <f t="shared" si="207"/>
        <v>October</v>
      </c>
    </row>
    <row r="1628" spans="1:21" ht="17.399999999999999" x14ac:dyDescent="0.3">
      <c r="A1628" s="21" t="s">
        <v>2238</v>
      </c>
      <c r="B1628" s="22" t="s">
        <v>3975</v>
      </c>
      <c r="C1628" s="23" t="s">
        <v>3515</v>
      </c>
      <c r="D1628" s="22" t="s">
        <v>3545</v>
      </c>
      <c r="E1628" s="24">
        <v>45225</v>
      </c>
      <c r="F1628" s="24">
        <v>45236</v>
      </c>
      <c r="G1628" s="22" t="s">
        <v>11</v>
      </c>
      <c r="H1628" s="25">
        <v>97731</v>
      </c>
      <c r="I1628" s="25">
        <v>3179</v>
      </c>
      <c r="J1628" s="26">
        <v>3339.36</v>
      </c>
      <c r="K1628" s="25">
        <v>0</v>
      </c>
      <c r="L1628" s="21" t="s">
        <v>21</v>
      </c>
      <c r="M1628" s="22" t="s">
        <v>11</v>
      </c>
      <c r="N1628" s="27">
        <f t="shared" si="200"/>
        <v>11</v>
      </c>
      <c r="O1628" s="28">
        <f t="shared" si="201"/>
        <v>3.2528061720436707E-2</v>
      </c>
      <c r="P1628" s="28">
        <f t="shared" si="202"/>
        <v>0</v>
      </c>
      <c r="Q1628" s="26">
        <f t="shared" si="203"/>
        <v>1.0504435357030513</v>
      </c>
      <c r="R1628" s="29" t="str">
        <f t="shared" si="204"/>
        <v>0</v>
      </c>
      <c r="S1628" s="30">
        <f t="shared" si="205"/>
        <v>10</v>
      </c>
      <c r="T1628" s="30">
        <f t="shared" si="206"/>
        <v>2023</v>
      </c>
      <c r="U1628" s="29" t="str">
        <f t="shared" si="207"/>
        <v>October</v>
      </c>
    </row>
    <row r="1629" spans="1:21" ht="17.399999999999999" x14ac:dyDescent="0.3">
      <c r="A1629" s="21" t="s">
        <v>3183</v>
      </c>
      <c r="B1629" s="21" t="s">
        <v>3184</v>
      </c>
      <c r="C1629" s="23" t="s">
        <v>3515</v>
      </c>
      <c r="D1629" s="21" t="s">
        <v>3520</v>
      </c>
      <c r="E1629" s="24">
        <v>45225</v>
      </c>
      <c r="F1629" s="24">
        <v>45255</v>
      </c>
      <c r="G1629" s="22" t="s">
        <v>11</v>
      </c>
      <c r="H1629" s="25">
        <v>28082</v>
      </c>
      <c r="I1629" s="25">
        <v>1146</v>
      </c>
      <c r="J1629" s="26">
        <v>2035.79</v>
      </c>
      <c r="K1629" s="25">
        <v>190</v>
      </c>
      <c r="L1629" s="21" t="s">
        <v>17</v>
      </c>
      <c r="M1629" s="22" t="s">
        <v>11</v>
      </c>
      <c r="N1629" s="27">
        <f t="shared" si="200"/>
        <v>30</v>
      </c>
      <c r="O1629" s="28">
        <f t="shared" si="201"/>
        <v>4.0809059183818816E-2</v>
      </c>
      <c r="P1629" s="28">
        <f t="shared" si="202"/>
        <v>0.16579406631762653</v>
      </c>
      <c r="Q1629" s="26">
        <f t="shared" si="203"/>
        <v>1.7764310645724257</v>
      </c>
      <c r="R1629" s="29">
        <f t="shared" si="204"/>
        <v>10.714684210526316</v>
      </c>
      <c r="S1629" s="30">
        <f t="shared" si="205"/>
        <v>10</v>
      </c>
      <c r="T1629" s="30">
        <f t="shared" si="206"/>
        <v>2023</v>
      </c>
      <c r="U1629" s="29" t="str">
        <f t="shared" si="207"/>
        <v>October</v>
      </c>
    </row>
    <row r="1630" spans="1:21" ht="17.399999999999999" x14ac:dyDescent="0.3">
      <c r="A1630" s="21" t="s">
        <v>660</v>
      </c>
      <c r="B1630" s="21" t="s">
        <v>661</v>
      </c>
      <c r="C1630" s="23" t="s">
        <v>3519</v>
      </c>
      <c r="D1630" s="21" t="s">
        <v>3520</v>
      </c>
      <c r="E1630" s="24">
        <v>45226</v>
      </c>
      <c r="F1630" s="24">
        <v>45229</v>
      </c>
      <c r="G1630" s="22" t="s">
        <v>11</v>
      </c>
      <c r="H1630" s="25">
        <v>97752</v>
      </c>
      <c r="I1630" s="25">
        <v>3582</v>
      </c>
      <c r="J1630" s="26">
        <v>4040.04</v>
      </c>
      <c r="K1630" s="25">
        <v>626</v>
      </c>
      <c r="L1630" s="21" t="s">
        <v>21</v>
      </c>
      <c r="M1630" s="22" t="s">
        <v>11</v>
      </c>
      <c r="N1630" s="27">
        <f t="shared" si="200"/>
        <v>3</v>
      </c>
      <c r="O1630" s="28">
        <f t="shared" si="201"/>
        <v>3.6643751534495457E-2</v>
      </c>
      <c r="P1630" s="28">
        <f t="shared" si="202"/>
        <v>0.17476270240089337</v>
      </c>
      <c r="Q1630" s="26">
        <f t="shared" si="203"/>
        <v>1.1278726968174204</v>
      </c>
      <c r="R1630" s="29">
        <f t="shared" si="204"/>
        <v>6.4537380191693288</v>
      </c>
      <c r="S1630" s="30">
        <f t="shared" si="205"/>
        <v>10</v>
      </c>
      <c r="T1630" s="30">
        <f t="shared" si="206"/>
        <v>2023</v>
      </c>
      <c r="U1630" s="29" t="str">
        <f t="shared" si="207"/>
        <v>October</v>
      </c>
    </row>
    <row r="1631" spans="1:21" ht="17.399999999999999" x14ac:dyDescent="0.3">
      <c r="A1631" s="21" t="s">
        <v>70</v>
      </c>
      <c r="B1631" s="21" t="s">
        <v>71</v>
      </c>
      <c r="C1631" s="23" t="s">
        <v>3518</v>
      </c>
      <c r="D1631" s="21" t="s">
        <v>3517</v>
      </c>
      <c r="E1631" s="24">
        <v>45226</v>
      </c>
      <c r="F1631" s="24">
        <v>45228</v>
      </c>
      <c r="G1631" s="22" t="s">
        <v>24</v>
      </c>
      <c r="H1631" s="25">
        <v>85654</v>
      </c>
      <c r="I1631" s="25">
        <v>2087</v>
      </c>
      <c r="J1631" s="26">
        <v>2393.02</v>
      </c>
      <c r="K1631" s="25">
        <v>122</v>
      </c>
      <c r="L1631" s="21" t="s">
        <v>17</v>
      </c>
      <c r="M1631" s="22" t="s">
        <v>3536</v>
      </c>
      <c r="N1631" s="27">
        <f t="shared" si="200"/>
        <v>2</v>
      </c>
      <c r="O1631" s="28">
        <f t="shared" si="201"/>
        <v>2.436547038083452E-2</v>
      </c>
      <c r="P1631" s="28">
        <f t="shared" si="202"/>
        <v>5.8457115476760899E-2</v>
      </c>
      <c r="Q1631" s="26">
        <f t="shared" si="203"/>
        <v>1.1466315285098228</v>
      </c>
      <c r="R1631" s="29">
        <f t="shared" si="204"/>
        <v>19.614918032786886</v>
      </c>
      <c r="S1631" s="30">
        <f t="shared" si="205"/>
        <v>10</v>
      </c>
      <c r="T1631" s="30">
        <f t="shared" si="206"/>
        <v>2023</v>
      </c>
      <c r="U1631" s="29" t="str">
        <f t="shared" si="207"/>
        <v>October</v>
      </c>
    </row>
    <row r="1632" spans="1:21" ht="17.399999999999999" x14ac:dyDescent="0.3">
      <c r="A1632" s="21" t="s">
        <v>164</v>
      </c>
      <c r="B1632" s="21" t="s">
        <v>165</v>
      </c>
      <c r="C1632" s="23" t="s">
        <v>3518</v>
      </c>
      <c r="D1632" s="21" t="s">
        <v>3517</v>
      </c>
      <c r="E1632" s="24">
        <v>45226</v>
      </c>
      <c r="F1632" s="24">
        <v>45255</v>
      </c>
      <c r="G1632" s="22" t="s">
        <v>24</v>
      </c>
      <c r="H1632" s="25">
        <v>10268</v>
      </c>
      <c r="I1632" s="25">
        <v>123</v>
      </c>
      <c r="J1632" s="26">
        <v>64.03</v>
      </c>
      <c r="K1632" s="25">
        <v>8</v>
      </c>
      <c r="L1632" s="21" t="s">
        <v>17</v>
      </c>
      <c r="M1632" s="22" t="s">
        <v>3536</v>
      </c>
      <c r="N1632" s="27">
        <f t="shared" si="200"/>
        <v>29</v>
      </c>
      <c r="O1632" s="28">
        <f t="shared" si="201"/>
        <v>1.1978963770938839E-2</v>
      </c>
      <c r="P1632" s="28">
        <f t="shared" si="202"/>
        <v>6.5040650406504072E-2</v>
      </c>
      <c r="Q1632" s="26">
        <f t="shared" si="203"/>
        <v>0.52056910569105697</v>
      </c>
      <c r="R1632" s="29">
        <f t="shared" si="204"/>
        <v>8.0037500000000001</v>
      </c>
      <c r="S1632" s="30">
        <f t="shared" si="205"/>
        <v>10</v>
      </c>
      <c r="T1632" s="30">
        <f t="shared" si="206"/>
        <v>2023</v>
      </c>
      <c r="U1632" s="29" t="str">
        <f t="shared" si="207"/>
        <v>October</v>
      </c>
    </row>
    <row r="1633" spans="1:21" ht="17.399999999999999" x14ac:dyDescent="0.3">
      <c r="A1633" s="21" t="s">
        <v>2553</v>
      </c>
      <c r="B1633" s="21" t="s">
        <v>2554</v>
      </c>
      <c r="C1633" s="23" t="s">
        <v>3518</v>
      </c>
      <c r="D1633" s="21" t="s">
        <v>3520</v>
      </c>
      <c r="E1633" s="24">
        <v>45226</v>
      </c>
      <c r="F1633" s="24">
        <v>45249</v>
      </c>
      <c r="G1633" s="22" t="s">
        <v>14</v>
      </c>
      <c r="H1633" s="25">
        <v>54302</v>
      </c>
      <c r="I1633" s="25">
        <v>1730</v>
      </c>
      <c r="J1633" s="26">
        <v>912.42</v>
      </c>
      <c r="K1633" s="25">
        <v>243</v>
      </c>
      <c r="L1633" s="21" t="s">
        <v>21</v>
      </c>
      <c r="M1633" s="22" t="s">
        <v>3537</v>
      </c>
      <c r="N1633" s="27">
        <f t="shared" si="200"/>
        <v>23</v>
      </c>
      <c r="O1633" s="28">
        <f t="shared" si="201"/>
        <v>3.1858863393613497E-2</v>
      </c>
      <c r="P1633" s="28">
        <f t="shared" si="202"/>
        <v>0.14046242774566475</v>
      </c>
      <c r="Q1633" s="26">
        <f t="shared" si="203"/>
        <v>0.52741040462427746</v>
      </c>
      <c r="R1633" s="29">
        <f t="shared" si="204"/>
        <v>3.7548148148148148</v>
      </c>
      <c r="S1633" s="30">
        <f t="shared" si="205"/>
        <v>10</v>
      </c>
      <c r="T1633" s="30">
        <f t="shared" si="206"/>
        <v>2023</v>
      </c>
      <c r="U1633" s="29" t="str">
        <f t="shared" si="207"/>
        <v>October</v>
      </c>
    </row>
    <row r="1634" spans="1:21" ht="17.399999999999999" x14ac:dyDescent="0.3">
      <c r="A1634" s="21" t="s">
        <v>3281</v>
      </c>
      <c r="B1634" s="21" t="s">
        <v>3282</v>
      </c>
      <c r="C1634" s="23" t="s">
        <v>3516</v>
      </c>
      <c r="D1634" s="21" t="s">
        <v>3520</v>
      </c>
      <c r="E1634" s="24">
        <v>45226</v>
      </c>
      <c r="F1634" s="24">
        <v>45231</v>
      </c>
      <c r="G1634" s="22" t="s">
        <v>11</v>
      </c>
      <c r="H1634" s="25">
        <v>40110</v>
      </c>
      <c r="I1634" s="25">
        <v>960</v>
      </c>
      <c r="J1634" s="26">
        <v>1802.67</v>
      </c>
      <c r="K1634" s="25">
        <v>173</v>
      </c>
      <c r="L1634" s="21" t="s">
        <v>17</v>
      </c>
      <c r="M1634" s="22" t="s">
        <v>11</v>
      </c>
      <c r="N1634" s="27">
        <f t="shared" si="200"/>
        <v>5</v>
      </c>
      <c r="O1634" s="28">
        <f t="shared" si="201"/>
        <v>2.3934181002243829E-2</v>
      </c>
      <c r="P1634" s="28">
        <f t="shared" si="202"/>
        <v>0.18020833333333333</v>
      </c>
      <c r="Q1634" s="26">
        <f t="shared" si="203"/>
        <v>1.8777812500000002</v>
      </c>
      <c r="R1634" s="29">
        <f t="shared" si="204"/>
        <v>10.420057803468209</v>
      </c>
      <c r="S1634" s="30">
        <f t="shared" si="205"/>
        <v>10</v>
      </c>
      <c r="T1634" s="30">
        <f t="shared" si="206"/>
        <v>2023</v>
      </c>
      <c r="U1634" s="29" t="str">
        <f t="shared" si="207"/>
        <v>October</v>
      </c>
    </row>
    <row r="1635" spans="1:21" ht="17.399999999999999" x14ac:dyDescent="0.3">
      <c r="A1635" s="21" t="s">
        <v>331</v>
      </c>
      <c r="B1635" s="21" t="s">
        <v>332</v>
      </c>
      <c r="C1635" s="23" t="s">
        <v>3515</v>
      </c>
      <c r="D1635" s="21" t="s">
        <v>3517</v>
      </c>
      <c r="E1635" s="24">
        <v>45226</v>
      </c>
      <c r="F1635" s="24">
        <v>45246</v>
      </c>
      <c r="G1635" s="22" t="s">
        <v>16</v>
      </c>
      <c r="H1635" s="25">
        <v>62373</v>
      </c>
      <c r="I1635" s="25">
        <v>1994</v>
      </c>
      <c r="J1635" s="26">
        <v>1379.66</v>
      </c>
      <c r="K1635" s="25">
        <v>265</v>
      </c>
      <c r="L1635" s="21" t="s">
        <v>21</v>
      </c>
      <c r="M1635" s="22" t="s">
        <v>16</v>
      </c>
      <c r="N1635" s="27">
        <f t="shared" si="200"/>
        <v>20</v>
      </c>
      <c r="O1635" s="28">
        <f t="shared" si="201"/>
        <v>3.1968960928606932E-2</v>
      </c>
      <c r="P1635" s="28">
        <f t="shared" si="202"/>
        <v>0.13289869608826479</v>
      </c>
      <c r="Q1635" s="26">
        <f t="shared" si="203"/>
        <v>0.69190571715145444</v>
      </c>
      <c r="R1635" s="29">
        <f t="shared" si="204"/>
        <v>5.2062641509433965</v>
      </c>
      <c r="S1635" s="30">
        <f t="shared" si="205"/>
        <v>10</v>
      </c>
      <c r="T1635" s="30">
        <f t="shared" si="206"/>
        <v>2023</v>
      </c>
      <c r="U1635" s="29" t="str">
        <f t="shared" si="207"/>
        <v>October</v>
      </c>
    </row>
    <row r="1636" spans="1:21" ht="17.399999999999999" x14ac:dyDescent="0.3">
      <c r="A1636" s="21" t="s">
        <v>1608</v>
      </c>
      <c r="B1636" s="22" t="s">
        <v>3976</v>
      </c>
      <c r="C1636" s="23" t="s">
        <v>3519</v>
      </c>
      <c r="D1636" s="22" t="s">
        <v>3545</v>
      </c>
      <c r="E1636" s="24">
        <v>45228</v>
      </c>
      <c r="F1636" s="24">
        <v>45231</v>
      </c>
      <c r="G1636" s="22" t="s">
        <v>11</v>
      </c>
      <c r="H1636" s="25">
        <v>34434</v>
      </c>
      <c r="I1636" s="25">
        <v>1169</v>
      </c>
      <c r="J1636" s="26">
        <v>1935.48</v>
      </c>
      <c r="K1636" s="25">
        <v>144</v>
      </c>
      <c r="L1636" s="21" t="s">
        <v>21</v>
      </c>
      <c r="M1636" s="22" t="s">
        <v>11</v>
      </c>
      <c r="N1636" s="27">
        <f t="shared" si="200"/>
        <v>3</v>
      </c>
      <c r="O1636" s="28">
        <f t="shared" si="201"/>
        <v>3.3949003891502585E-2</v>
      </c>
      <c r="P1636" s="28">
        <f t="shared" si="202"/>
        <v>0.12318220701454234</v>
      </c>
      <c r="Q1636" s="26">
        <f t="shared" si="203"/>
        <v>1.6556715141146279</v>
      </c>
      <c r="R1636" s="29">
        <f t="shared" si="204"/>
        <v>13.440833333333334</v>
      </c>
      <c r="S1636" s="30">
        <f t="shared" si="205"/>
        <v>10</v>
      </c>
      <c r="T1636" s="30">
        <f t="shared" si="206"/>
        <v>2023</v>
      </c>
      <c r="U1636" s="29" t="str">
        <f t="shared" si="207"/>
        <v>October</v>
      </c>
    </row>
    <row r="1637" spans="1:21" ht="17.399999999999999" x14ac:dyDescent="0.3">
      <c r="A1637" s="21" t="s">
        <v>2095</v>
      </c>
      <c r="B1637" s="22" t="s">
        <v>3977</v>
      </c>
      <c r="C1637" s="23" t="s">
        <v>3519</v>
      </c>
      <c r="D1637" s="22" t="s">
        <v>3545</v>
      </c>
      <c r="E1637" s="24">
        <v>45228</v>
      </c>
      <c r="F1637" s="24">
        <v>45258</v>
      </c>
      <c r="G1637" s="22" t="s">
        <v>16</v>
      </c>
      <c r="H1637" s="25">
        <v>77077</v>
      </c>
      <c r="I1637" s="25">
        <v>1732</v>
      </c>
      <c r="J1637" s="26">
        <v>2356.86</v>
      </c>
      <c r="K1637" s="25">
        <v>140</v>
      </c>
      <c r="L1637" s="21" t="s">
        <v>21</v>
      </c>
      <c r="M1637" s="22" t="s">
        <v>16</v>
      </c>
      <c r="N1637" s="27">
        <f t="shared" si="200"/>
        <v>30</v>
      </c>
      <c r="O1637" s="28">
        <f t="shared" si="201"/>
        <v>2.2471035458048447E-2</v>
      </c>
      <c r="P1637" s="28">
        <f t="shared" si="202"/>
        <v>8.0831408775981523E-2</v>
      </c>
      <c r="Q1637" s="26">
        <f t="shared" si="203"/>
        <v>1.3607736720554273</v>
      </c>
      <c r="R1637" s="29">
        <f t="shared" si="204"/>
        <v>16.834714285714288</v>
      </c>
      <c r="S1637" s="30">
        <f t="shared" si="205"/>
        <v>10</v>
      </c>
      <c r="T1637" s="30">
        <f t="shared" si="206"/>
        <v>2023</v>
      </c>
      <c r="U1637" s="29" t="str">
        <f t="shared" si="207"/>
        <v>October</v>
      </c>
    </row>
    <row r="1638" spans="1:21" ht="17.399999999999999" x14ac:dyDescent="0.3">
      <c r="A1638" s="21" t="s">
        <v>2481</v>
      </c>
      <c r="B1638" s="21" t="s">
        <v>2482</v>
      </c>
      <c r="C1638" s="23" t="s">
        <v>3515</v>
      </c>
      <c r="D1638" s="21" t="s">
        <v>3520</v>
      </c>
      <c r="E1638" s="24">
        <v>45228</v>
      </c>
      <c r="F1638" s="24">
        <v>45234</v>
      </c>
      <c r="G1638" s="22" t="s">
        <v>24</v>
      </c>
      <c r="H1638" s="25">
        <v>98432</v>
      </c>
      <c r="I1638" s="25">
        <v>3276</v>
      </c>
      <c r="J1638" s="26">
        <v>5189.76</v>
      </c>
      <c r="K1638" s="25">
        <v>0</v>
      </c>
      <c r="L1638" s="21" t="s">
        <v>21</v>
      </c>
      <c r="M1638" s="22" t="s">
        <v>3536</v>
      </c>
      <c r="N1638" s="27">
        <f t="shared" si="200"/>
        <v>6</v>
      </c>
      <c r="O1638" s="28">
        <f t="shared" si="201"/>
        <v>3.328185955786736E-2</v>
      </c>
      <c r="P1638" s="28">
        <f t="shared" si="202"/>
        <v>0</v>
      </c>
      <c r="Q1638" s="26">
        <f t="shared" si="203"/>
        <v>1.5841758241758241</v>
      </c>
      <c r="R1638" s="29" t="str">
        <f t="shared" si="204"/>
        <v>0</v>
      </c>
      <c r="S1638" s="30">
        <f t="shared" si="205"/>
        <v>10</v>
      </c>
      <c r="T1638" s="30">
        <f t="shared" si="206"/>
        <v>2023</v>
      </c>
      <c r="U1638" s="29" t="str">
        <f t="shared" si="207"/>
        <v>October</v>
      </c>
    </row>
    <row r="1639" spans="1:21" ht="17.399999999999999" x14ac:dyDescent="0.3">
      <c r="A1639" s="21" t="s">
        <v>18</v>
      </c>
      <c r="B1639" s="21" t="s">
        <v>19</v>
      </c>
      <c r="C1639" s="23" t="s">
        <v>3519</v>
      </c>
      <c r="D1639" s="21" t="s">
        <v>3517</v>
      </c>
      <c r="E1639" s="24">
        <v>45229</v>
      </c>
      <c r="F1639" s="24">
        <v>45233</v>
      </c>
      <c r="G1639" s="22" t="s">
        <v>11</v>
      </c>
      <c r="H1639" s="25">
        <v>55886</v>
      </c>
      <c r="I1639" s="25">
        <v>2019</v>
      </c>
      <c r="J1639" s="26">
        <v>2180.38</v>
      </c>
      <c r="K1639" s="25">
        <v>135</v>
      </c>
      <c r="L1639" s="21" t="s">
        <v>21</v>
      </c>
      <c r="M1639" s="22" t="s">
        <v>11</v>
      </c>
      <c r="N1639" s="27">
        <f t="shared" si="200"/>
        <v>4</v>
      </c>
      <c r="O1639" s="28">
        <f t="shared" si="201"/>
        <v>3.6127115914540313E-2</v>
      </c>
      <c r="P1639" s="28">
        <f t="shared" si="202"/>
        <v>6.6864784546805348E-2</v>
      </c>
      <c r="Q1639" s="26">
        <f t="shared" si="203"/>
        <v>1.0799306587419515</v>
      </c>
      <c r="R1639" s="29">
        <f t="shared" si="204"/>
        <v>16.150962962962964</v>
      </c>
      <c r="S1639" s="30">
        <f t="shared" si="205"/>
        <v>10</v>
      </c>
      <c r="T1639" s="30">
        <f t="shared" si="206"/>
        <v>2023</v>
      </c>
      <c r="U1639" s="29" t="str">
        <f t="shared" si="207"/>
        <v>October</v>
      </c>
    </row>
    <row r="1640" spans="1:21" ht="17.399999999999999" x14ac:dyDescent="0.3">
      <c r="A1640" s="21" t="s">
        <v>1388</v>
      </c>
      <c r="B1640" s="22" t="s">
        <v>3978</v>
      </c>
      <c r="C1640" s="23" t="s">
        <v>3516</v>
      </c>
      <c r="D1640" s="22" t="s">
        <v>3545</v>
      </c>
      <c r="E1640" s="24">
        <v>45229</v>
      </c>
      <c r="F1640" s="24">
        <v>45245</v>
      </c>
      <c r="G1640" s="22" t="s">
        <v>11</v>
      </c>
      <c r="H1640" s="25">
        <v>24793</v>
      </c>
      <c r="I1640" s="25">
        <v>691</v>
      </c>
      <c r="J1640" s="26">
        <v>1096.19</v>
      </c>
      <c r="K1640" s="25">
        <v>54</v>
      </c>
      <c r="L1640" s="21" t="s">
        <v>17</v>
      </c>
      <c r="M1640" s="22" t="s">
        <v>11</v>
      </c>
      <c r="N1640" s="27">
        <f t="shared" si="200"/>
        <v>16</v>
      </c>
      <c r="O1640" s="28">
        <f t="shared" si="201"/>
        <v>2.7870769975396281E-2</v>
      </c>
      <c r="P1640" s="28">
        <f t="shared" si="202"/>
        <v>7.8147612156295218E-2</v>
      </c>
      <c r="Q1640" s="26">
        <f t="shared" si="203"/>
        <v>1.5863820549927641</v>
      </c>
      <c r="R1640" s="29">
        <f t="shared" si="204"/>
        <v>20.299814814814816</v>
      </c>
      <c r="S1640" s="30">
        <f t="shared" si="205"/>
        <v>10</v>
      </c>
      <c r="T1640" s="30">
        <f t="shared" si="206"/>
        <v>2023</v>
      </c>
      <c r="U1640" s="29" t="str">
        <f t="shared" si="207"/>
        <v>October</v>
      </c>
    </row>
    <row r="1641" spans="1:21" ht="17.399999999999999" x14ac:dyDescent="0.3">
      <c r="A1641" s="21" t="s">
        <v>399</v>
      </c>
      <c r="B1641" s="21" t="s">
        <v>400</v>
      </c>
      <c r="C1641" s="23" t="s">
        <v>3519</v>
      </c>
      <c r="D1641" s="21" t="s">
        <v>3521</v>
      </c>
      <c r="E1641" s="24">
        <v>45230</v>
      </c>
      <c r="F1641" s="24">
        <v>45251</v>
      </c>
      <c r="G1641" s="22" t="s">
        <v>24</v>
      </c>
      <c r="H1641" s="25">
        <v>8392</v>
      </c>
      <c r="I1641" s="25">
        <v>209</v>
      </c>
      <c r="J1641" s="26">
        <v>364.49</v>
      </c>
      <c r="K1641" s="25">
        <v>17</v>
      </c>
      <c r="L1641" s="21" t="s">
        <v>21</v>
      </c>
      <c r="M1641" s="22" t="s">
        <v>3536</v>
      </c>
      <c r="N1641" s="27">
        <f t="shared" si="200"/>
        <v>21</v>
      </c>
      <c r="O1641" s="28">
        <f t="shared" si="201"/>
        <v>2.490467111534795E-2</v>
      </c>
      <c r="P1641" s="28">
        <f t="shared" si="202"/>
        <v>8.1339712918660281E-2</v>
      </c>
      <c r="Q1641" s="26">
        <f t="shared" si="203"/>
        <v>1.7439712918660288</v>
      </c>
      <c r="R1641" s="29">
        <f t="shared" si="204"/>
        <v>21.440588235294118</v>
      </c>
      <c r="S1641" s="30">
        <f t="shared" si="205"/>
        <v>10</v>
      </c>
      <c r="T1641" s="30">
        <f t="shared" si="206"/>
        <v>2023</v>
      </c>
      <c r="U1641" s="29" t="str">
        <f t="shared" si="207"/>
        <v>October</v>
      </c>
    </row>
    <row r="1642" spans="1:21" ht="17.399999999999999" x14ac:dyDescent="0.3">
      <c r="A1642" s="21" t="s">
        <v>1756</v>
      </c>
      <c r="B1642" s="21" t="s">
        <v>1757</v>
      </c>
      <c r="C1642" s="23" t="s">
        <v>3519</v>
      </c>
      <c r="D1642" s="21" t="s">
        <v>3517</v>
      </c>
      <c r="E1642" s="24">
        <v>45230</v>
      </c>
      <c r="F1642" s="24">
        <v>45242</v>
      </c>
      <c r="G1642" s="22" t="s">
        <v>11</v>
      </c>
      <c r="H1642" s="25">
        <v>82449</v>
      </c>
      <c r="I1642" s="25">
        <v>1369</v>
      </c>
      <c r="J1642" s="26">
        <v>1923.45</v>
      </c>
      <c r="K1642" s="25">
        <v>183</v>
      </c>
      <c r="L1642" s="21" t="s">
        <v>21</v>
      </c>
      <c r="M1642" s="22" t="s">
        <v>11</v>
      </c>
      <c r="N1642" s="27">
        <f t="shared" si="200"/>
        <v>12</v>
      </c>
      <c r="O1642" s="28">
        <f t="shared" si="201"/>
        <v>1.6604203810840643E-2</v>
      </c>
      <c r="P1642" s="28">
        <f t="shared" si="202"/>
        <v>0.13367421475529584</v>
      </c>
      <c r="Q1642" s="26">
        <f t="shared" si="203"/>
        <v>1.4050036523009497</v>
      </c>
      <c r="R1642" s="29">
        <f t="shared" si="204"/>
        <v>10.510655737704917</v>
      </c>
      <c r="S1642" s="30">
        <f t="shared" si="205"/>
        <v>10</v>
      </c>
      <c r="T1642" s="30">
        <f t="shared" si="206"/>
        <v>2023</v>
      </c>
      <c r="U1642" s="29" t="str">
        <f t="shared" si="207"/>
        <v>October</v>
      </c>
    </row>
    <row r="1643" spans="1:21" ht="17.399999999999999" x14ac:dyDescent="0.3">
      <c r="A1643" s="21" t="s">
        <v>3456</v>
      </c>
      <c r="B1643" s="21" t="s">
        <v>3457</v>
      </c>
      <c r="C1643" s="23" t="s">
        <v>3519</v>
      </c>
      <c r="D1643" s="21" t="s">
        <v>3521</v>
      </c>
      <c r="E1643" s="24">
        <v>45230</v>
      </c>
      <c r="F1643" s="24">
        <v>45240</v>
      </c>
      <c r="G1643" s="22" t="s">
        <v>31</v>
      </c>
      <c r="H1643" s="25">
        <v>12653</v>
      </c>
      <c r="I1643" s="25">
        <v>148</v>
      </c>
      <c r="J1643" s="26">
        <v>209.31</v>
      </c>
      <c r="K1643" s="25">
        <v>15</v>
      </c>
      <c r="L1643" s="21" t="s">
        <v>17</v>
      </c>
      <c r="M1643" s="22" t="s">
        <v>31</v>
      </c>
      <c r="N1643" s="27">
        <f t="shared" si="200"/>
        <v>10</v>
      </c>
      <c r="O1643" s="28">
        <f t="shared" si="201"/>
        <v>1.1696830791116731E-2</v>
      </c>
      <c r="P1643" s="28">
        <f t="shared" si="202"/>
        <v>0.10135135135135136</v>
      </c>
      <c r="Q1643" s="26">
        <f t="shared" si="203"/>
        <v>1.4142567567567568</v>
      </c>
      <c r="R1643" s="29">
        <f t="shared" si="204"/>
        <v>13.954000000000001</v>
      </c>
      <c r="S1643" s="30">
        <f t="shared" si="205"/>
        <v>10</v>
      </c>
      <c r="T1643" s="30">
        <f t="shared" si="206"/>
        <v>2023</v>
      </c>
      <c r="U1643" s="29" t="str">
        <f t="shared" si="207"/>
        <v>October</v>
      </c>
    </row>
    <row r="1644" spans="1:21" ht="17.399999999999999" x14ac:dyDescent="0.3">
      <c r="A1644" s="21" t="s">
        <v>3501</v>
      </c>
      <c r="B1644" s="21" t="s">
        <v>3502</v>
      </c>
      <c r="C1644" s="23" t="s">
        <v>3519</v>
      </c>
      <c r="D1644" s="21" t="s">
        <v>3520</v>
      </c>
      <c r="E1644" s="24">
        <v>45230</v>
      </c>
      <c r="F1644" s="24">
        <v>45254</v>
      </c>
      <c r="G1644" s="22" t="s">
        <v>24</v>
      </c>
      <c r="H1644" s="25">
        <v>3356</v>
      </c>
      <c r="I1644" s="25">
        <v>124</v>
      </c>
      <c r="J1644" s="26">
        <v>145.24</v>
      </c>
      <c r="K1644" s="25">
        <v>18</v>
      </c>
      <c r="L1644" s="21" t="s">
        <v>17</v>
      </c>
      <c r="M1644" s="22" t="s">
        <v>3536</v>
      </c>
      <c r="N1644" s="27">
        <f t="shared" si="200"/>
        <v>24</v>
      </c>
      <c r="O1644" s="28">
        <f t="shared" si="201"/>
        <v>3.6948748510131108E-2</v>
      </c>
      <c r="P1644" s="28">
        <f t="shared" si="202"/>
        <v>0.14516129032258066</v>
      </c>
      <c r="Q1644" s="26">
        <f t="shared" si="203"/>
        <v>1.1712903225806452</v>
      </c>
      <c r="R1644" s="29">
        <f t="shared" si="204"/>
        <v>8.068888888888889</v>
      </c>
      <c r="S1644" s="30">
        <f t="shared" si="205"/>
        <v>10</v>
      </c>
      <c r="T1644" s="30">
        <f t="shared" si="206"/>
        <v>2023</v>
      </c>
      <c r="U1644" s="29" t="str">
        <f t="shared" si="207"/>
        <v>October</v>
      </c>
    </row>
    <row r="1645" spans="1:21" ht="17.399999999999999" x14ac:dyDescent="0.3">
      <c r="A1645" s="21" t="s">
        <v>721</v>
      </c>
      <c r="B1645" s="21" t="s">
        <v>722</v>
      </c>
      <c r="C1645" s="23" t="s">
        <v>3516</v>
      </c>
      <c r="D1645" s="21" t="s">
        <v>3521</v>
      </c>
      <c r="E1645" s="24">
        <v>45230</v>
      </c>
      <c r="F1645" s="24">
        <v>45243</v>
      </c>
      <c r="G1645" s="22" t="s">
        <v>11</v>
      </c>
      <c r="H1645" s="25">
        <v>30592</v>
      </c>
      <c r="I1645" s="25">
        <v>586</v>
      </c>
      <c r="J1645" s="26">
        <v>503.95</v>
      </c>
      <c r="K1645" s="25">
        <v>77</v>
      </c>
      <c r="L1645" s="21" t="s">
        <v>21</v>
      </c>
      <c r="M1645" s="22" t="s">
        <v>11</v>
      </c>
      <c r="N1645" s="27">
        <f t="shared" si="200"/>
        <v>13</v>
      </c>
      <c r="O1645" s="28">
        <f t="shared" si="201"/>
        <v>1.9155334728033473E-2</v>
      </c>
      <c r="P1645" s="28">
        <f t="shared" si="202"/>
        <v>0.13139931740614336</v>
      </c>
      <c r="Q1645" s="26">
        <f t="shared" si="203"/>
        <v>0.85998293515358359</v>
      </c>
      <c r="R1645" s="29">
        <f t="shared" si="204"/>
        <v>6.5448051948051944</v>
      </c>
      <c r="S1645" s="30">
        <f t="shared" si="205"/>
        <v>10</v>
      </c>
      <c r="T1645" s="30">
        <f t="shared" si="206"/>
        <v>2023</v>
      </c>
      <c r="U1645" s="29" t="str">
        <f t="shared" si="207"/>
        <v>October</v>
      </c>
    </row>
    <row r="1646" spans="1:21" ht="17.399999999999999" x14ac:dyDescent="0.3">
      <c r="A1646" s="21" t="s">
        <v>348</v>
      </c>
      <c r="B1646" s="21" t="s">
        <v>349</v>
      </c>
      <c r="C1646" s="23" t="s">
        <v>3515</v>
      </c>
      <c r="D1646" s="21" t="s">
        <v>3521</v>
      </c>
      <c r="E1646" s="24">
        <v>45230</v>
      </c>
      <c r="F1646" s="24">
        <v>45256</v>
      </c>
      <c r="G1646" s="22" t="s">
        <v>3535</v>
      </c>
      <c r="H1646" s="25">
        <v>4748</v>
      </c>
      <c r="I1646" s="25">
        <v>171</v>
      </c>
      <c r="J1646" s="26">
        <v>192.26</v>
      </c>
      <c r="K1646" s="25">
        <v>19</v>
      </c>
      <c r="L1646" s="21" t="s">
        <v>21</v>
      </c>
      <c r="M1646" s="22" t="s">
        <v>3535</v>
      </c>
      <c r="N1646" s="27">
        <f t="shared" si="200"/>
        <v>26</v>
      </c>
      <c r="O1646" s="28">
        <f t="shared" si="201"/>
        <v>3.6015164279696713E-2</v>
      </c>
      <c r="P1646" s="28">
        <f t="shared" si="202"/>
        <v>0.1111111111111111</v>
      </c>
      <c r="Q1646" s="26">
        <f t="shared" si="203"/>
        <v>1.1243274853801168</v>
      </c>
      <c r="R1646" s="29">
        <f t="shared" si="204"/>
        <v>10.118947368421052</v>
      </c>
      <c r="S1646" s="30">
        <f t="shared" si="205"/>
        <v>10</v>
      </c>
      <c r="T1646" s="30">
        <f t="shared" si="206"/>
        <v>2023</v>
      </c>
      <c r="U1646" s="29" t="str">
        <f t="shared" si="207"/>
        <v>October</v>
      </c>
    </row>
    <row r="1647" spans="1:21" ht="17.399999999999999" x14ac:dyDescent="0.3">
      <c r="A1647" s="21" t="s">
        <v>1370</v>
      </c>
      <c r="B1647" s="22" t="s">
        <v>3979</v>
      </c>
      <c r="C1647" s="23" t="s">
        <v>3519</v>
      </c>
      <c r="D1647" s="22" t="s">
        <v>3545</v>
      </c>
      <c r="E1647" s="24">
        <v>45231</v>
      </c>
      <c r="F1647" s="24">
        <v>45260</v>
      </c>
      <c r="G1647" s="22" t="s">
        <v>11</v>
      </c>
      <c r="H1647" s="25">
        <v>46445</v>
      </c>
      <c r="I1647" s="25">
        <v>811</v>
      </c>
      <c r="J1647" s="26">
        <v>1128.27</v>
      </c>
      <c r="K1647" s="25">
        <v>128</v>
      </c>
      <c r="L1647" s="21" t="s">
        <v>17</v>
      </c>
      <c r="M1647" s="22" t="s">
        <v>11</v>
      </c>
      <c r="N1647" s="27">
        <f t="shared" si="200"/>
        <v>29</v>
      </c>
      <c r="O1647" s="28">
        <f t="shared" si="201"/>
        <v>1.7461513618258154E-2</v>
      </c>
      <c r="P1647" s="28">
        <f t="shared" si="202"/>
        <v>0.15782983970406905</v>
      </c>
      <c r="Q1647" s="26">
        <f t="shared" si="203"/>
        <v>1.3912083847102343</v>
      </c>
      <c r="R1647" s="29">
        <f t="shared" si="204"/>
        <v>8.8146093749999999</v>
      </c>
      <c r="S1647" s="30">
        <f t="shared" si="205"/>
        <v>11</v>
      </c>
      <c r="T1647" s="30">
        <f t="shared" si="206"/>
        <v>2023</v>
      </c>
      <c r="U1647" s="29" t="str">
        <f t="shared" si="207"/>
        <v>November</v>
      </c>
    </row>
    <row r="1648" spans="1:21" ht="17.399999999999999" x14ac:dyDescent="0.3">
      <c r="A1648" s="21" t="s">
        <v>3160</v>
      </c>
      <c r="B1648" s="21" t="s">
        <v>3161</v>
      </c>
      <c r="C1648" s="23" t="s">
        <v>3518</v>
      </c>
      <c r="D1648" s="21" t="s">
        <v>3521</v>
      </c>
      <c r="E1648" s="24">
        <v>45231</v>
      </c>
      <c r="F1648" s="24">
        <v>45248</v>
      </c>
      <c r="G1648" s="22" t="s">
        <v>11</v>
      </c>
      <c r="H1648" s="25">
        <v>25860</v>
      </c>
      <c r="I1648" s="25">
        <v>873</v>
      </c>
      <c r="J1648" s="26">
        <v>520.15</v>
      </c>
      <c r="K1648" s="25">
        <v>52</v>
      </c>
      <c r="L1648" s="21" t="s">
        <v>21</v>
      </c>
      <c r="M1648" s="22" t="s">
        <v>11</v>
      </c>
      <c r="N1648" s="27">
        <f t="shared" si="200"/>
        <v>17</v>
      </c>
      <c r="O1648" s="28">
        <f t="shared" si="201"/>
        <v>3.3758700696055688E-2</v>
      </c>
      <c r="P1648" s="28">
        <f t="shared" si="202"/>
        <v>5.9564719358533788E-2</v>
      </c>
      <c r="Q1648" s="26">
        <f t="shared" si="203"/>
        <v>0.59581901489117983</v>
      </c>
      <c r="R1648" s="29">
        <f t="shared" si="204"/>
        <v>10.002884615384614</v>
      </c>
      <c r="S1648" s="30">
        <f t="shared" si="205"/>
        <v>11</v>
      </c>
      <c r="T1648" s="30">
        <f t="shared" si="206"/>
        <v>2023</v>
      </c>
      <c r="U1648" s="29" t="str">
        <f t="shared" si="207"/>
        <v>November</v>
      </c>
    </row>
    <row r="1649" spans="1:21" ht="17.399999999999999" x14ac:dyDescent="0.3">
      <c r="A1649" s="21" t="s">
        <v>709</v>
      </c>
      <c r="B1649" s="21" t="s">
        <v>710</v>
      </c>
      <c r="C1649" s="23" t="s">
        <v>3518</v>
      </c>
      <c r="D1649" s="21" t="s">
        <v>3517</v>
      </c>
      <c r="E1649" s="24">
        <v>45232</v>
      </c>
      <c r="F1649" s="24">
        <v>45253</v>
      </c>
      <c r="G1649" s="22" t="s">
        <v>11</v>
      </c>
      <c r="H1649" s="25">
        <v>67320</v>
      </c>
      <c r="I1649" s="25">
        <v>1132</v>
      </c>
      <c r="J1649" s="26">
        <v>717.1</v>
      </c>
      <c r="K1649" s="25">
        <v>154</v>
      </c>
      <c r="L1649" s="21" t="s">
        <v>17</v>
      </c>
      <c r="M1649" s="22" t="s">
        <v>11</v>
      </c>
      <c r="N1649" s="27">
        <f t="shared" si="200"/>
        <v>21</v>
      </c>
      <c r="O1649" s="28">
        <f t="shared" si="201"/>
        <v>1.6815210932857993E-2</v>
      </c>
      <c r="P1649" s="28">
        <f t="shared" si="202"/>
        <v>0.13604240282685512</v>
      </c>
      <c r="Q1649" s="26">
        <f t="shared" si="203"/>
        <v>0.63348056537102471</v>
      </c>
      <c r="R1649" s="29">
        <f t="shared" si="204"/>
        <v>4.6564935064935069</v>
      </c>
      <c r="S1649" s="30">
        <f t="shared" si="205"/>
        <v>11</v>
      </c>
      <c r="T1649" s="30">
        <f t="shared" si="206"/>
        <v>2023</v>
      </c>
      <c r="U1649" s="29" t="str">
        <f t="shared" si="207"/>
        <v>November</v>
      </c>
    </row>
    <row r="1650" spans="1:21" ht="17.399999999999999" x14ac:dyDescent="0.3">
      <c r="A1650" s="21" t="s">
        <v>2755</v>
      </c>
      <c r="B1650" s="22" t="s">
        <v>3980</v>
      </c>
      <c r="C1650" s="23" t="s">
        <v>3518</v>
      </c>
      <c r="D1650" s="22" t="s">
        <v>3545</v>
      </c>
      <c r="E1650" s="24">
        <v>45232</v>
      </c>
      <c r="F1650" s="24">
        <v>45250</v>
      </c>
      <c r="G1650" s="22" t="s">
        <v>11</v>
      </c>
      <c r="H1650" s="25">
        <v>16317</v>
      </c>
      <c r="I1650" s="25">
        <v>701</v>
      </c>
      <c r="J1650" s="26">
        <v>442.06</v>
      </c>
      <c r="K1650" s="25">
        <v>114</v>
      </c>
      <c r="L1650" s="21" t="s">
        <v>17</v>
      </c>
      <c r="M1650" s="22" t="s">
        <v>11</v>
      </c>
      <c r="N1650" s="27">
        <f t="shared" si="200"/>
        <v>18</v>
      </c>
      <c r="O1650" s="28">
        <f t="shared" si="201"/>
        <v>4.2961328675614391E-2</v>
      </c>
      <c r="P1650" s="28">
        <f t="shared" si="202"/>
        <v>0.16262482168330955</v>
      </c>
      <c r="Q1650" s="26">
        <f t="shared" si="203"/>
        <v>0.63061340941512123</v>
      </c>
      <c r="R1650" s="29">
        <f t="shared" si="204"/>
        <v>3.8777192982456139</v>
      </c>
      <c r="S1650" s="30">
        <f t="shared" si="205"/>
        <v>11</v>
      </c>
      <c r="T1650" s="30">
        <f t="shared" si="206"/>
        <v>2023</v>
      </c>
      <c r="U1650" s="29" t="str">
        <f t="shared" si="207"/>
        <v>November</v>
      </c>
    </row>
    <row r="1651" spans="1:21" ht="17.399999999999999" x14ac:dyDescent="0.3">
      <c r="A1651" s="21" t="s">
        <v>1644</v>
      </c>
      <c r="B1651" s="22" t="s">
        <v>3981</v>
      </c>
      <c r="C1651" s="23" t="s">
        <v>3515</v>
      </c>
      <c r="D1651" s="22" t="s">
        <v>3545</v>
      </c>
      <c r="E1651" s="24">
        <v>45232</v>
      </c>
      <c r="F1651" s="24">
        <v>45261</v>
      </c>
      <c r="G1651" s="22" t="s">
        <v>3535</v>
      </c>
      <c r="H1651" s="25">
        <v>11488</v>
      </c>
      <c r="I1651" s="25">
        <v>129</v>
      </c>
      <c r="J1651" s="26">
        <v>154.81</v>
      </c>
      <c r="K1651" s="25">
        <v>12</v>
      </c>
      <c r="L1651" s="21" t="s">
        <v>21</v>
      </c>
      <c r="M1651" s="22" t="s">
        <v>3535</v>
      </c>
      <c r="N1651" s="27">
        <f t="shared" si="200"/>
        <v>29</v>
      </c>
      <c r="O1651" s="28">
        <f t="shared" si="201"/>
        <v>1.1229108635097493E-2</v>
      </c>
      <c r="P1651" s="28">
        <f t="shared" si="202"/>
        <v>9.3023255813953487E-2</v>
      </c>
      <c r="Q1651" s="26">
        <f t="shared" si="203"/>
        <v>1.200077519379845</v>
      </c>
      <c r="R1651" s="29">
        <f t="shared" si="204"/>
        <v>12.900833333333333</v>
      </c>
      <c r="S1651" s="30">
        <f t="shared" si="205"/>
        <v>11</v>
      </c>
      <c r="T1651" s="30">
        <f t="shared" si="206"/>
        <v>2023</v>
      </c>
      <c r="U1651" s="29" t="str">
        <f t="shared" si="207"/>
        <v>November</v>
      </c>
    </row>
    <row r="1652" spans="1:21" ht="17.399999999999999" x14ac:dyDescent="0.3">
      <c r="A1652" s="21" t="s">
        <v>2573</v>
      </c>
      <c r="B1652" s="21" t="s">
        <v>2574</v>
      </c>
      <c r="C1652" s="23" t="s">
        <v>3515</v>
      </c>
      <c r="D1652" s="21" t="s">
        <v>3517</v>
      </c>
      <c r="E1652" s="24">
        <v>45232</v>
      </c>
      <c r="F1652" s="24">
        <v>45250</v>
      </c>
      <c r="G1652" s="22" t="s">
        <v>24</v>
      </c>
      <c r="H1652" s="25">
        <v>13112</v>
      </c>
      <c r="I1652" s="25">
        <v>476</v>
      </c>
      <c r="J1652" s="26">
        <v>551.19000000000005</v>
      </c>
      <c r="K1652" s="25">
        <v>79</v>
      </c>
      <c r="L1652" s="21" t="s">
        <v>17</v>
      </c>
      <c r="M1652" s="22" t="s">
        <v>3536</v>
      </c>
      <c r="N1652" s="27">
        <f t="shared" si="200"/>
        <v>18</v>
      </c>
      <c r="O1652" s="28">
        <f t="shared" si="201"/>
        <v>3.6302623550945698E-2</v>
      </c>
      <c r="P1652" s="28">
        <f t="shared" si="202"/>
        <v>0.16596638655462184</v>
      </c>
      <c r="Q1652" s="26">
        <f t="shared" si="203"/>
        <v>1.1579621848739496</v>
      </c>
      <c r="R1652" s="29">
        <f t="shared" si="204"/>
        <v>6.9770886075949372</v>
      </c>
      <c r="S1652" s="30">
        <f t="shared" si="205"/>
        <v>11</v>
      </c>
      <c r="T1652" s="30">
        <f t="shared" si="206"/>
        <v>2023</v>
      </c>
      <c r="U1652" s="29" t="str">
        <f t="shared" si="207"/>
        <v>November</v>
      </c>
    </row>
    <row r="1653" spans="1:21" ht="17.399999999999999" x14ac:dyDescent="0.3">
      <c r="A1653" s="21" t="s">
        <v>628</v>
      </c>
      <c r="B1653" s="21" t="s">
        <v>629</v>
      </c>
      <c r="C1653" s="23" t="s">
        <v>3519</v>
      </c>
      <c r="D1653" s="21" t="s">
        <v>3521</v>
      </c>
      <c r="E1653" s="24">
        <v>45232</v>
      </c>
      <c r="F1653" s="24">
        <v>45237</v>
      </c>
      <c r="G1653" s="22" t="s">
        <v>31</v>
      </c>
      <c r="H1653" s="25">
        <v>95660</v>
      </c>
      <c r="I1653" s="25">
        <v>1767</v>
      </c>
      <c r="J1653" s="26">
        <v>1384.81</v>
      </c>
      <c r="K1653" s="25">
        <v>0</v>
      </c>
      <c r="L1653" s="21" t="s">
        <v>17</v>
      </c>
      <c r="M1653" s="22" t="s">
        <v>31</v>
      </c>
      <c r="N1653" s="27">
        <f t="shared" si="200"/>
        <v>5</v>
      </c>
      <c r="O1653" s="28">
        <f t="shared" si="201"/>
        <v>1.8471670499686389E-2</v>
      </c>
      <c r="P1653" s="28">
        <f t="shared" si="202"/>
        <v>0</v>
      </c>
      <c r="Q1653" s="26">
        <f t="shared" si="203"/>
        <v>0.78370684776457267</v>
      </c>
      <c r="R1653" s="29" t="str">
        <f t="shared" si="204"/>
        <v>0</v>
      </c>
      <c r="S1653" s="30">
        <f t="shared" si="205"/>
        <v>11</v>
      </c>
      <c r="T1653" s="30">
        <f t="shared" si="206"/>
        <v>2023</v>
      </c>
      <c r="U1653" s="29" t="str">
        <f t="shared" si="207"/>
        <v>November</v>
      </c>
    </row>
    <row r="1654" spans="1:21" ht="17.399999999999999" x14ac:dyDescent="0.3">
      <c r="A1654" s="21" t="s">
        <v>1371</v>
      </c>
      <c r="B1654" s="21" t="s">
        <v>1372</v>
      </c>
      <c r="C1654" s="23" t="s">
        <v>3519</v>
      </c>
      <c r="D1654" s="21" t="s">
        <v>3517</v>
      </c>
      <c r="E1654" s="24">
        <v>45233</v>
      </c>
      <c r="F1654" s="24">
        <v>45258</v>
      </c>
      <c r="G1654" s="22" t="s">
        <v>24</v>
      </c>
      <c r="H1654" s="25">
        <v>6713</v>
      </c>
      <c r="I1654" s="25">
        <v>92</v>
      </c>
      <c r="J1654" s="26">
        <v>102.77</v>
      </c>
      <c r="K1654" s="25">
        <v>17</v>
      </c>
      <c r="L1654" s="21" t="s">
        <v>17</v>
      </c>
      <c r="M1654" s="22" t="s">
        <v>3536</v>
      </c>
      <c r="N1654" s="27">
        <f t="shared" si="200"/>
        <v>25</v>
      </c>
      <c r="O1654" s="28">
        <f t="shared" si="201"/>
        <v>1.3704751973782214E-2</v>
      </c>
      <c r="P1654" s="28">
        <f t="shared" si="202"/>
        <v>0.18478260869565216</v>
      </c>
      <c r="Q1654" s="26">
        <f t="shared" si="203"/>
        <v>1.1170652173913043</v>
      </c>
      <c r="R1654" s="29">
        <f t="shared" si="204"/>
        <v>6.0452941176470585</v>
      </c>
      <c r="S1654" s="30">
        <f t="shared" si="205"/>
        <v>11</v>
      </c>
      <c r="T1654" s="30">
        <f t="shared" si="206"/>
        <v>2023</v>
      </c>
      <c r="U1654" s="29" t="str">
        <f t="shared" si="207"/>
        <v>November</v>
      </c>
    </row>
    <row r="1655" spans="1:21" ht="17.399999999999999" x14ac:dyDescent="0.3">
      <c r="A1655" s="21" t="s">
        <v>2762</v>
      </c>
      <c r="B1655" s="22" t="s">
        <v>3982</v>
      </c>
      <c r="C1655" s="23" t="s">
        <v>3519</v>
      </c>
      <c r="D1655" s="22" t="s">
        <v>3545</v>
      </c>
      <c r="E1655" s="24">
        <v>45233</v>
      </c>
      <c r="F1655" s="24">
        <v>45250</v>
      </c>
      <c r="G1655" s="22" t="s">
        <v>24</v>
      </c>
      <c r="H1655" s="25">
        <v>80273</v>
      </c>
      <c r="I1655" s="25">
        <v>1733</v>
      </c>
      <c r="J1655" s="26">
        <v>2280.56</v>
      </c>
      <c r="K1655" s="25">
        <v>295</v>
      </c>
      <c r="L1655" s="21" t="s">
        <v>17</v>
      </c>
      <c r="M1655" s="22" t="s">
        <v>3536</v>
      </c>
      <c r="N1655" s="27">
        <f t="shared" si="200"/>
        <v>17</v>
      </c>
      <c r="O1655" s="28">
        <f t="shared" si="201"/>
        <v>2.1588828124026758E-2</v>
      </c>
      <c r="P1655" s="28">
        <f t="shared" si="202"/>
        <v>0.17022504327755339</v>
      </c>
      <c r="Q1655" s="26">
        <f t="shared" si="203"/>
        <v>1.3159607616849394</v>
      </c>
      <c r="R1655" s="29">
        <f t="shared" si="204"/>
        <v>7.7307118644067794</v>
      </c>
      <c r="S1655" s="30">
        <f t="shared" si="205"/>
        <v>11</v>
      </c>
      <c r="T1655" s="30">
        <f t="shared" si="206"/>
        <v>2023</v>
      </c>
      <c r="U1655" s="29" t="str">
        <f t="shared" si="207"/>
        <v>November</v>
      </c>
    </row>
    <row r="1656" spans="1:21" ht="17.399999999999999" x14ac:dyDescent="0.3">
      <c r="A1656" s="21" t="s">
        <v>1587</v>
      </c>
      <c r="B1656" s="22" t="s">
        <v>3983</v>
      </c>
      <c r="C1656" s="23" t="s">
        <v>3516</v>
      </c>
      <c r="D1656" s="22" t="s">
        <v>3545</v>
      </c>
      <c r="E1656" s="24">
        <v>45233</v>
      </c>
      <c r="F1656" s="24">
        <v>45247</v>
      </c>
      <c r="G1656" s="22" t="s">
        <v>14</v>
      </c>
      <c r="H1656" s="25">
        <v>46002</v>
      </c>
      <c r="I1656" s="25">
        <v>1628</v>
      </c>
      <c r="J1656" s="26">
        <v>1477.7</v>
      </c>
      <c r="K1656" s="25">
        <v>219</v>
      </c>
      <c r="L1656" s="21" t="s">
        <v>17</v>
      </c>
      <c r="M1656" s="22" t="s">
        <v>3537</v>
      </c>
      <c r="N1656" s="27">
        <f t="shared" si="200"/>
        <v>14</v>
      </c>
      <c r="O1656" s="28">
        <f t="shared" si="201"/>
        <v>3.5389765662362509E-2</v>
      </c>
      <c r="P1656" s="28">
        <f t="shared" si="202"/>
        <v>0.13452088452088451</v>
      </c>
      <c r="Q1656" s="26">
        <f t="shared" si="203"/>
        <v>0.90767813267813269</v>
      </c>
      <c r="R1656" s="29">
        <f t="shared" si="204"/>
        <v>6.747488584474886</v>
      </c>
      <c r="S1656" s="30">
        <f t="shared" si="205"/>
        <v>11</v>
      </c>
      <c r="T1656" s="30">
        <f t="shared" si="206"/>
        <v>2023</v>
      </c>
      <c r="U1656" s="29" t="str">
        <f t="shared" si="207"/>
        <v>November</v>
      </c>
    </row>
    <row r="1657" spans="1:21" ht="17.399999999999999" x14ac:dyDescent="0.3">
      <c r="A1657" s="21" t="s">
        <v>542</v>
      </c>
      <c r="B1657" s="21" t="s">
        <v>543</v>
      </c>
      <c r="C1657" s="23" t="s">
        <v>3515</v>
      </c>
      <c r="D1657" s="21" t="s">
        <v>3521</v>
      </c>
      <c r="E1657" s="24">
        <v>45233</v>
      </c>
      <c r="F1657" s="24">
        <v>45258</v>
      </c>
      <c r="G1657" s="22" t="s">
        <v>16</v>
      </c>
      <c r="H1657" s="25">
        <v>62267</v>
      </c>
      <c r="I1657" s="25">
        <v>1675</v>
      </c>
      <c r="J1657" s="26">
        <v>971.96</v>
      </c>
      <c r="K1657" s="25">
        <v>230</v>
      </c>
      <c r="L1657" s="21" t="s">
        <v>21</v>
      </c>
      <c r="M1657" s="22" t="s">
        <v>16</v>
      </c>
      <c r="N1657" s="27">
        <f t="shared" si="200"/>
        <v>25</v>
      </c>
      <c r="O1657" s="28">
        <f t="shared" si="201"/>
        <v>2.6900284259720238E-2</v>
      </c>
      <c r="P1657" s="28">
        <f t="shared" si="202"/>
        <v>0.1373134328358209</v>
      </c>
      <c r="Q1657" s="26">
        <f t="shared" si="203"/>
        <v>0.58027462686567166</v>
      </c>
      <c r="R1657" s="29">
        <f t="shared" si="204"/>
        <v>4.2259130434782612</v>
      </c>
      <c r="S1657" s="30">
        <f t="shared" si="205"/>
        <v>11</v>
      </c>
      <c r="T1657" s="30">
        <f t="shared" si="206"/>
        <v>2023</v>
      </c>
      <c r="U1657" s="29" t="str">
        <f t="shared" si="207"/>
        <v>November</v>
      </c>
    </row>
    <row r="1658" spans="1:21" ht="17.399999999999999" x14ac:dyDescent="0.3">
      <c r="A1658" s="21" t="s">
        <v>2208</v>
      </c>
      <c r="B1658" s="21" t="s">
        <v>2209</v>
      </c>
      <c r="C1658" s="23" t="s">
        <v>3519</v>
      </c>
      <c r="D1658" s="21" t="s">
        <v>3521</v>
      </c>
      <c r="E1658" s="24">
        <v>45234</v>
      </c>
      <c r="F1658" s="24">
        <v>45259</v>
      </c>
      <c r="G1658" s="22" t="s">
        <v>11</v>
      </c>
      <c r="H1658" s="25">
        <v>20956</v>
      </c>
      <c r="I1658" s="25">
        <v>237</v>
      </c>
      <c r="J1658" s="26">
        <v>449.72</v>
      </c>
      <c r="K1658" s="25">
        <v>13</v>
      </c>
      <c r="L1658" s="21" t="s">
        <v>17</v>
      </c>
      <c r="M1658" s="22" t="s">
        <v>11</v>
      </c>
      <c r="N1658" s="27">
        <f t="shared" si="200"/>
        <v>25</v>
      </c>
      <c r="O1658" s="28">
        <f t="shared" si="201"/>
        <v>1.1309410192784882E-2</v>
      </c>
      <c r="P1658" s="28">
        <f t="shared" si="202"/>
        <v>5.4852320675105488E-2</v>
      </c>
      <c r="Q1658" s="26">
        <f t="shared" si="203"/>
        <v>1.8975527426160339</v>
      </c>
      <c r="R1658" s="29">
        <f t="shared" si="204"/>
        <v>34.593846153846158</v>
      </c>
      <c r="S1658" s="30">
        <f t="shared" si="205"/>
        <v>11</v>
      </c>
      <c r="T1658" s="30">
        <f t="shared" si="206"/>
        <v>2023</v>
      </c>
      <c r="U1658" s="29" t="str">
        <f t="shared" si="207"/>
        <v>November</v>
      </c>
    </row>
    <row r="1659" spans="1:21" ht="17.399999999999999" x14ac:dyDescent="0.3">
      <c r="A1659" s="21" t="s">
        <v>2705</v>
      </c>
      <c r="B1659" s="21" t="s">
        <v>2706</v>
      </c>
      <c r="C1659" s="23" t="s">
        <v>3519</v>
      </c>
      <c r="D1659" s="21" t="s">
        <v>3517</v>
      </c>
      <c r="E1659" s="24">
        <v>45234</v>
      </c>
      <c r="F1659" s="24">
        <v>45243</v>
      </c>
      <c r="G1659" s="22" t="s">
        <v>11</v>
      </c>
      <c r="H1659" s="25">
        <v>84441</v>
      </c>
      <c r="I1659" s="25">
        <v>3139</v>
      </c>
      <c r="J1659" s="26">
        <v>4849.26</v>
      </c>
      <c r="K1659" s="25">
        <v>263</v>
      </c>
      <c r="L1659" s="21" t="s">
        <v>17</v>
      </c>
      <c r="M1659" s="22" t="s">
        <v>11</v>
      </c>
      <c r="N1659" s="27">
        <f t="shared" si="200"/>
        <v>9</v>
      </c>
      <c r="O1659" s="28">
        <f t="shared" si="201"/>
        <v>3.7173884724245328E-2</v>
      </c>
      <c r="P1659" s="28">
        <f t="shared" si="202"/>
        <v>8.3784644791334822E-2</v>
      </c>
      <c r="Q1659" s="26">
        <f t="shared" si="203"/>
        <v>1.5448423064670278</v>
      </c>
      <c r="R1659" s="29">
        <f t="shared" si="204"/>
        <v>18.438250950570342</v>
      </c>
      <c r="S1659" s="30">
        <f t="shared" si="205"/>
        <v>11</v>
      </c>
      <c r="T1659" s="30">
        <f t="shared" si="206"/>
        <v>2023</v>
      </c>
      <c r="U1659" s="29" t="str">
        <f t="shared" si="207"/>
        <v>November</v>
      </c>
    </row>
    <row r="1660" spans="1:21" ht="17.399999999999999" x14ac:dyDescent="0.3">
      <c r="A1660" s="21" t="s">
        <v>2689</v>
      </c>
      <c r="B1660" s="21" t="s">
        <v>2690</v>
      </c>
      <c r="C1660" s="23" t="s">
        <v>3518</v>
      </c>
      <c r="D1660" s="21" t="s">
        <v>3520</v>
      </c>
      <c r="E1660" s="24">
        <v>45234</v>
      </c>
      <c r="F1660" s="24">
        <v>45250</v>
      </c>
      <c r="G1660" s="22" t="s">
        <v>14</v>
      </c>
      <c r="H1660" s="25">
        <v>45813</v>
      </c>
      <c r="I1660" s="25">
        <v>2065</v>
      </c>
      <c r="J1660" s="26">
        <v>2513.6</v>
      </c>
      <c r="K1660" s="25">
        <v>316</v>
      </c>
      <c r="L1660" s="21" t="s">
        <v>17</v>
      </c>
      <c r="M1660" s="22" t="s">
        <v>3537</v>
      </c>
      <c r="N1660" s="27">
        <f t="shared" si="200"/>
        <v>16</v>
      </c>
      <c r="O1660" s="28">
        <f t="shared" si="201"/>
        <v>4.5074542160522126E-2</v>
      </c>
      <c r="P1660" s="28">
        <f t="shared" si="202"/>
        <v>0.15302663438256658</v>
      </c>
      <c r="Q1660" s="26">
        <f t="shared" si="203"/>
        <v>1.2172397094430993</v>
      </c>
      <c r="R1660" s="29">
        <f t="shared" si="204"/>
        <v>7.9544303797468352</v>
      </c>
      <c r="S1660" s="30">
        <f t="shared" si="205"/>
        <v>11</v>
      </c>
      <c r="T1660" s="30">
        <f t="shared" si="206"/>
        <v>2023</v>
      </c>
      <c r="U1660" s="29" t="str">
        <f t="shared" si="207"/>
        <v>November</v>
      </c>
    </row>
    <row r="1661" spans="1:21" ht="17.399999999999999" x14ac:dyDescent="0.3">
      <c r="A1661" s="21" t="s">
        <v>1029</v>
      </c>
      <c r="B1661" s="21" t="s">
        <v>1030</v>
      </c>
      <c r="C1661" s="23" t="s">
        <v>3518</v>
      </c>
      <c r="D1661" s="21" t="s">
        <v>3520</v>
      </c>
      <c r="E1661" s="24">
        <v>45235</v>
      </c>
      <c r="F1661" s="24">
        <v>45259</v>
      </c>
      <c r="G1661" s="22" t="s">
        <v>24</v>
      </c>
      <c r="H1661" s="25">
        <v>12338</v>
      </c>
      <c r="I1661" s="25">
        <v>389</v>
      </c>
      <c r="J1661" s="26">
        <v>332.87</v>
      </c>
      <c r="K1661" s="25">
        <v>74</v>
      </c>
      <c r="L1661" s="21" t="s">
        <v>21</v>
      </c>
      <c r="M1661" s="22" t="s">
        <v>3536</v>
      </c>
      <c r="N1661" s="27">
        <f t="shared" si="200"/>
        <v>24</v>
      </c>
      <c r="O1661" s="28">
        <f t="shared" si="201"/>
        <v>3.1528610795915062E-2</v>
      </c>
      <c r="P1661" s="28">
        <f t="shared" si="202"/>
        <v>0.19023136246786632</v>
      </c>
      <c r="Q1661" s="26">
        <f t="shared" si="203"/>
        <v>0.85570694087403598</v>
      </c>
      <c r="R1661" s="29">
        <f t="shared" si="204"/>
        <v>4.4982432432432429</v>
      </c>
      <c r="S1661" s="30">
        <f t="shared" si="205"/>
        <v>11</v>
      </c>
      <c r="T1661" s="30">
        <f t="shared" si="206"/>
        <v>2023</v>
      </c>
      <c r="U1661" s="29" t="str">
        <f t="shared" si="207"/>
        <v>November</v>
      </c>
    </row>
    <row r="1662" spans="1:21" ht="17.399999999999999" x14ac:dyDescent="0.3">
      <c r="A1662" s="21" t="s">
        <v>338</v>
      </c>
      <c r="B1662" s="21" t="s">
        <v>339</v>
      </c>
      <c r="C1662" s="23" t="s">
        <v>3516</v>
      </c>
      <c r="D1662" s="21" t="s">
        <v>3521</v>
      </c>
      <c r="E1662" s="24">
        <v>45235</v>
      </c>
      <c r="F1662" s="24">
        <v>45237</v>
      </c>
      <c r="G1662" s="22" t="s">
        <v>24</v>
      </c>
      <c r="H1662" s="25">
        <v>10474</v>
      </c>
      <c r="I1662" s="25">
        <v>449</v>
      </c>
      <c r="J1662" s="26">
        <v>675.28</v>
      </c>
      <c r="K1662" s="25">
        <v>42</v>
      </c>
      <c r="L1662" s="21" t="s">
        <v>21</v>
      </c>
      <c r="M1662" s="22" t="s">
        <v>3536</v>
      </c>
      <c r="N1662" s="27">
        <f t="shared" si="200"/>
        <v>2</v>
      </c>
      <c r="O1662" s="28">
        <f t="shared" si="201"/>
        <v>4.2868054229520718E-2</v>
      </c>
      <c r="P1662" s="28">
        <f t="shared" si="202"/>
        <v>9.3541202672605794E-2</v>
      </c>
      <c r="Q1662" s="26">
        <f t="shared" si="203"/>
        <v>1.5039643652561248</v>
      </c>
      <c r="R1662" s="29">
        <f t="shared" si="204"/>
        <v>16.078095238095237</v>
      </c>
      <c r="S1662" s="30">
        <f t="shared" si="205"/>
        <v>11</v>
      </c>
      <c r="T1662" s="30">
        <f t="shared" si="206"/>
        <v>2023</v>
      </c>
      <c r="U1662" s="29" t="str">
        <f t="shared" si="207"/>
        <v>November</v>
      </c>
    </row>
    <row r="1663" spans="1:21" ht="17.399999999999999" x14ac:dyDescent="0.3">
      <c r="A1663" s="21" t="s">
        <v>2020</v>
      </c>
      <c r="B1663" s="21" t="s">
        <v>2021</v>
      </c>
      <c r="C1663" s="23" t="s">
        <v>3515</v>
      </c>
      <c r="D1663" s="21" t="s">
        <v>3517</v>
      </c>
      <c r="E1663" s="24">
        <v>45235</v>
      </c>
      <c r="F1663" s="24">
        <v>45249</v>
      </c>
      <c r="G1663" s="22" t="s">
        <v>31</v>
      </c>
      <c r="H1663" s="25">
        <v>10446</v>
      </c>
      <c r="I1663" s="25">
        <v>483</v>
      </c>
      <c r="J1663" s="26">
        <v>555.97</v>
      </c>
      <c r="K1663" s="25">
        <v>0</v>
      </c>
      <c r="L1663" s="21" t="s">
        <v>21</v>
      </c>
      <c r="M1663" s="22" t="s">
        <v>31</v>
      </c>
      <c r="N1663" s="27">
        <f t="shared" si="200"/>
        <v>14</v>
      </c>
      <c r="O1663" s="28">
        <f t="shared" si="201"/>
        <v>4.6237794371051119E-2</v>
      </c>
      <c r="P1663" s="28">
        <f t="shared" si="202"/>
        <v>0</v>
      </c>
      <c r="Q1663" s="26">
        <f t="shared" si="203"/>
        <v>1.1510766045548655</v>
      </c>
      <c r="R1663" s="29" t="str">
        <f t="shared" si="204"/>
        <v>0</v>
      </c>
      <c r="S1663" s="30">
        <f t="shared" si="205"/>
        <v>11</v>
      </c>
      <c r="T1663" s="30">
        <f t="shared" si="206"/>
        <v>2023</v>
      </c>
      <c r="U1663" s="29" t="str">
        <f t="shared" si="207"/>
        <v>November</v>
      </c>
    </row>
    <row r="1664" spans="1:21" ht="17.399999999999999" x14ac:dyDescent="0.3">
      <c r="A1664" s="21" t="s">
        <v>1115</v>
      </c>
      <c r="B1664" s="22" t="s">
        <v>3984</v>
      </c>
      <c r="C1664" s="23" t="s">
        <v>3519</v>
      </c>
      <c r="D1664" s="22" t="s">
        <v>3545</v>
      </c>
      <c r="E1664" s="24">
        <v>45236</v>
      </c>
      <c r="F1664" s="24">
        <v>45254</v>
      </c>
      <c r="G1664" s="22" t="s">
        <v>31</v>
      </c>
      <c r="H1664" s="25">
        <v>83637</v>
      </c>
      <c r="I1664" s="25">
        <v>3296</v>
      </c>
      <c r="J1664" s="26">
        <v>2027.74</v>
      </c>
      <c r="K1664" s="25">
        <v>589</v>
      </c>
      <c r="L1664" s="21" t="s">
        <v>21</v>
      </c>
      <c r="M1664" s="22" t="s">
        <v>31</v>
      </c>
      <c r="N1664" s="27">
        <f t="shared" si="200"/>
        <v>18</v>
      </c>
      <c r="O1664" s="28">
        <f t="shared" si="201"/>
        <v>3.9408395805684088E-2</v>
      </c>
      <c r="P1664" s="28">
        <f t="shared" si="202"/>
        <v>0.1787014563106796</v>
      </c>
      <c r="Q1664" s="26">
        <f t="shared" si="203"/>
        <v>0.61521237864077671</v>
      </c>
      <c r="R1664" s="29">
        <f t="shared" si="204"/>
        <v>3.4426825127334464</v>
      </c>
      <c r="S1664" s="30">
        <f t="shared" si="205"/>
        <v>11</v>
      </c>
      <c r="T1664" s="30">
        <f t="shared" si="206"/>
        <v>2023</v>
      </c>
      <c r="U1664" s="29" t="str">
        <f t="shared" si="207"/>
        <v>November</v>
      </c>
    </row>
    <row r="1665" spans="1:21" ht="17.399999999999999" x14ac:dyDescent="0.3">
      <c r="A1665" s="21" t="s">
        <v>1514</v>
      </c>
      <c r="B1665" s="21" t="s">
        <v>1515</v>
      </c>
      <c r="C1665" s="23" t="s">
        <v>3518</v>
      </c>
      <c r="D1665" s="21" t="s">
        <v>3517</v>
      </c>
      <c r="E1665" s="24">
        <v>45236</v>
      </c>
      <c r="F1665" s="24">
        <v>45256</v>
      </c>
      <c r="G1665" s="22" t="s">
        <v>14</v>
      </c>
      <c r="H1665" s="25">
        <v>2252</v>
      </c>
      <c r="I1665" s="25">
        <v>29</v>
      </c>
      <c r="J1665" s="26">
        <v>34.68</v>
      </c>
      <c r="K1665" s="25">
        <v>5</v>
      </c>
      <c r="L1665" s="21" t="s">
        <v>21</v>
      </c>
      <c r="M1665" s="22" t="s">
        <v>3537</v>
      </c>
      <c r="N1665" s="27">
        <f t="shared" si="200"/>
        <v>20</v>
      </c>
      <c r="O1665" s="28">
        <f t="shared" si="201"/>
        <v>1.2877442273534635E-2</v>
      </c>
      <c r="P1665" s="28">
        <f t="shared" si="202"/>
        <v>0.17241379310344829</v>
      </c>
      <c r="Q1665" s="26">
        <f t="shared" si="203"/>
        <v>1.1958620689655173</v>
      </c>
      <c r="R1665" s="29">
        <f t="shared" si="204"/>
        <v>6.9359999999999999</v>
      </c>
      <c r="S1665" s="30">
        <f t="shared" si="205"/>
        <v>11</v>
      </c>
      <c r="T1665" s="30">
        <f t="shared" si="206"/>
        <v>2023</v>
      </c>
      <c r="U1665" s="29" t="str">
        <f t="shared" si="207"/>
        <v>November</v>
      </c>
    </row>
    <row r="1666" spans="1:21" ht="17.399999999999999" x14ac:dyDescent="0.3">
      <c r="A1666" s="21" t="s">
        <v>2663</v>
      </c>
      <c r="B1666" s="22" t="s">
        <v>3985</v>
      </c>
      <c r="C1666" s="23" t="s">
        <v>3518</v>
      </c>
      <c r="D1666" s="22" t="s">
        <v>3545</v>
      </c>
      <c r="E1666" s="24">
        <v>45236</v>
      </c>
      <c r="F1666" s="24">
        <v>45266</v>
      </c>
      <c r="G1666" s="22" t="s">
        <v>14</v>
      </c>
      <c r="H1666" s="25">
        <v>71855</v>
      </c>
      <c r="I1666" s="25">
        <v>2140</v>
      </c>
      <c r="J1666" s="26">
        <v>1777.83</v>
      </c>
      <c r="K1666" s="25">
        <v>141</v>
      </c>
      <c r="L1666" s="21" t="s">
        <v>21</v>
      </c>
      <c r="M1666" s="22" t="s">
        <v>3537</v>
      </c>
      <c r="N1666" s="27">
        <f t="shared" ref="N1666:N1729" si="208">F1666-E1666</f>
        <v>30</v>
      </c>
      <c r="O1666" s="28">
        <f t="shared" ref="O1666:O1729" si="209">I1666/H1666</f>
        <v>2.9782200264421403E-2</v>
      </c>
      <c r="P1666" s="28">
        <f t="shared" ref="P1666:P1729" si="210">K1666/I1666</f>
        <v>6.5887850467289719E-2</v>
      </c>
      <c r="Q1666" s="26">
        <f t="shared" ref="Q1666:Q1729" si="211">J1666/I1666</f>
        <v>0.83076168224299063</v>
      </c>
      <c r="R1666" s="29">
        <f t="shared" ref="R1666:R1729" si="212">IFERROR(J1666/K1666,"0")</f>
        <v>12.608723404255318</v>
      </c>
      <c r="S1666" s="30">
        <f t="shared" ref="S1666:S1729" si="213">MONTH(E1666)</f>
        <v>11</v>
      </c>
      <c r="T1666" s="30">
        <f t="shared" ref="T1666:T1729" si="214">YEAR(E1666)</f>
        <v>2023</v>
      </c>
      <c r="U1666" s="29" t="str">
        <f t="shared" ref="U1666:U1729" si="215">TEXT(E1666,"mmmm")</f>
        <v>November</v>
      </c>
    </row>
    <row r="1667" spans="1:21" ht="17.399999999999999" x14ac:dyDescent="0.3">
      <c r="A1667" s="21" t="s">
        <v>3223</v>
      </c>
      <c r="B1667" s="21" t="s">
        <v>3224</v>
      </c>
      <c r="C1667" s="23" t="s">
        <v>3516</v>
      </c>
      <c r="D1667" s="21" t="s">
        <v>3520</v>
      </c>
      <c r="E1667" s="24">
        <v>45236</v>
      </c>
      <c r="F1667" s="24">
        <v>45248</v>
      </c>
      <c r="G1667" s="22" t="s">
        <v>14</v>
      </c>
      <c r="H1667" s="25">
        <v>53930</v>
      </c>
      <c r="I1667" s="25">
        <v>1418</v>
      </c>
      <c r="J1667" s="26">
        <v>1246.1300000000001</v>
      </c>
      <c r="K1667" s="25">
        <v>164</v>
      </c>
      <c r="L1667" s="21" t="s">
        <v>21</v>
      </c>
      <c r="M1667" s="22" t="s">
        <v>3537</v>
      </c>
      <c r="N1667" s="27">
        <f t="shared" si="208"/>
        <v>12</v>
      </c>
      <c r="O1667" s="28">
        <f t="shared" si="209"/>
        <v>2.6293343222696088E-2</v>
      </c>
      <c r="P1667" s="28">
        <f t="shared" si="210"/>
        <v>0.1156558533145275</v>
      </c>
      <c r="Q1667" s="26">
        <f t="shared" si="211"/>
        <v>0.87879407616361083</v>
      </c>
      <c r="R1667" s="29">
        <f t="shared" si="212"/>
        <v>7.5983536585365856</v>
      </c>
      <c r="S1667" s="30">
        <f t="shared" si="213"/>
        <v>11</v>
      </c>
      <c r="T1667" s="30">
        <f t="shared" si="214"/>
        <v>2023</v>
      </c>
      <c r="U1667" s="29" t="str">
        <f t="shared" si="215"/>
        <v>November</v>
      </c>
    </row>
    <row r="1668" spans="1:21" ht="17.399999999999999" x14ac:dyDescent="0.3">
      <c r="A1668" s="21" t="s">
        <v>1051</v>
      </c>
      <c r="B1668" s="21" t="s">
        <v>1052</v>
      </c>
      <c r="C1668" s="23" t="s">
        <v>3515</v>
      </c>
      <c r="D1668" s="21" t="s">
        <v>3517</v>
      </c>
      <c r="E1668" s="24">
        <v>45236</v>
      </c>
      <c r="F1668" s="24">
        <v>45251</v>
      </c>
      <c r="G1668" s="22" t="s">
        <v>24</v>
      </c>
      <c r="H1668" s="25">
        <v>86999</v>
      </c>
      <c r="I1668" s="25">
        <v>1303</v>
      </c>
      <c r="J1668" s="26">
        <v>2044.76</v>
      </c>
      <c r="K1668" s="25">
        <v>247</v>
      </c>
      <c r="L1668" s="21" t="s">
        <v>21</v>
      </c>
      <c r="M1668" s="22" t="s">
        <v>3536</v>
      </c>
      <c r="N1668" s="27">
        <f t="shared" si="208"/>
        <v>15</v>
      </c>
      <c r="O1668" s="28">
        <f t="shared" si="209"/>
        <v>1.4977183645789031E-2</v>
      </c>
      <c r="P1668" s="28">
        <f t="shared" si="210"/>
        <v>0.18956254796623176</v>
      </c>
      <c r="Q1668" s="26">
        <f t="shared" si="211"/>
        <v>1.569270913277053</v>
      </c>
      <c r="R1668" s="29">
        <f t="shared" si="212"/>
        <v>8.2783805668016193</v>
      </c>
      <c r="S1668" s="30">
        <f t="shared" si="213"/>
        <v>11</v>
      </c>
      <c r="T1668" s="30">
        <f t="shared" si="214"/>
        <v>2023</v>
      </c>
      <c r="U1668" s="29" t="str">
        <f t="shared" si="215"/>
        <v>November</v>
      </c>
    </row>
    <row r="1669" spans="1:21" ht="17.399999999999999" x14ac:dyDescent="0.3">
      <c r="A1669" s="21" t="s">
        <v>457</v>
      </c>
      <c r="B1669" s="22" t="s">
        <v>3986</v>
      </c>
      <c r="C1669" s="23" t="s">
        <v>3519</v>
      </c>
      <c r="D1669" s="22" t="s">
        <v>3545</v>
      </c>
      <c r="E1669" s="24">
        <v>45237</v>
      </c>
      <c r="F1669" s="24">
        <v>45261</v>
      </c>
      <c r="G1669" s="22" t="s">
        <v>14</v>
      </c>
      <c r="H1669" s="25">
        <v>96742</v>
      </c>
      <c r="I1669" s="25">
        <v>1961</v>
      </c>
      <c r="J1669" s="26">
        <v>3001.43</v>
      </c>
      <c r="K1669" s="25">
        <v>160</v>
      </c>
      <c r="L1669" s="21" t="s">
        <v>17</v>
      </c>
      <c r="M1669" s="22" t="s">
        <v>3537</v>
      </c>
      <c r="N1669" s="27">
        <f t="shared" si="208"/>
        <v>24</v>
      </c>
      <c r="O1669" s="28">
        <f t="shared" si="209"/>
        <v>2.0270409956378823E-2</v>
      </c>
      <c r="P1669" s="28">
        <f t="shared" si="210"/>
        <v>8.1591024987251404E-2</v>
      </c>
      <c r="Q1669" s="26">
        <f t="shared" si="211"/>
        <v>1.5305609382967873</v>
      </c>
      <c r="R1669" s="29">
        <f t="shared" si="212"/>
        <v>18.758937499999998</v>
      </c>
      <c r="S1669" s="30">
        <f t="shared" si="213"/>
        <v>11</v>
      </c>
      <c r="T1669" s="30">
        <f t="shared" si="214"/>
        <v>2023</v>
      </c>
      <c r="U1669" s="29" t="str">
        <f t="shared" si="215"/>
        <v>November</v>
      </c>
    </row>
    <row r="1670" spans="1:21" ht="17.399999999999999" x14ac:dyDescent="0.3">
      <c r="A1670" s="21" t="s">
        <v>2427</v>
      </c>
      <c r="B1670" s="21" t="s">
        <v>2428</v>
      </c>
      <c r="C1670" s="23" t="s">
        <v>3518</v>
      </c>
      <c r="D1670" s="21" t="s">
        <v>3520</v>
      </c>
      <c r="E1670" s="24">
        <v>45237</v>
      </c>
      <c r="F1670" s="24">
        <v>45247</v>
      </c>
      <c r="G1670" s="22" t="s">
        <v>31</v>
      </c>
      <c r="H1670" s="25">
        <v>68642</v>
      </c>
      <c r="I1670" s="25">
        <v>2266</v>
      </c>
      <c r="J1670" s="26">
        <v>4087.33</v>
      </c>
      <c r="K1670" s="25">
        <v>190</v>
      </c>
      <c r="L1670" s="21" t="s">
        <v>17</v>
      </c>
      <c r="M1670" s="22" t="s">
        <v>31</v>
      </c>
      <c r="N1670" s="27">
        <f t="shared" si="208"/>
        <v>10</v>
      </c>
      <c r="O1670" s="28">
        <f t="shared" si="209"/>
        <v>3.3011858628827828E-2</v>
      </c>
      <c r="P1670" s="28">
        <f t="shared" si="210"/>
        <v>8.3848190644307152E-2</v>
      </c>
      <c r="Q1670" s="26">
        <f t="shared" si="211"/>
        <v>1.8037643424536629</v>
      </c>
      <c r="R1670" s="29">
        <f t="shared" si="212"/>
        <v>21.512263157894736</v>
      </c>
      <c r="S1670" s="30">
        <f t="shared" si="213"/>
        <v>11</v>
      </c>
      <c r="T1670" s="30">
        <f t="shared" si="214"/>
        <v>2023</v>
      </c>
      <c r="U1670" s="29" t="str">
        <f t="shared" si="215"/>
        <v>November</v>
      </c>
    </row>
    <row r="1671" spans="1:21" ht="17.399999999999999" x14ac:dyDescent="0.3">
      <c r="A1671" s="21" t="s">
        <v>1313</v>
      </c>
      <c r="B1671" s="21" t="s">
        <v>1314</v>
      </c>
      <c r="C1671" s="23" t="s">
        <v>3516</v>
      </c>
      <c r="D1671" s="21" t="s">
        <v>3521</v>
      </c>
      <c r="E1671" s="24">
        <v>45237</v>
      </c>
      <c r="F1671" s="24">
        <v>45245</v>
      </c>
      <c r="G1671" s="22" t="s">
        <v>14</v>
      </c>
      <c r="H1671" s="25">
        <v>53638</v>
      </c>
      <c r="I1671" s="25">
        <v>2143</v>
      </c>
      <c r="J1671" s="26">
        <v>2653.78</v>
      </c>
      <c r="K1671" s="25">
        <v>124</v>
      </c>
      <c r="L1671" s="21" t="s">
        <v>21</v>
      </c>
      <c r="M1671" s="22" t="s">
        <v>3537</v>
      </c>
      <c r="N1671" s="27">
        <f t="shared" si="208"/>
        <v>8</v>
      </c>
      <c r="O1671" s="28">
        <f t="shared" si="209"/>
        <v>3.9953018382490026E-2</v>
      </c>
      <c r="P1671" s="28">
        <f t="shared" si="210"/>
        <v>5.7862809146056932E-2</v>
      </c>
      <c r="Q1671" s="26">
        <f t="shared" si="211"/>
        <v>1.2383481101259917</v>
      </c>
      <c r="R1671" s="29">
        <f t="shared" si="212"/>
        <v>21.401451612903227</v>
      </c>
      <c r="S1671" s="30">
        <f t="shared" si="213"/>
        <v>11</v>
      </c>
      <c r="T1671" s="30">
        <f t="shared" si="214"/>
        <v>2023</v>
      </c>
      <c r="U1671" s="29" t="str">
        <f t="shared" si="215"/>
        <v>November</v>
      </c>
    </row>
    <row r="1672" spans="1:21" ht="17.399999999999999" x14ac:dyDescent="0.3">
      <c r="A1672" s="21" t="s">
        <v>778</v>
      </c>
      <c r="B1672" s="21" t="s">
        <v>779</v>
      </c>
      <c r="C1672" s="23" t="s">
        <v>3519</v>
      </c>
      <c r="D1672" s="21" t="s">
        <v>3517</v>
      </c>
      <c r="E1672" s="24">
        <v>45238</v>
      </c>
      <c r="F1672" s="24">
        <v>45262</v>
      </c>
      <c r="G1672" s="22" t="s">
        <v>31</v>
      </c>
      <c r="H1672" s="25">
        <v>69027</v>
      </c>
      <c r="I1672" s="25">
        <v>2474</v>
      </c>
      <c r="J1672" s="26">
        <v>4289.28</v>
      </c>
      <c r="K1672" s="25">
        <v>336</v>
      </c>
      <c r="L1672" s="21" t="s">
        <v>21</v>
      </c>
      <c r="M1672" s="22" t="s">
        <v>31</v>
      </c>
      <c r="N1672" s="27">
        <f t="shared" si="208"/>
        <v>24</v>
      </c>
      <c r="O1672" s="28">
        <f t="shared" si="209"/>
        <v>3.584104770597013E-2</v>
      </c>
      <c r="P1672" s="28">
        <f t="shared" si="210"/>
        <v>0.13581244947453516</v>
      </c>
      <c r="Q1672" s="26">
        <f t="shared" si="211"/>
        <v>1.7337429264349231</v>
      </c>
      <c r="R1672" s="29">
        <f t="shared" si="212"/>
        <v>12.765714285714285</v>
      </c>
      <c r="S1672" s="30">
        <f t="shared" si="213"/>
        <v>11</v>
      </c>
      <c r="T1672" s="30">
        <f t="shared" si="214"/>
        <v>2023</v>
      </c>
      <c r="U1672" s="29" t="str">
        <f t="shared" si="215"/>
        <v>November</v>
      </c>
    </row>
    <row r="1673" spans="1:21" ht="17.399999999999999" x14ac:dyDescent="0.3">
      <c r="A1673" s="21" t="s">
        <v>2308</v>
      </c>
      <c r="B1673" s="21" t="s">
        <v>2309</v>
      </c>
      <c r="C1673" s="23" t="s">
        <v>3519</v>
      </c>
      <c r="D1673" s="21" t="s">
        <v>3517</v>
      </c>
      <c r="E1673" s="24">
        <v>45238</v>
      </c>
      <c r="F1673" s="24">
        <v>45247</v>
      </c>
      <c r="G1673" s="22" t="s">
        <v>16</v>
      </c>
      <c r="H1673" s="25">
        <v>41806</v>
      </c>
      <c r="I1673" s="25">
        <v>650</v>
      </c>
      <c r="J1673" s="26">
        <v>497.7</v>
      </c>
      <c r="K1673" s="25">
        <v>123</v>
      </c>
      <c r="L1673" s="21" t="s">
        <v>17</v>
      </c>
      <c r="M1673" s="22" t="s">
        <v>16</v>
      </c>
      <c r="N1673" s="27">
        <f t="shared" si="208"/>
        <v>9</v>
      </c>
      <c r="O1673" s="28">
        <f t="shared" si="209"/>
        <v>1.5548007463043582E-2</v>
      </c>
      <c r="P1673" s="28">
        <f t="shared" si="210"/>
        <v>0.18923076923076923</v>
      </c>
      <c r="Q1673" s="26">
        <f t="shared" si="211"/>
        <v>0.76569230769230767</v>
      </c>
      <c r="R1673" s="29">
        <f t="shared" si="212"/>
        <v>4.0463414634146337</v>
      </c>
      <c r="S1673" s="30">
        <f t="shared" si="213"/>
        <v>11</v>
      </c>
      <c r="T1673" s="30">
        <f t="shared" si="214"/>
        <v>2023</v>
      </c>
      <c r="U1673" s="29" t="str">
        <f t="shared" si="215"/>
        <v>November</v>
      </c>
    </row>
    <row r="1674" spans="1:21" ht="17.399999999999999" x14ac:dyDescent="0.3">
      <c r="A1674" s="21" t="s">
        <v>1787</v>
      </c>
      <c r="B1674" s="22" t="s">
        <v>3987</v>
      </c>
      <c r="C1674" s="23" t="s">
        <v>3516</v>
      </c>
      <c r="D1674" s="22" t="s">
        <v>3545</v>
      </c>
      <c r="E1674" s="24">
        <v>45238</v>
      </c>
      <c r="F1674" s="24">
        <v>45260</v>
      </c>
      <c r="G1674" s="22" t="s">
        <v>11</v>
      </c>
      <c r="H1674" s="25">
        <v>73303</v>
      </c>
      <c r="I1674" s="25">
        <v>1485</v>
      </c>
      <c r="J1674" s="26">
        <v>796.21</v>
      </c>
      <c r="K1674" s="25">
        <v>168</v>
      </c>
      <c r="L1674" s="21" t="s">
        <v>21</v>
      </c>
      <c r="M1674" s="22" t="s">
        <v>11</v>
      </c>
      <c r="N1674" s="27">
        <f t="shared" si="208"/>
        <v>22</v>
      </c>
      <c r="O1674" s="28">
        <f t="shared" si="209"/>
        <v>2.025837960247193E-2</v>
      </c>
      <c r="P1674" s="28">
        <f t="shared" si="210"/>
        <v>0.11313131313131314</v>
      </c>
      <c r="Q1674" s="26">
        <f t="shared" si="211"/>
        <v>0.53616835016835018</v>
      </c>
      <c r="R1674" s="29">
        <f t="shared" si="212"/>
        <v>4.7393452380952379</v>
      </c>
      <c r="S1674" s="30">
        <f t="shared" si="213"/>
        <v>11</v>
      </c>
      <c r="T1674" s="30">
        <f t="shared" si="214"/>
        <v>2023</v>
      </c>
      <c r="U1674" s="29" t="str">
        <f t="shared" si="215"/>
        <v>November</v>
      </c>
    </row>
    <row r="1675" spans="1:21" ht="17.399999999999999" x14ac:dyDescent="0.3">
      <c r="A1675" s="21" t="s">
        <v>3093</v>
      </c>
      <c r="B1675" s="21" t="s">
        <v>3094</v>
      </c>
      <c r="C1675" s="23" t="s">
        <v>3516</v>
      </c>
      <c r="D1675" s="21" t="s">
        <v>3521</v>
      </c>
      <c r="E1675" s="24">
        <v>45238</v>
      </c>
      <c r="F1675" s="24">
        <v>45243</v>
      </c>
      <c r="G1675" s="22" t="s">
        <v>16</v>
      </c>
      <c r="H1675" s="25">
        <v>96756</v>
      </c>
      <c r="I1675" s="25">
        <v>1162</v>
      </c>
      <c r="J1675" s="26">
        <v>2024.16</v>
      </c>
      <c r="K1675" s="25">
        <v>160</v>
      </c>
      <c r="L1675" s="21" t="s">
        <v>21</v>
      </c>
      <c r="M1675" s="22" t="s">
        <v>16</v>
      </c>
      <c r="N1675" s="27">
        <f t="shared" si="208"/>
        <v>5</v>
      </c>
      <c r="O1675" s="28">
        <f t="shared" si="209"/>
        <v>1.2009591136466989E-2</v>
      </c>
      <c r="P1675" s="28">
        <f t="shared" si="210"/>
        <v>0.13769363166953527</v>
      </c>
      <c r="Q1675" s="26">
        <f t="shared" si="211"/>
        <v>1.741962134251291</v>
      </c>
      <c r="R1675" s="29">
        <f t="shared" si="212"/>
        <v>12.651</v>
      </c>
      <c r="S1675" s="30">
        <f t="shared" si="213"/>
        <v>11</v>
      </c>
      <c r="T1675" s="30">
        <f t="shared" si="214"/>
        <v>2023</v>
      </c>
      <c r="U1675" s="29" t="str">
        <f t="shared" si="215"/>
        <v>November</v>
      </c>
    </row>
    <row r="1676" spans="1:21" ht="17.399999999999999" x14ac:dyDescent="0.3">
      <c r="A1676" s="21" t="s">
        <v>55</v>
      </c>
      <c r="B1676" s="22" t="s">
        <v>3988</v>
      </c>
      <c r="C1676" s="23" t="s">
        <v>3515</v>
      </c>
      <c r="D1676" s="22" t="s">
        <v>3545</v>
      </c>
      <c r="E1676" s="24">
        <v>45238</v>
      </c>
      <c r="F1676" s="24">
        <v>45254</v>
      </c>
      <c r="G1676" s="22" t="s">
        <v>31</v>
      </c>
      <c r="H1676" s="25">
        <v>86305</v>
      </c>
      <c r="I1676" s="25">
        <v>2637</v>
      </c>
      <c r="J1676" s="26">
        <v>4726.22</v>
      </c>
      <c r="K1676" s="25">
        <v>216</v>
      </c>
      <c r="L1676" s="21" t="s">
        <v>17</v>
      </c>
      <c r="M1676" s="22" t="s">
        <v>31</v>
      </c>
      <c r="N1676" s="27">
        <f t="shared" si="208"/>
        <v>16</v>
      </c>
      <c r="O1676" s="28">
        <f t="shared" si="209"/>
        <v>3.0554429059730027E-2</v>
      </c>
      <c r="P1676" s="28">
        <f t="shared" si="210"/>
        <v>8.191126279863481E-2</v>
      </c>
      <c r="Q1676" s="26">
        <f t="shared" si="211"/>
        <v>1.7922715206674251</v>
      </c>
      <c r="R1676" s="29">
        <f t="shared" si="212"/>
        <v>21.880648148148151</v>
      </c>
      <c r="S1676" s="30">
        <f t="shared" si="213"/>
        <v>11</v>
      </c>
      <c r="T1676" s="30">
        <f t="shared" si="214"/>
        <v>2023</v>
      </c>
      <c r="U1676" s="29" t="str">
        <f t="shared" si="215"/>
        <v>November</v>
      </c>
    </row>
    <row r="1677" spans="1:21" ht="17.399999999999999" x14ac:dyDescent="0.3">
      <c r="A1677" s="21" t="s">
        <v>969</v>
      </c>
      <c r="B1677" s="22" t="s">
        <v>3989</v>
      </c>
      <c r="C1677" s="23" t="s">
        <v>3515</v>
      </c>
      <c r="D1677" s="22" t="s">
        <v>3545</v>
      </c>
      <c r="E1677" s="24">
        <v>45238</v>
      </c>
      <c r="F1677" s="24">
        <v>45267</v>
      </c>
      <c r="G1677" s="22" t="s">
        <v>31</v>
      </c>
      <c r="H1677" s="25">
        <v>12938</v>
      </c>
      <c r="I1677" s="25">
        <v>408</v>
      </c>
      <c r="J1677" s="26">
        <v>663.02</v>
      </c>
      <c r="K1677" s="25">
        <v>74</v>
      </c>
      <c r="L1677" s="21" t="s">
        <v>21</v>
      </c>
      <c r="M1677" s="22" t="s">
        <v>31</v>
      </c>
      <c r="N1677" s="27">
        <f t="shared" si="208"/>
        <v>29</v>
      </c>
      <c r="O1677" s="28">
        <f t="shared" si="209"/>
        <v>3.1535013139588806E-2</v>
      </c>
      <c r="P1677" s="28">
        <f t="shared" si="210"/>
        <v>0.18137254901960784</v>
      </c>
      <c r="Q1677" s="26">
        <f t="shared" si="211"/>
        <v>1.6250490196078431</v>
      </c>
      <c r="R1677" s="29">
        <f t="shared" si="212"/>
        <v>8.9597297297297303</v>
      </c>
      <c r="S1677" s="30">
        <f t="shared" si="213"/>
        <v>11</v>
      </c>
      <c r="T1677" s="30">
        <f t="shared" si="214"/>
        <v>2023</v>
      </c>
      <c r="U1677" s="29" t="str">
        <f t="shared" si="215"/>
        <v>November</v>
      </c>
    </row>
    <row r="1678" spans="1:21" ht="17.399999999999999" x14ac:dyDescent="0.3">
      <c r="A1678" s="21" t="s">
        <v>884</v>
      </c>
      <c r="B1678" s="21" t="s">
        <v>885</v>
      </c>
      <c r="C1678" s="23" t="s">
        <v>3519</v>
      </c>
      <c r="D1678" s="21" t="s">
        <v>3521</v>
      </c>
      <c r="E1678" s="24">
        <v>45239</v>
      </c>
      <c r="F1678" s="24">
        <v>45267</v>
      </c>
      <c r="G1678" s="22" t="s">
        <v>16</v>
      </c>
      <c r="H1678" s="25">
        <v>85664</v>
      </c>
      <c r="I1678" s="25">
        <v>1637</v>
      </c>
      <c r="J1678" s="26">
        <v>2648.29</v>
      </c>
      <c r="K1678" s="25">
        <v>274</v>
      </c>
      <c r="L1678" s="21" t="s">
        <v>21</v>
      </c>
      <c r="M1678" s="22" t="s">
        <v>16</v>
      </c>
      <c r="N1678" s="27">
        <f t="shared" si="208"/>
        <v>28</v>
      </c>
      <c r="O1678" s="28">
        <f t="shared" si="209"/>
        <v>1.9109544265969367E-2</v>
      </c>
      <c r="P1678" s="28">
        <f t="shared" si="210"/>
        <v>0.16737935247403787</v>
      </c>
      <c r="Q1678" s="26">
        <f t="shared" si="211"/>
        <v>1.61777031154551</v>
      </c>
      <c r="R1678" s="29">
        <f t="shared" si="212"/>
        <v>9.6652919708029188</v>
      </c>
      <c r="S1678" s="30">
        <f t="shared" si="213"/>
        <v>11</v>
      </c>
      <c r="T1678" s="30">
        <f t="shared" si="214"/>
        <v>2023</v>
      </c>
      <c r="U1678" s="29" t="str">
        <f t="shared" si="215"/>
        <v>November</v>
      </c>
    </row>
    <row r="1679" spans="1:21" ht="17.399999999999999" x14ac:dyDescent="0.3">
      <c r="A1679" s="21" t="s">
        <v>1286</v>
      </c>
      <c r="B1679" s="21" t="s">
        <v>1287</v>
      </c>
      <c r="C1679" s="23" t="s">
        <v>3519</v>
      </c>
      <c r="D1679" s="21" t="s">
        <v>3521</v>
      </c>
      <c r="E1679" s="24">
        <v>45239</v>
      </c>
      <c r="F1679" s="24">
        <v>45243</v>
      </c>
      <c r="G1679" s="22" t="s">
        <v>3535</v>
      </c>
      <c r="H1679" s="25">
        <v>35620</v>
      </c>
      <c r="I1679" s="25">
        <v>931</v>
      </c>
      <c r="J1679" s="26">
        <v>1088.96</v>
      </c>
      <c r="K1679" s="25">
        <v>109</v>
      </c>
      <c r="L1679" s="21" t="s">
        <v>21</v>
      </c>
      <c r="M1679" s="22" t="s">
        <v>3535</v>
      </c>
      <c r="N1679" s="27">
        <f t="shared" si="208"/>
        <v>4</v>
      </c>
      <c r="O1679" s="28">
        <f t="shared" si="209"/>
        <v>2.613700168444694E-2</v>
      </c>
      <c r="P1679" s="28">
        <f t="shared" si="210"/>
        <v>0.11707841031149302</v>
      </c>
      <c r="Q1679" s="26">
        <f t="shared" si="211"/>
        <v>1.1696670247046188</v>
      </c>
      <c r="R1679" s="29">
        <f t="shared" si="212"/>
        <v>9.9904587155963309</v>
      </c>
      <c r="S1679" s="30">
        <f t="shared" si="213"/>
        <v>11</v>
      </c>
      <c r="T1679" s="30">
        <f t="shared" si="214"/>
        <v>2023</v>
      </c>
      <c r="U1679" s="29" t="str">
        <f t="shared" si="215"/>
        <v>November</v>
      </c>
    </row>
    <row r="1680" spans="1:21" ht="17.399999999999999" x14ac:dyDescent="0.3">
      <c r="A1680" s="21" t="s">
        <v>3364</v>
      </c>
      <c r="B1680" s="21" t="s">
        <v>3365</v>
      </c>
      <c r="C1680" s="23" t="s">
        <v>3519</v>
      </c>
      <c r="D1680" s="21" t="s">
        <v>3517</v>
      </c>
      <c r="E1680" s="24">
        <v>45239</v>
      </c>
      <c r="F1680" s="24">
        <v>45255</v>
      </c>
      <c r="G1680" s="22" t="s">
        <v>31</v>
      </c>
      <c r="H1680" s="25">
        <v>40499</v>
      </c>
      <c r="I1680" s="25">
        <v>1337</v>
      </c>
      <c r="J1680" s="26">
        <v>2551.42</v>
      </c>
      <c r="K1680" s="25">
        <v>100</v>
      </c>
      <c r="L1680" s="21" t="s">
        <v>21</v>
      </c>
      <c r="M1680" s="22" t="s">
        <v>31</v>
      </c>
      <c r="N1680" s="27">
        <f t="shared" si="208"/>
        <v>16</v>
      </c>
      <c r="O1680" s="28">
        <f t="shared" si="209"/>
        <v>3.301316081878565E-2</v>
      </c>
      <c r="P1680" s="28">
        <f t="shared" si="210"/>
        <v>7.4794315632011971E-2</v>
      </c>
      <c r="Q1680" s="26">
        <f t="shared" si="211"/>
        <v>1.9083171278982798</v>
      </c>
      <c r="R1680" s="29">
        <f t="shared" si="212"/>
        <v>25.514200000000002</v>
      </c>
      <c r="S1680" s="30">
        <f t="shared" si="213"/>
        <v>11</v>
      </c>
      <c r="T1680" s="30">
        <f t="shared" si="214"/>
        <v>2023</v>
      </c>
      <c r="U1680" s="29" t="str">
        <f t="shared" si="215"/>
        <v>November</v>
      </c>
    </row>
    <row r="1681" spans="1:21" ht="17.399999999999999" x14ac:dyDescent="0.3">
      <c r="A1681" s="21" t="s">
        <v>1224</v>
      </c>
      <c r="B1681" s="21" t="s">
        <v>1225</v>
      </c>
      <c r="C1681" s="23" t="s">
        <v>3515</v>
      </c>
      <c r="D1681" s="21" t="s">
        <v>3521</v>
      </c>
      <c r="E1681" s="24">
        <v>45239</v>
      </c>
      <c r="F1681" s="24">
        <v>45254</v>
      </c>
      <c r="G1681" s="22" t="s">
        <v>31</v>
      </c>
      <c r="H1681" s="25">
        <v>90339</v>
      </c>
      <c r="I1681" s="25">
        <v>3986</v>
      </c>
      <c r="J1681" s="26">
        <v>6939.76</v>
      </c>
      <c r="K1681" s="25">
        <v>218</v>
      </c>
      <c r="L1681" s="21" t="s">
        <v>21</v>
      </c>
      <c r="M1681" s="22" t="s">
        <v>31</v>
      </c>
      <c r="N1681" s="27">
        <f t="shared" si="208"/>
        <v>15</v>
      </c>
      <c r="O1681" s="28">
        <f t="shared" si="209"/>
        <v>4.4122693410376473E-2</v>
      </c>
      <c r="P1681" s="28">
        <f t="shared" si="210"/>
        <v>5.4691419969894628E-2</v>
      </c>
      <c r="Q1681" s="26">
        <f t="shared" si="211"/>
        <v>1.7410336176618164</v>
      </c>
      <c r="R1681" s="29">
        <f t="shared" si="212"/>
        <v>31.833761467889911</v>
      </c>
      <c r="S1681" s="30">
        <f t="shared" si="213"/>
        <v>11</v>
      </c>
      <c r="T1681" s="30">
        <f t="shared" si="214"/>
        <v>2023</v>
      </c>
      <c r="U1681" s="29" t="str">
        <f t="shared" si="215"/>
        <v>November</v>
      </c>
    </row>
    <row r="1682" spans="1:21" ht="17.399999999999999" x14ac:dyDescent="0.3">
      <c r="A1682" s="21" t="s">
        <v>2022</v>
      </c>
      <c r="B1682" s="21" t="s">
        <v>2023</v>
      </c>
      <c r="C1682" s="23" t="s">
        <v>3519</v>
      </c>
      <c r="D1682" s="21" t="s">
        <v>3517</v>
      </c>
      <c r="E1682" s="24">
        <v>45240</v>
      </c>
      <c r="F1682" s="24">
        <v>45261</v>
      </c>
      <c r="G1682" s="22" t="s">
        <v>3535</v>
      </c>
      <c r="H1682" s="25">
        <v>1922</v>
      </c>
      <c r="I1682" s="25">
        <v>29</v>
      </c>
      <c r="J1682" s="26">
        <v>20.05</v>
      </c>
      <c r="K1682" s="25">
        <v>2</v>
      </c>
      <c r="L1682" s="21" t="s">
        <v>21</v>
      </c>
      <c r="M1682" s="22" t="s">
        <v>3535</v>
      </c>
      <c r="N1682" s="27">
        <f t="shared" si="208"/>
        <v>21</v>
      </c>
      <c r="O1682" s="28">
        <f t="shared" si="209"/>
        <v>1.5088449531737774E-2</v>
      </c>
      <c r="P1682" s="28">
        <f t="shared" si="210"/>
        <v>6.8965517241379309E-2</v>
      </c>
      <c r="Q1682" s="26">
        <f t="shared" si="211"/>
        <v>0.69137931034482758</v>
      </c>
      <c r="R1682" s="29">
        <f t="shared" si="212"/>
        <v>10.025</v>
      </c>
      <c r="S1682" s="30">
        <f t="shared" si="213"/>
        <v>11</v>
      </c>
      <c r="T1682" s="30">
        <f t="shared" si="214"/>
        <v>2023</v>
      </c>
      <c r="U1682" s="29" t="str">
        <f t="shared" si="215"/>
        <v>November</v>
      </c>
    </row>
    <row r="1683" spans="1:21" ht="17.399999999999999" x14ac:dyDescent="0.3">
      <c r="A1683" s="21" t="s">
        <v>3349</v>
      </c>
      <c r="B1683" s="21" t="s">
        <v>3350</v>
      </c>
      <c r="C1683" s="23" t="s">
        <v>3518</v>
      </c>
      <c r="D1683" s="21" t="s">
        <v>3517</v>
      </c>
      <c r="E1683" s="24">
        <v>45240</v>
      </c>
      <c r="F1683" s="24">
        <v>45266</v>
      </c>
      <c r="G1683" s="22" t="s">
        <v>14</v>
      </c>
      <c r="H1683" s="25">
        <v>53648</v>
      </c>
      <c r="I1683" s="25">
        <v>2154</v>
      </c>
      <c r="J1683" s="26">
        <v>2080.92</v>
      </c>
      <c r="K1683" s="25">
        <v>359</v>
      </c>
      <c r="L1683" s="21" t="s">
        <v>17</v>
      </c>
      <c r="M1683" s="22" t="s">
        <v>3537</v>
      </c>
      <c r="N1683" s="27">
        <f t="shared" si="208"/>
        <v>26</v>
      </c>
      <c r="O1683" s="28">
        <f t="shared" si="209"/>
        <v>4.015061139278258E-2</v>
      </c>
      <c r="P1683" s="28">
        <f t="shared" si="210"/>
        <v>0.16666666666666666</v>
      </c>
      <c r="Q1683" s="26">
        <f t="shared" si="211"/>
        <v>0.96607242339832877</v>
      </c>
      <c r="R1683" s="29">
        <f t="shared" si="212"/>
        <v>5.7964345403899724</v>
      </c>
      <c r="S1683" s="30">
        <f t="shared" si="213"/>
        <v>11</v>
      </c>
      <c r="T1683" s="30">
        <f t="shared" si="214"/>
        <v>2023</v>
      </c>
      <c r="U1683" s="29" t="str">
        <f t="shared" si="215"/>
        <v>November</v>
      </c>
    </row>
    <row r="1684" spans="1:21" ht="17.399999999999999" x14ac:dyDescent="0.3">
      <c r="A1684" s="21" t="s">
        <v>1831</v>
      </c>
      <c r="B1684" s="21" t="s">
        <v>1832</v>
      </c>
      <c r="C1684" s="23" t="s">
        <v>3516</v>
      </c>
      <c r="D1684" s="21" t="s">
        <v>3521</v>
      </c>
      <c r="E1684" s="24">
        <v>45240</v>
      </c>
      <c r="F1684" s="24">
        <v>45256</v>
      </c>
      <c r="G1684" s="22" t="s">
        <v>11</v>
      </c>
      <c r="H1684" s="25">
        <v>80239</v>
      </c>
      <c r="I1684" s="25">
        <v>3983</v>
      </c>
      <c r="J1684" s="26">
        <v>2117.09</v>
      </c>
      <c r="K1684" s="25">
        <v>385</v>
      </c>
      <c r="L1684" s="21" t="s">
        <v>17</v>
      </c>
      <c r="M1684" s="22" t="s">
        <v>11</v>
      </c>
      <c r="N1684" s="27">
        <f t="shared" si="208"/>
        <v>16</v>
      </c>
      <c r="O1684" s="28">
        <f t="shared" si="209"/>
        <v>4.9639202881391842E-2</v>
      </c>
      <c r="P1684" s="28">
        <f t="shared" si="210"/>
        <v>9.6660808435852369E-2</v>
      </c>
      <c r="Q1684" s="26">
        <f t="shared" si="211"/>
        <v>0.53153150891287981</v>
      </c>
      <c r="R1684" s="29">
        <f t="shared" si="212"/>
        <v>5.4989350649350657</v>
      </c>
      <c r="S1684" s="30">
        <f t="shared" si="213"/>
        <v>11</v>
      </c>
      <c r="T1684" s="30">
        <f t="shared" si="214"/>
        <v>2023</v>
      </c>
      <c r="U1684" s="29" t="str">
        <f t="shared" si="215"/>
        <v>November</v>
      </c>
    </row>
    <row r="1685" spans="1:21" ht="17.399999999999999" x14ac:dyDescent="0.3">
      <c r="A1685" s="21" t="s">
        <v>2954</v>
      </c>
      <c r="B1685" s="21" t="s">
        <v>2955</v>
      </c>
      <c r="C1685" s="23" t="s">
        <v>3516</v>
      </c>
      <c r="D1685" s="21" t="s">
        <v>3517</v>
      </c>
      <c r="E1685" s="24">
        <v>45240</v>
      </c>
      <c r="F1685" s="24">
        <v>45242</v>
      </c>
      <c r="G1685" s="22" t="s">
        <v>14</v>
      </c>
      <c r="H1685" s="25">
        <v>18674</v>
      </c>
      <c r="I1685" s="25">
        <v>920</v>
      </c>
      <c r="J1685" s="26">
        <v>576.28</v>
      </c>
      <c r="K1685" s="25">
        <v>93</v>
      </c>
      <c r="L1685" s="21" t="s">
        <v>17</v>
      </c>
      <c r="M1685" s="22" t="s">
        <v>3537</v>
      </c>
      <c r="N1685" s="27">
        <f t="shared" si="208"/>
        <v>2</v>
      </c>
      <c r="O1685" s="28">
        <f t="shared" si="209"/>
        <v>4.9266359644425405E-2</v>
      </c>
      <c r="P1685" s="28">
        <f t="shared" si="210"/>
        <v>0.10108695652173913</v>
      </c>
      <c r="Q1685" s="26">
        <f t="shared" si="211"/>
        <v>0.62639130434782608</v>
      </c>
      <c r="R1685" s="29">
        <f t="shared" si="212"/>
        <v>6.196559139784946</v>
      </c>
      <c r="S1685" s="30">
        <f t="shared" si="213"/>
        <v>11</v>
      </c>
      <c r="T1685" s="30">
        <f t="shared" si="214"/>
        <v>2023</v>
      </c>
      <c r="U1685" s="29" t="str">
        <f t="shared" si="215"/>
        <v>November</v>
      </c>
    </row>
    <row r="1686" spans="1:21" ht="17.399999999999999" x14ac:dyDescent="0.3">
      <c r="A1686" s="21" t="s">
        <v>3241</v>
      </c>
      <c r="B1686" s="22" t="s">
        <v>3990</v>
      </c>
      <c r="C1686" s="23" t="s">
        <v>3516</v>
      </c>
      <c r="D1686" s="22" t="s">
        <v>3545</v>
      </c>
      <c r="E1686" s="24">
        <v>45240</v>
      </c>
      <c r="F1686" s="24">
        <v>45265</v>
      </c>
      <c r="G1686" s="22" t="s">
        <v>24</v>
      </c>
      <c r="H1686" s="25">
        <v>33196</v>
      </c>
      <c r="I1686" s="25">
        <v>1583</v>
      </c>
      <c r="J1686" s="26">
        <v>1508.15</v>
      </c>
      <c r="K1686" s="25">
        <v>0</v>
      </c>
      <c r="L1686" s="21" t="s">
        <v>17</v>
      </c>
      <c r="M1686" s="22" t="s">
        <v>3536</v>
      </c>
      <c r="N1686" s="27">
        <f t="shared" si="208"/>
        <v>25</v>
      </c>
      <c r="O1686" s="28">
        <f t="shared" si="209"/>
        <v>4.7686468249186646E-2</v>
      </c>
      <c r="P1686" s="28">
        <f t="shared" si="210"/>
        <v>0</v>
      </c>
      <c r="Q1686" s="26">
        <f t="shared" si="211"/>
        <v>0.95271636133922932</v>
      </c>
      <c r="R1686" s="29" t="str">
        <f t="shared" si="212"/>
        <v>0</v>
      </c>
      <c r="S1686" s="30">
        <f t="shared" si="213"/>
        <v>11</v>
      </c>
      <c r="T1686" s="30">
        <f t="shared" si="214"/>
        <v>2023</v>
      </c>
      <c r="U1686" s="29" t="str">
        <f t="shared" si="215"/>
        <v>November</v>
      </c>
    </row>
    <row r="1687" spans="1:21" ht="17.399999999999999" x14ac:dyDescent="0.3">
      <c r="A1687" s="21" t="s">
        <v>3277</v>
      </c>
      <c r="B1687" s="22" t="s">
        <v>3991</v>
      </c>
      <c r="C1687" s="23" t="s">
        <v>3516</v>
      </c>
      <c r="D1687" s="22" t="s">
        <v>3545</v>
      </c>
      <c r="E1687" s="24">
        <v>45240</v>
      </c>
      <c r="F1687" s="24">
        <v>45264</v>
      </c>
      <c r="G1687" s="22" t="s">
        <v>11</v>
      </c>
      <c r="H1687" s="25">
        <v>83970</v>
      </c>
      <c r="I1687" s="25">
        <v>3874</v>
      </c>
      <c r="J1687" s="26">
        <v>3344.76</v>
      </c>
      <c r="K1687" s="25">
        <v>347</v>
      </c>
      <c r="L1687" s="21" t="s">
        <v>17</v>
      </c>
      <c r="M1687" s="22" t="s">
        <v>11</v>
      </c>
      <c r="N1687" s="27">
        <f t="shared" si="208"/>
        <v>24</v>
      </c>
      <c r="O1687" s="28">
        <f t="shared" si="209"/>
        <v>4.6135524592116235E-2</v>
      </c>
      <c r="P1687" s="28">
        <f t="shared" si="210"/>
        <v>8.9571502323180174E-2</v>
      </c>
      <c r="Q1687" s="26">
        <f t="shared" si="211"/>
        <v>0.8633866804336604</v>
      </c>
      <c r="R1687" s="29">
        <f t="shared" si="212"/>
        <v>9.6390778097982714</v>
      </c>
      <c r="S1687" s="30">
        <f t="shared" si="213"/>
        <v>11</v>
      </c>
      <c r="T1687" s="30">
        <f t="shared" si="214"/>
        <v>2023</v>
      </c>
      <c r="U1687" s="29" t="str">
        <f t="shared" si="215"/>
        <v>November</v>
      </c>
    </row>
    <row r="1688" spans="1:21" ht="17.399999999999999" x14ac:dyDescent="0.3">
      <c r="A1688" s="21" t="s">
        <v>3242</v>
      </c>
      <c r="B1688" s="21" t="s">
        <v>3243</v>
      </c>
      <c r="C1688" s="23" t="s">
        <v>3515</v>
      </c>
      <c r="D1688" s="21" t="s">
        <v>3520</v>
      </c>
      <c r="E1688" s="24">
        <v>45240</v>
      </c>
      <c r="F1688" s="24">
        <v>45256</v>
      </c>
      <c r="G1688" s="22" t="s">
        <v>11</v>
      </c>
      <c r="H1688" s="25">
        <v>6626</v>
      </c>
      <c r="I1688" s="25">
        <v>264</v>
      </c>
      <c r="J1688" s="26">
        <v>146.81</v>
      </c>
      <c r="K1688" s="25">
        <v>39</v>
      </c>
      <c r="L1688" s="21" t="s">
        <v>21</v>
      </c>
      <c r="M1688" s="22" t="s">
        <v>11</v>
      </c>
      <c r="N1688" s="27">
        <f t="shared" si="208"/>
        <v>16</v>
      </c>
      <c r="O1688" s="28">
        <f t="shared" si="209"/>
        <v>3.9843042559613642E-2</v>
      </c>
      <c r="P1688" s="28">
        <f t="shared" si="210"/>
        <v>0.14772727272727273</v>
      </c>
      <c r="Q1688" s="26">
        <f t="shared" si="211"/>
        <v>0.5560984848484849</v>
      </c>
      <c r="R1688" s="29">
        <f t="shared" si="212"/>
        <v>3.7643589743589745</v>
      </c>
      <c r="S1688" s="30">
        <f t="shared" si="213"/>
        <v>11</v>
      </c>
      <c r="T1688" s="30">
        <f t="shared" si="214"/>
        <v>2023</v>
      </c>
      <c r="U1688" s="29" t="str">
        <f t="shared" si="215"/>
        <v>November</v>
      </c>
    </row>
    <row r="1689" spans="1:21" ht="17.399999999999999" x14ac:dyDescent="0.3">
      <c r="A1689" s="21" t="s">
        <v>1632</v>
      </c>
      <c r="B1689" s="21" t="s">
        <v>1633</v>
      </c>
      <c r="C1689" s="23" t="s">
        <v>3519</v>
      </c>
      <c r="D1689" s="21" t="s">
        <v>3520</v>
      </c>
      <c r="E1689" s="24">
        <v>45241</v>
      </c>
      <c r="F1689" s="24">
        <v>45250</v>
      </c>
      <c r="G1689" s="22" t="s">
        <v>24</v>
      </c>
      <c r="H1689" s="25">
        <v>19777</v>
      </c>
      <c r="I1689" s="25">
        <v>651</v>
      </c>
      <c r="J1689" s="26">
        <v>686.83</v>
      </c>
      <c r="K1689" s="25">
        <v>73</v>
      </c>
      <c r="L1689" s="21" t="s">
        <v>21</v>
      </c>
      <c r="M1689" s="22" t="s">
        <v>3536</v>
      </c>
      <c r="N1689" s="27">
        <f t="shared" si="208"/>
        <v>9</v>
      </c>
      <c r="O1689" s="28">
        <f t="shared" si="209"/>
        <v>3.2917024826819033E-2</v>
      </c>
      <c r="P1689" s="28">
        <f t="shared" si="210"/>
        <v>0.11213517665130568</v>
      </c>
      <c r="Q1689" s="26">
        <f t="shared" si="211"/>
        <v>1.0550384024577573</v>
      </c>
      <c r="R1689" s="29">
        <f t="shared" si="212"/>
        <v>9.4086301369863019</v>
      </c>
      <c r="S1689" s="30">
        <f t="shared" si="213"/>
        <v>11</v>
      </c>
      <c r="T1689" s="30">
        <f t="shared" si="214"/>
        <v>2023</v>
      </c>
      <c r="U1689" s="29" t="str">
        <f t="shared" si="215"/>
        <v>November</v>
      </c>
    </row>
    <row r="1690" spans="1:21" ht="17.399999999999999" x14ac:dyDescent="0.3">
      <c r="A1690" s="21" t="s">
        <v>1991</v>
      </c>
      <c r="B1690" s="21" t="s">
        <v>1992</v>
      </c>
      <c r="C1690" s="23" t="s">
        <v>3519</v>
      </c>
      <c r="D1690" s="21" t="s">
        <v>3520</v>
      </c>
      <c r="E1690" s="24">
        <v>45241</v>
      </c>
      <c r="F1690" s="24">
        <v>45271</v>
      </c>
      <c r="G1690" s="22" t="s">
        <v>11</v>
      </c>
      <c r="H1690" s="25">
        <v>12302</v>
      </c>
      <c r="I1690" s="25">
        <v>204</v>
      </c>
      <c r="J1690" s="26">
        <v>122.8</v>
      </c>
      <c r="K1690" s="25">
        <v>25</v>
      </c>
      <c r="L1690" s="21" t="s">
        <v>21</v>
      </c>
      <c r="M1690" s="22" t="s">
        <v>11</v>
      </c>
      <c r="N1690" s="27">
        <f t="shared" si="208"/>
        <v>30</v>
      </c>
      <c r="O1690" s="28">
        <f t="shared" si="209"/>
        <v>1.6582669484636645E-2</v>
      </c>
      <c r="P1690" s="28">
        <f t="shared" si="210"/>
        <v>0.12254901960784313</v>
      </c>
      <c r="Q1690" s="26">
        <f t="shared" si="211"/>
        <v>0.60196078431372546</v>
      </c>
      <c r="R1690" s="29">
        <f t="shared" si="212"/>
        <v>4.9119999999999999</v>
      </c>
      <c r="S1690" s="30">
        <f t="shared" si="213"/>
        <v>11</v>
      </c>
      <c r="T1690" s="30">
        <f t="shared" si="214"/>
        <v>2023</v>
      </c>
      <c r="U1690" s="29" t="str">
        <f t="shared" si="215"/>
        <v>November</v>
      </c>
    </row>
    <row r="1691" spans="1:21" ht="17.399999999999999" x14ac:dyDescent="0.3">
      <c r="A1691" s="21" t="s">
        <v>2634</v>
      </c>
      <c r="B1691" s="21" t="s">
        <v>2635</v>
      </c>
      <c r="C1691" s="23" t="s">
        <v>3519</v>
      </c>
      <c r="D1691" s="21" t="s">
        <v>3517</v>
      </c>
      <c r="E1691" s="24">
        <v>45241</v>
      </c>
      <c r="F1691" s="24">
        <v>45248</v>
      </c>
      <c r="G1691" s="22" t="s">
        <v>16</v>
      </c>
      <c r="H1691" s="25">
        <v>50481</v>
      </c>
      <c r="I1691" s="25">
        <v>1266</v>
      </c>
      <c r="J1691" s="26">
        <v>1783.65</v>
      </c>
      <c r="K1691" s="25">
        <v>217</v>
      </c>
      <c r="L1691" s="21" t="s">
        <v>21</v>
      </c>
      <c r="M1691" s="22" t="s">
        <v>16</v>
      </c>
      <c r="N1691" s="27">
        <f t="shared" si="208"/>
        <v>7</v>
      </c>
      <c r="O1691" s="28">
        <f t="shared" si="209"/>
        <v>2.5078742497177155E-2</v>
      </c>
      <c r="P1691" s="28">
        <f t="shared" si="210"/>
        <v>0.17140600315955767</v>
      </c>
      <c r="Q1691" s="26">
        <f t="shared" si="211"/>
        <v>1.4088862559241706</v>
      </c>
      <c r="R1691" s="29">
        <f t="shared" si="212"/>
        <v>8.2195852534562217</v>
      </c>
      <c r="S1691" s="30">
        <f t="shared" si="213"/>
        <v>11</v>
      </c>
      <c r="T1691" s="30">
        <f t="shared" si="214"/>
        <v>2023</v>
      </c>
      <c r="U1691" s="29" t="str">
        <f t="shared" si="215"/>
        <v>November</v>
      </c>
    </row>
    <row r="1692" spans="1:21" ht="17.399999999999999" x14ac:dyDescent="0.3">
      <c r="A1692" s="21" t="s">
        <v>2821</v>
      </c>
      <c r="B1692" s="22" t="s">
        <v>3992</v>
      </c>
      <c r="C1692" s="23" t="s">
        <v>3519</v>
      </c>
      <c r="D1692" s="22" t="s">
        <v>3545</v>
      </c>
      <c r="E1692" s="24">
        <v>45241</v>
      </c>
      <c r="F1692" s="24">
        <v>45251</v>
      </c>
      <c r="G1692" s="22" t="s">
        <v>31</v>
      </c>
      <c r="H1692" s="25">
        <v>11816</v>
      </c>
      <c r="I1692" s="25">
        <v>374</v>
      </c>
      <c r="J1692" s="26">
        <v>460.42</v>
      </c>
      <c r="K1692" s="25">
        <v>67</v>
      </c>
      <c r="L1692" s="21" t="s">
        <v>17</v>
      </c>
      <c r="M1692" s="22" t="s">
        <v>31</v>
      </c>
      <c r="N1692" s="27">
        <f t="shared" si="208"/>
        <v>10</v>
      </c>
      <c r="O1692" s="28">
        <f t="shared" si="209"/>
        <v>3.1651997291807718E-2</v>
      </c>
      <c r="P1692" s="28">
        <f t="shared" si="210"/>
        <v>0.17914438502673796</v>
      </c>
      <c r="Q1692" s="26">
        <f t="shared" si="211"/>
        <v>1.2310695187165777</v>
      </c>
      <c r="R1692" s="29">
        <f t="shared" si="212"/>
        <v>6.8719402985074627</v>
      </c>
      <c r="S1692" s="30">
        <f t="shared" si="213"/>
        <v>11</v>
      </c>
      <c r="T1692" s="30">
        <f t="shared" si="214"/>
        <v>2023</v>
      </c>
      <c r="U1692" s="29" t="str">
        <f t="shared" si="215"/>
        <v>November</v>
      </c>
    </row>
    <row r="1693" spans="1:21" ht="17.399999999999999" x14ac:dyDescent="0.3">
      <c r="A1693" s="21" t="s">
        <v>723</v>
      </c>
      <c r="B1693" s="22" t="s">
        <v>3993</v>
      </c>
      <c r="C1693" s="23" t="s">
        <v>3518</v>
      </c>
      <c r="D1693" s="22" t="s">
        <v>3545</v>
      </c>
      <c r="E1693" s="24">
        <v>45241</v>
      </c>
      <c r="F1693" s="24">
        <v>45247</v>
      </c>
      <c r="G1693" s="22" t="s">
        <v>11</v>
      </c>
      <c r="H1693" s="25">
        <v>11647</v>
      </c>
      <c r="I1693" s="25">
        <v>224</v>
      </c>
      <c r="J1693" s="26">
        <v>350.6</v>
      </c>
      <c r="K1693" s="25">
        <v>14</v>
      </c>
      <c r="L1693" s="21" t="s">
        <v>21</v>
      </c>
      <c r="M1693" s="22" t="s">
        <v>11</v>
      </c>
      <c r="N1693" s="27">
        <f t="shared" si="208"/>
        <v>6</v>
      </c>
      <c r="O1693" s="28">
        <f t="shared" si="209"/>
        <v>1.9232420365759423E-2</v>
      </c>
      <c r="P1693" s="28">
        <f t="shared" si="210"/>
        <v>6.25E-2</v>
      </c>
      <c r="Q1693" s="26">
        <f t="shared" si="211"/>
        <v>1.5651785714285715</v>
      </c>
      <c r="R1693" s="29">
        <f t="shared" si="212"/>
        <v>25.042857142857144</v>
      </c>
      <c r="S1693" s="30">
        <f t="shared" si="213"/>
        <v>11</v>
      </c>
      <c r="T1693" s="30">
        <f t="shared" si="214"/>
        <v>2023</v>
      </c>
      <c r="U1693" s="29" t="str">
        <f t="shared" si="215"/>
        <v>November</v>
      </c>
    </row>
    <row r="1694" spans="1:21" ht="17.399999999999999" x14ac:dyDescent="0.3">
      <c r="A1694" s="21" t="s">
        <v>776</v>
      </c>
      <c r="B1694" s="21" t="s">
        <v>777</v>
      </c>
      <c r="C1694" s="23" t="s">
        <v>3518</v>
      </c>
      <c r="D1694" s="21" t="s">
        <v>3520</v>
      </c>
      <c r="E1694" s="24">
        <v>45241</v>
      </c>
      <c r="F1694" s="24">
        <v>45245</v>
      </c>
      <c r="G1694" s="22" t="s">
        <v>16</v>
      </c>
      <c r="H1694" s="25">
        <v>16338</v>
      </c>
      <c r="I1694" s="25">
        <v>337</v>
      </c>
      <c r="J1694" s="26">
        <v>604.82000000000005</v>
      </c>
      <c r="K1694" s="25">
        <v>20</v>
      </c>
      <c r="L1694" s="21" t="s">
        <v>21</v>
      </c>
      <c r="M1694" s="22" t="s">
        <v>16</v>
      </c>
      <c r="N1694" s="27">
        <f t="shared" si="208"/>
        <v>4</v>
      </c>
      <c r="O1694" s="28">
        <f t="shared" si="209"/>
        <v>2.0626759701309831E-2</v>
      </c>
      <c r="P1694" s="28">
        <f t="shared" si="210"/>
        <v>5.9347181008902079E-2</v>
      </c>
      <c r="Q1694" s="26">
        <f t="shared" si="211"/>
        <v>1.7947181008902078</v>
      </c>
      <c r="R1694" s="29">
        <f t="shared" si="212"/>
        <v>30.241000000000003</v>
      </c>
      <c r="S1694" s="30">
        <f t="shared" si="213"/>
        <v>11</v>
      </c>
      <c r="T1694" s="30">
        <f t="shared" si="214"/>
        <v>2023</v>
      </c>
      <c r="U1694" s="29" t="str">
        <f t="shared" si="215"/>
        <v>November</v>
      </c>
    </row>
    <row r="1695" spans="1:21" ht="17.399999999999999" x14ac:dyDescent="0.3">
      <c r="A1695" s="21" t="s">
        <v>1309</v>
      </c>
      <c r="B1695" s="21" t="s">
        <v>1310</v>
      </c>
      <c r="C1695" s="23" t="s">
        <v>3518</v>
      </c>
      <c r="D1695" s="21" t="s">
        <v>3517</v>
      </c>
      <c r="E1695" s="24">
        <v>45241</v>
      </c>
      <c r="F1695" s="24">
        <v>45247</v>
      </c>
      <c r="G1695" s="22" t="s">
        <v>11</v>
      </c>
      <c r="H1695" s="25">
        <v>53528</v>
      </c>
      <c r="I1695" s="25">
        <v>2380</v>
      </c>
      <c r="J1695" s="26">
        <v>2095.3000000000002</v>
      </c>
      <c r="K1695" s="25">
        <v>406</v>
      </c>
      <c r="L1695" s="21" t="s">
        <v>21</v>
      </c>
      <c r="M1695" s="22" t="s">
        <v>11</v>
      </c>
      <c r="N1695" s="27">
        <f t="shared" si="208"/>
        <v>6</v>
      </c>
      <c r="O1695" s="28">
        <f t="shared" si="209"/>
        <v>4.4462711104468693E-2</v>
      </c>
      <c r="P1695" s="28">
        <f t="shared" si="210"/>
        <v>0.17058823529411765</v>
      </c>
      <c r="Q1695" s="26">
        <f t="shared" si="211"/>
        <v>0.88037815126050423</v>
      </c>
      <c r="R1695" s="29">
        <f t="shared" si="212"/>
        <v>5.1608374384236457</v>
      </c>
      <c r="S1695" s="30">
        <f t="shared" si="213"/>
        <v>11</v>
      </c>
      <c r="T1695" s="30">
        <f t="shared" si="214"/>
        <v>2023</v>
      </c>
      <c r="U1695" s="29" t="str">
        <f t="shared" si="215"/>
        <v>November</v>
      </c>
    </row>
    <row r="1696" spans="1:21" ht="17.399999999999999" x14ac:dyDescent="0.3">
      <c r="A1696" s="21" t="s">
        <v>2763</v>
      </c>
      <c r="B1696" s="21" t="s">
        <v>2764</v>
      </c>
      <c r="C1696" s="23" t="s">
        <v>3518</v>
      </c>
      <c r="D1696" s="21" t="s">
        <v>3520</v>
      </c>
      <c r="E1696" s="24">
        <v>45241</v>
      </c>
      <c r="F1696" s="24">
        <v>45271</v>
      </c>
      <c r="G1696" s="22" t="s">
        <v>16</v>
      </c>
      <c r="H1696" s="25">
        <v>75859</v>
      </c>
      <c r="I1696" s="25">
        <v>3583</v>
      </c>
      <c r="J1696" s="26">
        <v>3036.23</v>
      </c>
      <c r="K1696" s="25">
        <v>0</v>
      </c>
      <c r="L1696" s="21" t="s">
        <v>21</v>
      </c>
      <c r="M1696" s="22" t="s">
        <v>16</v>
      </c>
      <c r="N1696" s="27">
        <f t="shared" si="208"/>
        <v>30</v>
      </c>
      <c r="O1696" s="28">
        <f t="shared" si="209"/>
        <v>4.7232365309323877E-2</v>
      </c>
      <c r="P1696" s="28">
        <f t="shared" si="210"/>
        <v>0</v>
      </c>
      <c r="Q1696" s="26">
        <f t="shared" si="211"/>
        <v>0.84739882779793474</v>
      </c>
      <c r="R1696" s="29" t="str">
        <f t="shared" si="212"/>
        <v>0</v>
      </c>
      <c r="S1696" s="30">
        <f t="shared" si="213"/>
        <v>11</v>
      </c>
      <c r="T1696" s="30">
        <f t="shared" si="214"/>
        <v>2023</v>
      </c>
      <c r="U1696" s="29" t="str">
        <f t="shared" si="215"/>
        <v>November</v>
      </c>
    </row>
    <row r="1697" spans="1:21" ht="17.399999999999999" x14ac:dyDescent="0.3">
      <c r="A1697" s="21" t="s">
        <v>870</v>
      </c>
      <c r="B1697" s="21" t="s">
        <v>871</v>
      </c>
      <c r="C1697" s="23" t="s">
        <v>3515</v>
      </c>
      <c r="D1697" s="21" t="s">
        <v>3521</v>
      </c>
      <c r="E1697" s="24">
        <v>45241</v>
      </c>
      <c r="F1697" s="24">
        <v>45247</v>
      </c>
      <c r="G1697" s="22" t="s">
        <v>24</v>
      </c>
      <c r="H1697" s="25">
        <v>10662</v>
      </c>
      <c r="I1697" s="25">
        <v>282</v>
      </c>
      <c r="J1697" s="26">
        <v>189.94</v>
      </c>
      <c r="K1697" s="25">
        <v>35</v>
      </c>
      <c r="L1697" s="21" t="s">
        <v>21</v>
      </c>
      <c r="M1697" s="22" t="s">
        <v>3536</v>
      </c>
      <c r="N1697" s="27">
        <f t="shared" si="208"/>
        <v>6</v>
      </c>
      <c r="O1697" s="28">
        <f t="shared" si="209"/>
        <v>2.6449071468767585E-2</v>
      </c>
      <c r="P1697" s="28">
        <f t="shared" si="210"/>
        <v>0.12411347517730496</v>
      </c>
      <c r="Q1697" s="26">
        <f t="shared" si="211"/>
        <v>0.67354609929078013</v>
      </c>
      <c r="R1697" s="29">
        <f t="shared" si="212"/>
        <v>5.426857142857143</v>
      </c>
      <c r="S1697" s="30">
        <f t="shared" si="213"/>
        <v>11</v>
      </c>
      <c r="T1697" s="30">
        <f t="shared" si="214"/>
        <v>2023</v>
      </c>
      <c r="U1697" s="29" t="str">
        <f t="shared" si="215"/>
        <v>November</v>
      </c>
    </row>
    <row r="1698" spans="1:21" ht="17.399999999999999" x14ac:dyDescent="0.3">
      <c r="A1698" s="21" t="s">
        <v>277</v>
      </c>
      <c r="B1698" s="21" t="s">
        <v>278</v>
      </c>
      <c r="C1698" s="23" t="s">
        <v>3519</v>
      </c>
      <c r="D1698" s="21" t="s">
        <v>3520</v>
      </c>
      <c r="E1698" s="24">
        <v>45242</v>
      </c>
      <c r="F1698" s="24">
        <v>45254</v>
      </c>
      <c r="G1698" s="22" t="s">
        <v>31</v>
      </c>
      <c r="H1698" s="25">
        <v>72910</v>
      </c>
      <c r="I1698" s="25">
        <v>1654</v>
      </c>
      <c r="J1698" s="26">
        <v>3192.72</v>
      </c>
      <c r="K1698" s="25">
        <v>192</v>
      </c>
      <c r="L1698" s="21" t="s">
        <v>21</v>
      </c>
      <c r="M1698" s="22" t="s">
        <v>31</v>
      </c>
      <c r="N1698" s="27">
        <f t="shared" si="208"/>
        <v>12</v>
      </c>
      <c r="O1698" s="28">
        <f t="shared" si="209"/>
        <v>2.2685502674530244E-2</v>
      </c>
      <c r="P1698" s="28">
        <f t="shared" si="210"/>
        <v>0.11608222490931076</v>
      </c>
      <c r="Q1698" s="26">
        <f t="shared" si="211"/>
        <v>1.9303022974607011</v>
      </c>
      <c r="R1698" s="29">
        <f t="shared" si="212"/>
        <v>16.62875</v>
      </c>
      <c r="S1698" s="30">
        <f t="shared" si="213"/>
        <v>11</v>
      </c>
      <c r="T1698" s="30">
        <f t="shared" si="214"/>
        <v>2023</v>
      </c>
      <c r="U1698" s="29" t="str">
        <f t="shared" si="215"/>
        <v>November</v>
      </c>
    </row>
    <row r="1699" spans="1:21" ht="17.399999999999999" x14ac:dyDescent="0.3">
      <c r="A1699" s="21" t="s">
        <v>1248</v>
      </c>
      <c r="B1699" s="21" t="s">
        <v>1249</v>
      </c>
      <c r="C1699" s="23" t="s">
        <v>3518</v>
      </c>
      <c r="D1699" s="21" t="s">
        <v>3521</v>
      </c>
      <c r="E1699" s="24">
        <v>45242</v>
      </c>
      <c r="F1699" s="24">
        <v>45247</v>
      </c>
      <c r="G1699" s="22" t="s">
        <v>24</v>
      </c>
      <c r="H1699" s="25">
        <v>87769</v>
      </c>
      <c r="I1699" s="25">
        <v>2258</v>
      </c>
      <c r="J1699" s="26">
        <v>3806.49</v>
      </c>
      <c r="K1699" s="25">
        <v>439</v>
      </c>
      <c r="L1699" s="21" t="s">
        <v>21</v>
      </c>
      <c r="M1699" s="22" t="s">
        <v>3536</v>
      </c>
      <c r="N1699" s="27">
        <f t="shared" si="208"/>
        <v>5</v>
      </c>
      <c r="O1699" s="28">
        <f t="shared" si="209"/>
        <v>2.5726623295240916E-2</v>
      </c>
      <c r="P1699" s="28">
        <f t="shared" si="210"/>
        <v>0.19441984056687334</v>
      </c>
      <c r="Q1699" s="26">
        <f t="shared" si="211"/>
        <v>1.6857794508414525</v>
      </c>
      <c r="R1699" s="29">
        <f t="shared" si="212"/>
        <v>8.6708200455580862</v>
      </c>
      <c r="S1699" s="30">
        <f t="shared" si="213"/>
        <v>11</v>
      </c>
      <c r="T1699" s="30">
        <f t="shared" si="214"/>
        <v>2023</v>
      </c>
      <c r="U1699" s="29" t="str">
        <f t="shared" si="215"/>
        <v>November</v>
      </c>
    </row>
    <row r="1700" spans="1:21" ht="17.399999999999999" x14ac:dyDescent="0.3">
      <c r="A1700" s="21" t="s">
        <v>2598</v>
      </c>
      <c r="B1700" s="21" t="s">
        <v>2599</v>
      </c>
      <c r="C1700" s="23" t="s">
        <v>3518</v>
      </c>
      <c r="D1700" s="21" t="s">
        <v>3521</v>
      </c>
      <c r="E1700" s="24">
        <v>45242</v>
      </c>
      <c r="F1700" s="24">
        <v>45243</v>
      </c>
      <c r="G1700" s="22" t="s">
        <v>3535</v>
      </c>
      <c r="H1700" s="25">
        <v>1060</v>
      </c>
      <c r="I1700" s="25">
        <v>11</v>
      </c>
      <c r="J1700" s="26">
        <v>17.350000000000001</v>
      </c>
      <c r="K1700" s="25">
        <v>0</v>
      </c>
      <c r="L1700" s="21" t="s">
        <v>17</v>
      </c>
      <c r="M1700" s="22" t="s">
        <v>3535</v>
      </c>
      <c r="N1700" s="27">
        <f t="shared" si="208"/>
        <v>1</v>
      </c>
      <c r="O1700" s="28">
        <f t="shared" si="209"/>
        <v>1.0377358490566037E-2</v>
      </c>
      <c r="P1700" s="28">
        <f t="shared" si="210"/>
        <v>0</v>
      </c>
      <c r="Q1700" s="26">
        <f t="shared" si="211"/>
        <v>1.5772727272727274</v>
      </c>
      <c r="R1700" s="29" t="str">
        <f t="shared" si="212"/>
        <v>0</v>
      </c>
      <c r="S1700" s="30">
        <f t="shared" si="213"/>
        <v>11</v>
      </c>
      <c r="T1700" s="30">
        <f t="shared" si="214"/>
        <v>2023</v>
      </c>
      <c r="U1700" s="29" t="str">
        <f t="shared" si="215"/>
        <v>November</v>
      </c>
    </row>
    <row r="1701" spans="1:21" ht="17.399999999999999" x14ac:dyDescent="0.3">
      <c r="A1701" s="21" t="s">
        <v>3151</v>
      </c>
      <c r="B1701" s="21" t="s">
        <v>3152</v>
      </c>
      <c r="C1701" s="23" t="s">
        <v>3518</v>
      </c>
      <c r="D1701" s="21" t="s">
        <v>3521</v>
      </c>
      <c r="E1701" s="24">
        <v>45242</v>
      </c>
      <c r="F1701" s="24">
        <v>45245</v>
      </c>
      <c r="G1701" s="22" t="s">
        <v>14</v>
      </c>
      <c r="H1701" s="25">
        <v>21953</v>
      </c>
      <c r="I1701" s="25">
        <v>1019</v>
      </c>
      <c r="J1701" s="26">
        <v>1150.1500000000001</v>
      </c>
      <c r="K1701" s="25">
        <v>126</v>
      </c>
      <c r="L1701" s="21" t="s">
        <v>21</v>
      </c>
      <c r="M1701" s="22" t="s">
        <v>3537</v>
      </c>
      <c r="N1701" s="27">
        <f t="shared" si="208"/>
        <v>3</v>
      </c>
      <c r="O1701" s="28">
        <f t="shared" si="209"/>
        <v>4.6417346148590173E-2</v>
      </c>
      <c r="P1701" s="28">
        <f t="shared" si="210"/>
        <v>0.12365063788027478</v>
      </c>
      <c r="Q1701" s="26">
        <f t="shared" si="211"/>
        <v>1.1287046123650639</v>
      </c>
      <c r="R1701" s="29">
        <f t="shared" si="212"/>
        <v>9.1281746031746032</v>
      </c>
      <c r="S1701" s="30">
        <f t="shared" si="213"/>
        <v>11</v>
      </c>
      <c r="T1701" s="30">
        <f t="shared" si="214"/>
        <v>2023</v>
      </c>
      <c r="U1701" s="29" t="str">
        <f t="shared" si="215"/>
        <v>November</v>
      </c>
    </row>
    <row r="1702" spans="1:21" ht="17.399999999999999" x14ac:dyDescent="0.3">
      <c r="A1702" s="21" t="s">
        <v>2581</v>
      </c>
      <c r="B1702" s="21" t="s">
        <v>2582</v>
      </c>
      <c r="C1702" s="23" t="s">
        <v>3515</v>
      </c>
      <c r="D1702" s="21" t="s">
        <v>3521</v>
      </c>
      <c r="E1702" s="24">
        <v>45242</v>
      </c>
      <c r="F1702" s="24">
        <v>45271</v>
      </c>
      <c r="G1702" s="22" t="s">
        <v>11</v>
      </c>
      <c r="H1702" s="25">
        <v>67017</v>
      </c>
      <c r="I1702" s="25">
        <v>1760</v>
      </c>
      <c r="J1702" s="26">
        <v>2297.79</v>
      </c>
      <c r="K1702" s="25">
        <v>0</v>
      </c>
      <c r="L1702" s="21" t="s">
        <v>21</v>
      </c>
      <c r="M1702" s="22" t="s">
        <v>11</v>
      </c>
      <c r="N1702" s="27">
        <f t="shared" si="208"/>
        <v>29</v>
      </c>
      <c r="O1702" s="28">
        <f t="shared" si="209"/>
        <v>2.6261993225599474E-2</v>
      </c>
      <c r="P1702" s="28">
        <f t="shared" si="210"/>
        <v>0</v>
      </c>
      <c r="Q1702" s="26">
        <f t="shared" si="211"/>
        <v>1.3055625</v>
      </c>
      <c r="R1702" s="29" t="str">
        <f t="shared" si="212"/>
        <v>0</v>
      </c>
      <c r="S1702" s="30">
        <f t="shared" si="213"/>
        <v>11</v>
      </c>
      <c r="T1702" s="30">
        <f t="shared" si="214"/>
        <v>2023</v>
      </c>
      <c r="U1702" s="29" t="str">
        <f t="shared" si="215"/>
        <v>November</v>
      </c>
    </row>
    <row r="1703" spans="1:21" ht="17.399999999999999" x14ac:dyDescent="0.3">
      <c r="A1703" s="21" t="s">
        <v>3472</v>
      </c>
      <c r="B1703" s="21" t="s">
        <v>3473</v>
      </c>
      <c r="C1703" s="23" t="s">
        <v>3515</v>
      </c>
      <c r="D1703" s="21" t="s">
        <v>3517</v>
      </c>
      <c r="E1703" s="24">
        <v>45242</v>
      </c>
      <c r="F1703" s="24">
        <v>45250</v>
      </c>
      <c r="G1703" s="22" t="s">
        <v>14</v>
      </c>
      <c r="H1703" s="25">
        <v>96081</v>
      </c>
      <c r="I1703" s="25">
        <v>1134</v>
      </c>
      <c r="J1703" s="26">
        <v>1396.08</v>
      </c>
      <c r="K1703" s="25">
        <v>131</v>
      </c>
      <c r="L1703" s="21" t="s">
        <v>17</v>
      </c>
      <c r="M1703" s="22" t="s">
        <v>3537</v>
      </c>
      <c r="N1703" s="27">
        <f t="shared" si="208"/>
        <v>8</v>
      </c>
      <c r="O1703" s="28">
        <f t="shared" si="209"/>
        <v>1.1802541605520342E-2</v>
      </c>
      <c r="P1703" s="28">
        <f t="shared" si="210"/>
        <v>0.11552028218694885</v>
      </c>
      <c r="Q1703" s="26">
        <f t="shared" si="211"/>
        <v>1.231111111111111</v>
      </c>
      <c r="R1703" s="29">
        <f t="shared" si="212"/>
        <v>10.657099236641221</v>
      </c>
      <c r="S1703" s="30">
        <f t="shared" si="213"/>
        <v>11</v>
      </c>
      <c r="T1703" s="30">
        <f t="shared" si="214"/>
        <v>2023</v>
      </c>
      <c r="U1703" s="29" t="str">
        <f t="shared" si="215"/>
        <v>November</v>
      </c>
    </row>
    <row r="1704" spans="1:21" ht="17.399999999999999" x14ac:dyDescent="0.3">
      <c r="A1704" s="21" t="s">
        <v>1647</v>
      </c>
      <c r="B1704" s="21" t="s">
        <v>1648</v>
      </c>
      <c r="C1704" s="23" t="s">
        <v>3519</v>
      </c>
      <c r="D1704" s="21" t="s">
        <v>3517</v>
      </c>
      <c r="E1704" s="24">
        <v>45243</v>
      </c>
      <c r="F1704" s="24">
        <v>45253</v>
      </c>
      <c r="G1704" s="22" t="s">
        <v>11</v>
      </c>
      <c r="H1704" s="25">
        <v>6240</v>
      </c>
      <c r="I1704" s="25">
        <v>78</v>
      </c>
      <c r="J1704" s="26">
        <v>58.43</v>
      </c>
      <c r="K1704" s="25">
        <v>0</v>
      </c>
      <c r="L1704" s="21" t="s">
        <v>21</v>
      </c>
      <c r="M1704" s="22" t="s">
        <v>11</v>
      </c>
      <c r="N1704" s="27">
        <f t="shared" si="208"/>
        <v>10</v>
      </c>
      <c r="O1704" s="28">
        <f t="shared" si="209"/>
        <v>1.2500000000000001E-2</v>
      </c>
      <c r="P1704" s="28">
        <f t="shared" si="210"/>
        <v>0</v>
      </c>
      <c r="Q1704" s="26">
        <f t="shared" si="211"/>
        <v>0.74910256410256415</v>
      </c>
      <c r="R1704" s="29" t="str">
        <f t="shared" si="212"/>
        <v>0</v>
      </c>
      <c r="S1704" s="30">
        <f t="shared" si="213"/>
        <v>11</v>
      </c>
      <c r="T1704" s="30">
        <f t="shared" si="214"/>
        <v>2023</v>
      </c>
      <c r="U1704" s="29" t="str">
        <f t="shared" si="215"/>
        <v>November</v>
      </c>
    </row>
    <row r="1705" spans="1:21" ht="17.399999999999999" x14ac:dyDescent="0.3">
      <c r="A1705" s="21" t="s">
        <v>2364</v>
      </c>
      <c r="B1705" s="22" t="s">
        <v>3994</v>
      </c>
      <c r="C1705" s="23" t="s">
        <v>3519</v>
      </c>
      <c r="D1705" s="22" t="s">
        <v>3545</v>
      </c>
      <c r="E1705" s="24">
        <v>45243</v>
      </c>
      <c r="F1705" s="24">
        <v>45256</v>
      </c>
      <c r="G1705" s="22" t="s">
        <v>16</v>
      </c>
      <c r="H1705" s="25">
        <v>55771</v>
      </c>
      <c r="I1705" s="25">
        <v>1438</v>
      </c>
      <c r="J1705" s="26">
        <v>2733.35</v>
      </c>
      <c r="K1705" s="25">
        <v>87</v>
      </c>
      <c r="L1705" s="21" t="s">
        <v>21</v>
      </c>
      <c r="M1705" s="22" t="s">
        <v>16</v>
      </c>
      <c r="N1705" s="27">
        <f t="shared" si="208"/>
        <v>13</v>
      </c>
      <c r="O1705" s="28">
        <f t="shared" si="209"/>
        <v>2.5784009610729592E-2</v>
      </c>
      <c r="P1705" s="28">
        <f t="shared" si="210"/>
        <v>6.0500695410292071E-2</v>
      </c>
      <c r="Q1705" s="26">
        <f t="shared" si="211"/>
        <v>1.9007997218358832</v>
      </c>
      <c r="R1705" s="29">
        <f t="shared" si="212"/>
        <v>31.417816091954023</v>
      </c>
      <c r="S1705" s="30">
        <f t="shared" si="213"/>
        <v>11</v>
      </c>
      <c r="T1705" s="30">
        <f t="shared" si="214"/>
        <v>2023</v>
      </c>
      <c r="U1705" s="29" t="str">
        <f t="shared" si="215"/>
        <v>November</v>
      </c>
    </row>
    <row r="1706" spans="1:21" ht="17.399999999999999" x14ac:dyDescent="0.3">
      <c r="A1706" s="21" t="s">
        <v>2513</v>
      </c>
      <c r="B1706" s="21" t="s">
        <v>2514</v>
      </c>
      <c r="C1706" s="23" t="s">
        <v>3519</v>
      </c>
      <c r="D1706" s="21" t="s">
        <v>3520</v>
      </c>
      <c r="E1706" s="24">
        <v>45243</v>
      </c>
      <c r="F1706" s="24">
        <v>45249</v>
      </c>
      <c r="G1706" s="22" t="s">
        <v>11</v>
      </c>
      <c r="H1706" s="25">
        <v>60052</v>
      </c>
      <c r="I1706" s="25">
        <v>2777</v>
      </c>
      <c r="J1706" s="26">
        <v>3272.15</v>
      </c>
      <c r="K1706" s="25">
        <v>440</v>
      </c>
      <c r="L1706" s="21" t="s">
        <v>21</v>
      </c>
      <c r="M1706" s="22" t="s">
        <v>11</v>
      </c>
      <c r="N1706" s="27">
        <f t="shared" si="208"/>
        <v>6</v>
      </c>
      <c r="O1706" s="28">
        <f t="shared" si="209"/>
        <v>4.624325584493439E-2</v>
      </c>
      <c r="P1706" s="28">
        <f t="shared" si="210"/>
        <v>0.15844436442203816</v>
      </c>
      <c r="Q1706" s="26">
        <f t="shared" si="211"/>
        <v>1.1783039250990277</v>
      </c>
      <c r="R1706" s="29">
        <f t="shared" si="212"/>
        <v>7.4367045454545453</v>
      </c>
      <c r="S1706" s="30">
        <f t="shared" si="213"/>
        <v>11</v>
      </c>
      <c r="T1706" s="30">
        <f t="shared" si="214"/>
        <v>2023</v>
      </c>
      <c r="U1706" s="29" t="str">
        <f t="shared" si="215"/>
        <v>November</v>
      </c>
    </row>
    <row r="1707" spans="1:21" ht="17.399999999999999" x14ac:dyDescent="0.3">
      <c r="A1707" s="21" t="s">
        <v>43</v>
      </c>
      <c r="B1707" s="21" t="s">
        <v>44</v>
      </c>
      <c r="C1707" s="23" t="s">
        <v>3518</v>
      </c>
      <c r="D1707" s="21" t="s">
        <v>3517</v>
      </c>
      <c r="E1707" s="24">
        <v>45243</v>
      </c>
      <c r="F1707" s="24">
        <v>45253</v>
      </c>
      <c r="G1707" s="22" t="s">
        <v>16</v>
      </c>
      <c r="H1707" s="25">
        <v>60735</v>
      </c>
      <c r="I1707" s="25">
        <v>1617</v>
      </c>
      <c r="J1707" s="26">
        <v>1552.9</v>
      </c>
      <c r="K1707" s="25">
        <v>228</v>
      </c>
      <c r="L1707" s="21" t="s">
        <v>21</v>
      </c>
      <c r="M1707" s="22" t="s">
        <v>16</v>
      </c>
      <c r="N1707" s="27">
        <f t="shared" si="208"/>
        <v>10</v>
      </c>
      <c r="O1707" s="28">
        <f t="shared" si="209"/>
        <v>2.6623857742652506E-2</v>
      </c>
      <c r="P1707" s="28">
        <f t="shared" si="210"/>
        <v>0.14100185528756956</v>
      </c>
      <c r="Q1707" s="26">
        <f t="shared" si="211"/>
        <v>0.96035868893011755</v>
      </c>
      <c r="R1707" s="29">
        <f t="shared" si="212"/>
        <v>6.8109649122807019</v>
      </c>
      <c r="S1707" s="30">
        <f t="shared" si="213"/>
        <v>11</v>
      </c>
      <c r="T1707" s="30">
        <f t="shared" si="214"/>
        <v>2023</v>
      </c>
      <c r="U1707" s="29" t="str">
        <f t="shared" si="215"/>
        <v>November</v>
      </c>
    </row>
    <row r="1708" spans="1:21" ht="17.399999999999999" x14ac:dyDescent="0.3">
      <c r="A1708" s="21" t="s">
        <v>2138</v>
      </c>
      <c r="B1708" s="21" t="s">
        <v>2139</v>
      </c>
      <c r="C1708" s="23" t="s">
        <v>3518</v>
      </c>
      <c r="D1708" s="21" t="s">
        <v>3520</v>
      </c>
      <c r="E1708" s="24">
        <v>45243</v>
      </c>
      <c r="F1708" s="24">
        <v>45246</v>
      </c>
      <c r="G1708" s="22" t="s">
        <v>24</v>
      </c>
      <c r="H1708" s="25">
        <v>45327</v>
      </c>
      <c r="I1708" s="25">
        <v>1072</v>
      </c>
      <c r="J1708" s="26">
        <v>1491.23</v>
      </c>
      <c r="K1708" s="25">
        <v>202</v>
      </c>
      <c r="L1708" s="21" t="s">
        <v>21</v>
      </c>
      <c r="M1708" s="22" t="s">
        <v>3536</v>
      </c>
      <c r="N1708" s="27">
        <f t="shared" si="208"/>
        <v>3</v>
      </c>
      <c r="O1708" s="28">
        <f t="shared" si="209"/>
        <v>2.3650362918348888E-2</v>
      </c>
      <c r="P1708" s="28">
        <f t="shared" si="210"/>
        <v>0.18843283582089551</v>
      </c>
      <c r="Q1708" s="26">
        <f t="shared" si="211"/>
        <v>1.3910727611940299</v>
      </c>
      <c r="R1708" s="29">
        <f t="shared" si="212"/>
        <v>7.3823267326732678</v>
      </c>
      <c r="S1708" s="30">
        <f t="shared" si="213"/>
        <v>11</v>
      </c>
      <c r="T1708" s="30">
        <f t="shared" si="214"/>
        <v>2023</v>
      </c>
      <c r="U1708" s="29" t="str">
        <f t="shared" si="215"/>
        <v>November</v>
      </c>
    </row>
    <row r="1709" spans="1:21" ht="17.399999999999999" x14ac:dyDescent="0.3">
      <c r="A1709" s="21" t="s">
        <v>2388</v>
      </c>
      <c r="B1709" s="21" t="s">
        <v>2389</v>
      </c>
      <c r="C1709" s="23" t="s">
        <v>3518</v>
      </c>
      <c r="D1709" s="21" t="s">
        <v>3520</v>
      </c>
      <c r="E1709" s="24">
        <v>45243</v>
      </c>
      <c r="F1709" s="24">
        <v>45261</v>
      </c>
      <c r="G1709" s="22" t="s">
        <v>11</v>
      </c>
      <c r="H1709" s="25">
        <v>51460</v>
      </c>
      <c r="I1709" s="25">
        <v>720</v>
      </c>
      <c r="J1709" s="26">
        <v>1110.8</v>
      </c>
      <c r="K1709" s="25">
        <v>130</v>
      </c>
      <c r="L1709" s="21" t="s">
        <v>21</v>
      </c>
      <c r="M1709" s="22" t="s">
        <v>11</v>
      </c>
      <c r="N1709" s="27">
        <f t="shared" si="208"/>
        <v>18</v>
      </c>
      <c r="O1709" s="28">
        <f t="shared" si="209"/>
        <v>1.3991449669646328E-2</v>
      </c>
      <c r="P1709" s="28">
        <f t="shared" si="210"/>
        <v>0.18055555555555555</v>
      </c>
      <c r="Q1709" s="26">
        <f t="shared" si="211"/>
        <v>1.5427777777777778</v>
      </c>
      <c r="R1709" s="29">
        <f t="shared" si="212"/>
        <v>8.5446153846153834</v>
      </c>
      <c r="S1709" s="30">
        <f t="shared" si="213"/>
        <v>11</v>
      </c>
      <c r="T1709" s="30">
        <f t="shared" si="214"/>
        <v>2023</v>
      </c>
      <c r="U1709" s="29" t="str">
        <f t="shared" si="215"/>
        <v>November</v>
      </c>
    </row>
    <row r="1710" spans="1:21" ht="17.399999999999999" x14ac:dyDescent="0.3">
      <c r="A1710" s="21" t="s">
        <v>919</v>
      </c>
      <c r="B1710" s="21" t="s">
        <v>920</v>
      </c>
      <c r="C1710" s="23" t="s">
        <v>3515</v>
      </c>
      <c r="D1710" s="21" t="s">
        <v>3520</v>
      </c>
      <c r="E1710" s="24">
        <v>45243</v>
      </c>
      <c r="F1710" s="24">
        <v>45262</v>
      </c>
      <c r="G1710" s="22" t="s">
        <v>11</v>
      </c>
      <c r="H1710" s="25">
        <v>27646</v>
      </c>
      <c r="I1710" s="25">
        <v>398</v>
      </c>
      <c r="J1710" s="26">
        <v>604.48</v>
      </c>
      <c r="K1710" s="25">
        <v>62</v>
      </c>
      <c r="L1710" s="21" t="s">
        <v>21</v>
      </c>
      <c r="M1710" s="22" t="s">
        <v>11</v>
      </c>
      <c r="N1710" s="27">
        <f t="shared" si="208"/>
        <v>19</v>
      </c>
      <c r="O1710" s="28">
        <f t="shared" si="209"/>
        <v>1.4396296028358534E-2</v>
      </c>
      <c r="P1710" s="28">
        <f t="shared" si="210"/>
        <v>0.15577889447236182</v>
      </c>
      <c r="Q1710" s="26">
        <f t="shared" si="211"/>
        <v>1.5187939698492463</v>
      </c>
      <c r="R1710" s="29">
        <f t="shared" si="212"/>
        <v>9.749677419354839</v>
      </c>
      <c r="S1710" s="30">
        <f t="shared" si="213"/>
        <v>11</v>
      </c>
      <c r="T1710" s="30">
        <f t="shared" si="214"/>
        <v>2023</v>
      </c>
      <c r="U1710" s="29" t="str">
        <f t="shared" si="215"/>
        <v>November</v>
      </c>
    </row>
    <row r="1711" spans="1:21" ht="17.399999999999999" x14ac:dyDescent="0.3">
      <c r="A1711" s="21" t="s">
        <v>226</v>
      </c>
      <c r="B1711" s="21" t="s">
        <v>227</v>
      </c>
      <c r="C1711" s="23" t="s">
        <v>3519</v>
      </c>
      <c r="D1711" s="21" t="s">
        <v>3517</v>
      </c>
      <c r="E1711" s="24">
        <v>45244</v>
      </c>
      <c r="F1711" s="24">
        <v>45255</v>
      </c>
      <c r="G1711" s="22" t="s">
        <v>14</v>
      </c>
      <c r="H1711" s="25">
        <v>36222</v>
      </c>
      <c r="I1711" s="25">
        <v>715</v>
      </c>
      <c r="J1711" s="26">
        <v>1250.71</v>
      </c>
      <c r="K1711" s="25">
        <v>112</v>
      </c>
      <c r="L1711" s="21" t="s">
        <v>21</v>
      </c>
      <c r="M1711" s="22" t="s">
        <v>3537</v>
      </c>
      <c r="N1711" s="27">
        <f t="shared" si="208"/>
        <v>11</v>
      </c>
      <c r="O1711" s="28">
        <f t="shared" si="209"/>
        <v>1.9739384904201865E-2</v>
      </c>
      <c r="P1711" s="28">
        <f t="shared" si="210"/>
        <v>0.15664335664335666</v>
      </c>
      <c r="Q1711" s="26">
        <f t="shared" si="211"/>
        <v>1.7492447552447552</v>
      </c>
      <c r="R1711" s="29">
        <f t="shared" si="212"/>
        <v>11.167053571428571</v>
      </c>
      <c r="S1711" s="30">
        <f t="shared" si="213"/>
        <v>11</v>
      </c>
      <c r="T1711" s="30">
        <f t="shared" si="214"/>
        <v>2023</v>
      </c>
      <c r="U1711" s="29" t="str">
        <f t="shared" si="215"/>
        <v>November</v>
      </c>
    </row>
    <row r="1712" spans="1:21" ht="17.399999999999999" x14ac:dyDescent="0.3">
      <c r="A1712" s="21" t="s">
        <v>3037</v>
      </c>
      <c r="B1712" s="21" t="s">
        <v>3038</v>
      </c>
      <c r="C1712" s="23" t="s">
        <v>3518</v>
      </c>
      <c r="D1712" s="21" t="s">
        <v>3521</v>
      </c>
      <c r="E1712" s="24">
        <v>45244</v>
      </c>
      <c r="F1712" s="24">
        <v>45264</v>
      </c>
      <c r="G1712" s="22" t="s">
        <v>24</v>
      </c>
      <c r="H1712" s="25">
        <v>52756</v>
      </c>
      <c r="I1712" s="25">
        <v>1983</v>
      </c>
      <c r="J1712" s="26">
        <v>2498.64</v>
      </c>
      <c r="K1712" s="25">
        <v>237</v>
      </c>
      <c r="L1712" s="21" t="s">
        <v>21</v>
      </c>
      <c r="M1712" s="22" t="s">
        <v>3536</v>
      </c>
      <c r="N1712" s="27">
        <f t="shared" si="208"/>
        <v>20</v>
      </c>
      <c r="O1712" s="28">
        <f t="shared" si="209"/>
        <v>3.7588141633179167E-2</v>
      </c>
      <c r="P1712" s="28">
        <f t="shared" si="210"/>
        <v>0.11951588502269289</v>
      </c>
      <c r="Q1712" s="26">
        <f t="shared" si="211"/>
        <v>1.2600302571860815</v>
      </c>
      <c r="R1712" s="29">
        <f t="shared" si="212"/>
        <v>10.542784810126582</v>
      </c>
      <c r="S1712" s="30">
        <f t="shared" si="213"/>
        <v>11</v>
      </c>
      <c r="T1712" s="30">
        <f t="shared" si="214"/>
        <v>2023</v>
      </c>
      <c r="U1712" s="29" t="str">
        <f t="shared" si="215"/>
        <v>November</v>
      </c>
    </row>
    <row r="1713" spans="1:21" ht="17.399999999999999" x14ac:dyDescent="0.3">
      <c r="A1713" s="21" t="s">
        <v>3169</v>
      </c>
      <c r="B1713" s="21" t="s">
        <v>3170</v>
      </c>
      <c r="C1713" s="23" t="s">
        <v>3518</v>
      </c>
      <c r="D1713" s="21" t="s">
        <v>3520</v>
      </c>
      <c r="E1713" s="24">
        <v>45244</v>
      </c>
      <c r="F1713" s="24">
        <v>45272</v>
      </c>
      <c r="G1713" s="22" t="s">
        <v>14</v>
      </c>
      <c r="H1713" s="25">
        <v>22427</v>
      </c>
      <c r="I1713" s="25">
        <v>666</v>
      </c>
      <c r="J1713" s="26">
        <v>1084.02</v>
      </c>
      <c r="K1713" s="25">
        <v>88</v>
      </c>
      <c r="L1713" s="21" t="s">
        <v>21</v>
      </c>
      <c r="M1713" s="22" t="s">
        <v>3537</v>
      </c>
      <c r="N1713" s="27">
        <f t="shared" si="208"/>
        <v>28</v>
      </c>
      <c r="O1713" s="28">
        <f t="shared" si="209"/>
        <v>2.9696348151781335E-2</v>
      </c>
      <c r="P1713" s="28">
        <f t="shared" si="210"/>
        <v>0.13213213213213212</v>
      </c>
      <c r="Q1713" s="26">
        <f t="shared" si="211"/>
        <v>1.6276576576576576</v>
      </c>
      <c r="R1713" s="29">
        <f t="shared" si="212"/>
        <v>12.318409090909091</v>
      </c>
      <c r="S1713" s="30">
        <f t="shared" si="213"/>
        <v>11</v>
      </c>
      <c r="T1713" s="30">
        <f t="shared" si="214"/>
        <v>2023</v>
      </c>
      <c r="U1713" s="29" t="str">
        <f t="shared" si="215"/>
        <v>November</v>
      </c>
    </row>
    <row r="1714" spans="1:21" ht="17.399999999999999" x14ac:dyDescent="0.3">
      <c r="A1714" s="21" t="s">
        <v>3320</v>
      </c>
      <c r="B1714" s="21" t="s">
        <v>3321</v>
      </c>
      <c r="C1714" s="23" t="s">
        <v>3518</v>
      </c>
      <c r="D1714" s="21" t="s">
        <v>3520</v>
      </c>
      <c r="E1714" s="24">
        <v>45244</v>
      </c>
      <c r="F1714" s="24">
        <v>45273</v>
      </c>
      <c r="G1714" s="22" t="s">
        <v>14</v>
      </c>
      <c r="H1714" s="25">
        <v>83503</v>
      </c>
      <c r="I1714" s="25">
        <v>3281</v>
      </c>
      <c r="J1714" s="26">
        <v>6335.34</v>
      </c>
      <c r="K1714" s="25">
        <v>289</v>
      </c>
      <c r="L1714" s="21" t="s">
        <v>17</v>
      </c>
      <c r="M1714" s="22" t="s">
        <v>3537</v>
      </c>
      <c r="N1714" s="27">
        <f t="shared" si="208"/>
        <v>29</v>
      </c>
      <c r="O1714" s="28">
        <f t="shared" si="209"/>
        <v>3.9292001484976587E-2</v>
      </c>
      <c r="P1714" s="28">
        <f t="shared" si="210"/>
        <v>8.8082901554404139E-2</v>
      </c>
      <c r="Q1714" s="26">
        <f t="shared" si="211"/>
        <v>1.9309174032307224</v>
      </c>
      <c r="R1714" s="29">
        <f t="shared" si="212"/>
        <v>21.921591695501732</v>
      </c>
      <c r="S1714" s="30">
        <f t="shared" si="213"/>
        <v>11</v>
      </c>
      <c r="T1714" s="30">
        <f t="shared" si="214"/>
        <v>2023</v>
      </c>
      <c r="U1714" s="29" t="str">
        <f t="shared" si="215"/>
        <v>November</v>
      </c>
    </row>
    <row r="1715" spans="1:21" ht="17.399999999999999" x14ac:dyDescent="0.3">
      <c r="A1715" s="21" t="s">
        <v>2395</v>
      </c>
      <c r="B1715" s="22" t="s">
        <v>3995</v>
      </c>
      <c r="C1715" s="23" t="s">
        <v>3516</v>
      </c>
      <c r="D1715" s="22" t="s">
        <v>3545</v>
      </c>
      <c r="E1715" s="24">
        <v>45244</v>
      </c>
      <c r="F1715" s="24">
        <v>45270</v>
      </c>
      <c r="G1715" s="22" t="s">
        <v>14</v>
      </c>
      <c r="H1715" s="25">
        <v>24236</v>
      </c>
      <c r="I1715" s="25">
        <v>1055</v>
      </c>
      <c r="J1715" s="26">
        <v>2074.54</v>
      </c>
      <c r="K1715" s="25">
        <v>0</v>
      </c>
      <c r="L1715" s="21" t="s">
        <v>17</v>
      </c>
      <c r="M1715" s="22" t="s">
        <v>3537</v>
      </c>
      <c r="N1715" s="27">
        <f t="shared" si="208"/>
        <v>26</v>
      </c>
      <c r="O1715" s="28">
        <f t="shared" si="209"/>
        <v>4.3530285525664299E-2</v>
      </c>
      <c r="P1715" s="28">
        <f t="shared" si="210"/>
        <v>0</v>
      </c>
      <c r="Q1715" s="26">
        <f t="shared" si="211"/>
        <v>1.966388625592417</v>
      </c>
      <c r="R1715" s="29" t="str">
        <f t="shared" si="212"/>
        <v>0</v>
      </c>
      <c r="S1715" s="30">
        <f t="shared" si="213"/>
        <v>11</v>
      </c>
      <c r="T1715" s="30">
        <f t="shared" si="214"/>
        <v>2023</v>
      </c>
      <c r="U1715" s="29" t="str">
        <f t="shared" si="215"/>
        <v>November</v>
      </c>
    </row>
    <row r="1716" spans="1:21" ht="17.399999999999999" x14ac:dyDescent="0.3">
      <c r="A1716" s="21" t="s">
        <v>1201</v>
      </c>
      <c r="B1716" s="21" t="s">
        <v>1202</v>
      </c>
      <c r="C1716" s="23" t="s">
        <v>3515</v>
      </c>
      <c r="D1716" s="21" t="s">
        <v>3520</v>
      </c>
      <c r="E1716" s="24">
        <v>45244</v>
      </c>
      <c r="F1716" s="24">
        <v>45256</v>
      </c>
      <c r="G1716" s="22" t="s">
        <v>11</v>
      </c>
      <c r="H1716" s="25">
        <v>29295</v>
      </c>
      <c r="I1716" s="25">
        <v>624</v>
      </c>
      <c r="J1716" s="26">
        <v>961.4</v>
      </c>
      <c r="K1716" s="25">
        <v>50</v>
      </c>
      <c r="L1716" s="21" t="s">
        <v>17</v>
      </c>
      <c r="M1716" s="22" t="s">
        <v>11</v>
      </c>
      <c r="N1716" s="27">
        <f t="shared" si="208"/>
        <v>12</v>
      </c>
      <c r="O1716" s="28">
        <f t="shared" si="209"/>
        <v>2.1300563236047107E-2</v>
      </c>
      <c r="P1716" s="28">
        <f t="shared" si="210"/>
        <v>8.0128205128205135E-2</v>
      </c>
      <c r="Q1716" s="26">
        <f t="shared" si="211"/>
        <v>1.5407051282051281</v>
      </c>
      <c r="R1716" s="29">
        <f t="shared" si="212"/>
        <v>19.227999999999998</v>
      </c>
      <c r="S1716" s="30">
        <f t="shared" si="213"/>
        <v>11</v>
      </c>
      <c r="T1716" s="30">
        <f t="shared" si="214"/>
        <v>2023</v>
      </c>
      <c r="U1716" s="29" t="str">
        <f t="shared" si="215"/>
        <v>November</v>
      </c>
    </row>
    <row r="1717" spans="1:21" ht="17.399999999999999" x14ac:dyDescent="0.3">
      <c r="A1717" s="21" t="s">
        <v>1951</v>
      </c>
      <c r="B1717" s="21" t="s">
        <v>1952</v>
      </c>
      <c r="C1717" s="23" t="s">
        <v>3515</v>
      </c>
      <c r="D1717" s="21" t="s">
        <v>3521</v>
      </c>
      <c r="E1717" s="24">
        <v>45244</v>
      </c>
      <c r="F1717" s="24">
        <v>45263</v>
      </c>
      <c r="G1717" s="22" t="s">
        <v>31</v>
      </c>
      <c r="H1717" s="25">
        <v>15060</v>
      </c>
      <c r="I1717" s="25">
        <v>436</v>
      </c>
      <c r="J1717" s="26">
        <v>621.86</v>
      </c>
      <c r="K1717" s="25">
        <v>54</v>
      </c>
      <c r="L1717" s="21" t="s">
        <v>17</v>
      </c>
      <c r="M1717" s="22" t="s">
        <v>31</v>
      </c>
      <c r="N1717" s="27">
        <f t="shared" si="208"/>
        <v>19</v>
      </c>
      <c r="O1717" s="28">
        <f t="shared" si="209"/>
        <v>2.895086321381142E-2</v>
      </c>
      <c r="P1717" s="28">
        <f t="shared" si="210"/>
        <v>0.12385321100917432</v>
      </c>
      <c r="Q1717" s="26">
        <f t="shared" si="211"/>
        <v>1.4262844036697249</v>
      </c>
      <c r="R1717" s="29">
        <f t="shared" si="212"/>
        <v>11.515925925925925</v>
      </c>
      <c r="S1717" s="30">
        <f t="shared" si="213"/>
        <v>11</v>
      </c>
      <c r="T1717" s="30">
        <f t="shared" si="214"/>
        <v>2023</v>
      </c>
      <c r="U1717" s="29" t="str">
        <f t="shared" si="215"/>
        <v>November</v>
      </c>
    </row>
    <row r="1718" spans="1:21" ht="17.399999999999999" x14ac:dyDescent="0.3">
      <c r="A1718" s="21" t="s">
        <v>2962</v>
      </c>
      <c r="B1718" s="21" t="s">
        <v>2963</v>
      </c>
      <c r="C1718" s="23" t="s">
        <v>3516</v>
      </c>
      <c r="D1718" s="21" t="s">
        <v>3517</v>
      </c>
      <c r="E1718" s="24">
        <v>45245</v>
      </c>
      <c r="F1718" s="24">
        <v>45255</v>
      </c>
      <c r="G1718" s="22" t="s">
        <v>24</v>
      </c>
      <c r="H1718" s="25">
        <v>66160</v>
      </c>
      <c r="I1718" s="25">
        <v>713</v>
      </c>
      <c r="J1718" s="26">
        <v>1147.79</v>
      </c>
      <c r="K1718" s="25">
        <v>37</v>
      </c>
      <c r="L1718" s="21" t="s">
        <v>21</v>
      </c>
      <c r="M1718" s="22" t="s">
        <v>3536</v>
      </c>
      <c r="N1718" s="27">
        <f t="shared" si="208"/>
        <v>10</v>
      </c>
      <c r="O1718" s="28">
        <f t="shared" si="209"/>
        <v>1.0776904474002418E-2</v>
      </c>
      <c r="P1718" s="28">
        <f t="shared" si="210"/>
        <v>5.1893408134642355E-2</v>
      </c>
      <c r="Q1718" s="26">
        <f t="shared" si="211"/>
        <v>1.6098036465638148</v>
      </c>
      <c r="R1718" s="29">
        <f t="shared" si="212"/>
        <v>31.021351351351349</v>
      </c>
      <c r="S1718" s="30">
        <f t="shared" si="213"/>
        <v>11</v>
      </c>
      <c r="T1718" s="30">
        <f t="shared" si="214"/>
        <v>2023</v>
      </c>
      <c r="U1718" s="29" t="str">
        <f t="shared" si="215"/>
        <v>November</v>
      </c>
    </row>
    <row r="1719" spans="1:21" ht="17.399999999999999" x14ac:dyDescent="0.3">
      <c r="A1719" s="21" t="s">
        <v>182</v>
      </c>
      <c r="B1719" s="21" t="s">
        <v>183</v>
      </c>
      <c r="C1719" s="23" t="s">
        <v>3515</v>
      </c>
      <c r="D1719" s="21" t="s">
        <v>3517</v>
      </c>
      <c r="E1719" s="24">
        <v>45245</v>
      </c>
      <c r="F1719" s="24">
        <v>45271</v>
      </c>
      <c r="G1719" s="22" t="s">
        <v>24</v>
      </c>
      <c r="H1719" s="25">
        <v>41774</v>
      </c>
      <c r="I1719" s="25">
        <v>446</v>
      </c>
      <c r="J1719" s="26">
        <v>850.8</v>
      </c>
      <c r="K1719" s="25">
        <v>74</v>
      </c>
      <c r="L1719" s="21" t="s">
        <v>17</v>
      </c>
      <c r="M1719" s="22" t="s">
        <v>3536</v>
      </c>
      <c r="N1719" s="27">
        <f t="shared" si="208"/>
        <v>26</v>
      </c>
      <c r="O1719" s="28">
        <f t="shared" si="209"/>
        <v>1.0676497342844832E-2</v>
      </c>
      <c r="P1719" s="28">
        <f t="shared" si="210"/>
        <v>0.16591928251121077</v>
      </c>
      <c r="Q1719" s="26">
        <f t="shared" si="211"/>
        <v>1.9076233183856501</v>
      </c>
      <c r="R1719" s="29">
        <f t="shared" si="212"/>
        <v>11.497297297297298</v>
      </c>
      <c r="S1719" s="30">
        <f t="shared" si="213"/>
        <v>11</v>
      </c>
      <c r="T1719" s="30">
        <f t="shared" si="214"/>
        <v>2023</v>
      </c>
      <c r="U1719" s="29" t="str">
        <f t="shared" si="215"/>
        <v>November</v>
      </c>
    </row>
    <row r="1720" spans="1:21" ht="17.399999999999999" x14ac:dyDescent="0.3">
      <c r="A1720" s="21" t="s">
        <v>346</v>
      </c>
      <c r="B1720" s="21" t="s">
        <v>347</v>
      </c>
      <c r="C1720" s="23" t="s">
        <v>3515</v>
      </c>
      <c r="D1720" s="21" t="s">
        <v>3521</v>
      </c>
      <c r="E1720" s="24">
        <v>45245</v>
      </c>
      <c r="F1720" s="24">
        <v>45262</v>
      </c>
      <c r="G1720" s="22" t="s">
        <v>14</v>
      </c>
      <c r="H1720" s="25">
        <v>95856</v>
      </c>
      <c r="I1720" s="25">
        <v>4618</v>
      </c>
      <c r="J1720" s="26">
        <v>7777.24</v>
      </c>
      <c r="K1720" s="25">
        <v>0</v>
      </c>
      <c r="L1720" s="21" t="s">
        <v>21</v>
      </c>
      <c r="M1720" s="22" t="s">
        <v>3537</v>
      </c>
      <c r="N1720" s="27">
        <f t="shared" si="208"/>
        <v>17</v>
      </c>
      <c r="O1720" s="28">
        <f t="shared" si="209"/>
        <v>4.8176431313637122E-2</v>
      </c>
      <c r="P1720" s="28">
        <f t="shared" si="210"/>
        <v>0</v>
      </c>
      <c r="Q1720" s="26">
        <f t="shared" si="211"/>
        <v>1.6841143352100476</v>
      </c>
      <c r="R1720" s="29" t="str">
        <f t="shared" si="212"/>
        <v>0</v>
      </c>
      <c r="S1720" s="30">
        <f t="shared" si="213"/>
        <v>11</v>
      </c>
      <c r="T1720" s="30">
        <f t="shared" si="214"/>
        <v>2023</v>
      </c>
      <c r="U1720" s="29" t="str">
        <f t="shared" si="215"/>
        <v>November</v>
      </c>
    </row>
    <row r="1721" spans="1:21" ht="17.399999999999999" x14ac:dyDescent="0.3">
      <c r="A1721" s="21" t="s">
        <v>3358</v>
      </c>
      <c r="B1721" s="21" t="s">
        <v>3359</v>
      </c>
      <c r="C1721" s="23" t="s">
        <v>3518</v>
      </c>
      <c r="D1721" s="21" t="s">
        <v>3517</v>
      </c>
      <c r="E1721" s="24">
        <v>45246</v>
      </c>
      <c r="F1721" s="24">
        <v>45252</v>
      </c>
      <c r="G1721" s="22" t="s">
        <v>24</v>
      </c>
      <c r="H1721" s="25">
        <v>47167</v>
      </c>
      <c r="I1721" s="25">
        <v>855</v>
      </c>
      <c r="J1721" s="26">
        <v>1115.1199999999999</v>
      </c>
      <c r="K1721" s="25">
        <v>49</v>
      </c>
      <c r="L1721" s="21" t="s">
        <v>21</v>
      </c>
      <c r="M1721" s="22" t="s">
        <v>3536</v>
      </c>
      <c r="N1721" s="27">
        <f t="shared" si="208"/>
        <v>6</v>
      </c>
      <c r="O1721" s="28">
        <f t="shared" si="209"/>
        <v>1.812708037399029E-2</v>
      </c>
      <c r="P1721" s="28">
        <f t="shared" si="210"/>
        <v>5.7309941520467839E-2</v>
      </c>
      <c r="Q1721" s="26">
        <f t="shared" si="211"/>
        <v>1.3042339181286549</v>
      </c>
      <c r="R1721" s="29">
        <f t="shared" si="212"/>
        <v>22.757551020408162</v>
      </c>
      <c r="S1721" s="30">
        <f t="shared" si="213"/>
        <v>11</v>
      </c>
      <c r="T1721" s="30">
        <f t="shared" si="214"/>
        <v>2023</v>
      </c>
      <c r="U1721" s="29" t="str">
        <f t="shared" si="215"/>
        <v>November</v>
      </c>
    </row>
    <row r="1722" spans="1:21" ht="17.399999999999999" x14ac:dyDescent="0.3">
      <c r="A1722" s="21" t="s">
        <v>922</v>
      </c>
      <c r="B1722" s="21" t="s">
        <v>923</v>
      </c>
      <c r="C1722" s="23" t="s">
        <v>3516</v>
      </c>
      <c r="D1722" s="21" t="s">
        <v>3520</v>
      </c>
      <c r="E1722" s="24">
        <v>45246</v>
      </c>
      <c r="F1722" s="24">
        <v>45250</v>
      </c>
      <c r="G1722" s="22" t="s">
        <v>11</v>
      </c>
      <c r="H1722" s="25">
        <v>80605</v>
      </c>
      <c r="I1722" s="25">
        <v>1112</v>
      </c>
      <c r="J1722" s="26">
        <v>1257.83</v>
      </c>
      <c r="K1722" s="25">
        <v>207</v>
      </c>
      <c r="L1722" s="21" t="s">
        <v>17</v>
      </c>
      <c r="M1722" s="22" t="s">
        <v>11</v>
      </c>
      <c r="N1722" s="27">
        <f t="shared" si="208"/>
        <v>4</v>
      </c>
      <c r="O1722" s="28">
        <f t="shared" si="209"/>
        <v>1.3795670243781403E-2</v>
      </c>
      <c r="P1722" s="28">
        <f t="shared" si="210"/>
        <v>0.18615107913669066</v>
      </c>
      <c r="Q1722" s="26">
        <f t="shared" si="211"/>
        <v>1.1311420863309352</v>
      </c>
      <c r="R1722" s="29">
        <f t="shared" si="212"/>
        <v>6.0764734299516903</v>
      </c>
      <c r="S1722" s="30">
        <f t="shared" si="213"/>
        <v>11</v>
      </c>
      <c r="T1722" s="30">
        <f t="shared" si="214"/>
        <v>2023</v>
      </c>
      <c r="U1722" s="29" t="str">
        <f t="shared" si="215"/>
        <v>November</v>
      </c>
    </row>
    <row r="1723" spans="1:21" ht="17.399999999999999" x14ac:dyDescent="0.3">
      <c r="A1723" s="21" t="s">
        <v>1168</v>
      </c>
      <c r="B1723" s="21" t="s">
        <v>1169</v>
      </c>
      <c r="C1723" s="23" t="s">
        <v>3516</v>
      </c>
      <c r="D1723" s="21" t="s">
        <v>3521</v>
      </c>
      <c r="E1723" s="24">
        <v>45246</v>
      </c>
      <c r="F1723" s="24">
        <v>45260</v>
      </c>
      <c r="G1723" s="22" t="s">
        <v>31</v>
      </c>
      <c r="H1723" s="25">
        <v>24625</v>
      </c>
      <c r="I1723" s="25">
        <v>701</v>
      </c>
      <c r="J1723" s="26">
        <v>782.14</v>
      </c>
      <c r="K1723" s="25">
        <v>63</v>
      </c>
      <c r="L1723" s="21" t="s">
        <v>21</v>
      </c>
      <c r="M1723" s="22" t="s">
        <v>31</v>
      </c>
      <c r="N1723" s="27">
        <f t="shared" si="208"/>
        <v>14</v>
      </c>
      <c r="O1723" s="28">
        <f t="shared" si="209"/>
        <v>2.8467005076142131E-2</v>
      </c>
      <c r="P1723" s="28">
        <f t="shared" si="210"/>
        <v>8.98716119828816E-2</v>
      </c>
      <c r="Q1723" s="26">
        <f t="shared" si="211"/>
        <v>1.1157489300998573</v>
      </c>
      <c r="R1723" s="29">
        <f t="shared" si="212"/>
        <v>12.414920634920636</v>
      </c>
      <c r="S1723" s="30">
        <f t="shared" si="213"/>
        <v>11</v>
      </c>
      <c r="T1723" s="30">
        <f t="shared" si="214"/>
        <v>2023</v>
      </c>
      <c r="U1723" s="29" t="str">
        <f t="shared" si="215"/>
        <v>November</v>
      </c>
    </row>
    <row r="1724" spans="1:21" ht="17.399999999999999" x14ac:dyDescent="0.3">
      <c r="A1724" s="21" t="s">
        <v>523</v>
      </c>
      <c r="B1724" s="21" t="s">
        <v>524</v>
      </c>
      <c r="C1724" s="23" t="s">
        <v>3519</v>
      </c>
      <c r="D1724" s="21" t="s">
        <v>3517</v>
      </c>
      <c r="E1724" s="24">
        <v>45247</v>
      </c>
      <c r="F1724" s="24">
        <v>45253</v>
      </c>
      <c r="G1724" s="22" t="s">
        <v>3535</v>
      </c>
      <c r="H1724" s="25">
        <v>52407</v>
      </c>
      <c r="I1724" s="25">
        <v>1284</v>
      </c>
      <c r="J1724" s="26">
        <v>1746.03</v>
      </c>
      <c r="K1724" s="25">
        <v>150</v>
      </c>
      <c r="L1724" s="21" t="s">
        <v>17</v>
      </c>
      <c r="M1724" s="22" t="s">
        <v>3535</v>
      </c>
      <c r="N1724" s="27">
        <f t="shared" si="208"/>
        <v>6</v>
      </c>
      <c r="O1724" s="28">
        <f t="shared" si="209"/>
        <v>2.4500543820481998E-2</v>
      </c>
      <c r="P1724" s="28">
        <f t="shared" si="210"/>
        <v>0.11682242990654206</v>
      </c>
      <c r="Q1724" s="26">
        <f t="shared" si="211"/>
        <v>1.3598364485981309</v>
      </c>
      <c r="R1724" s="29">
        <f t="shared" si="212"/>
        <v>11.6402</v>
      </c>
      <c r="S1724" s="30">
        <f t="shared" si="213"/>
        <v>11</v>
      </c>
      <c r="T1724" s="30">
        <f t="shared" si="214"/>
        <v>2023</v>
      </c>
      <c r="U1724" s="29" t="str">
        <f t="shared" si="215"/>
        <v>November</v>
      </c>
    </row>
    <row r="1725" spans="1:21" ht="17.399999999999999" x14ac:dyDescent="0.3">
      <c r="A1725" s="21" t="s">
        <v>1553</v>
      </c>
      <c r="B1725" s="21" t="s">
        <v>1554</v>
      </c>
      <c r="C1725" s="23" t="s">
        <v>3519</v>
      </c>
      <c r="D1725" s="21" t="s">
        <v>3517</v>
      </c>
      <c r="E1725" s="24">
        <v>45247</v>
      </c>
      <c r="F1725" s="24">
        <v>45251</v>
      </c>
      <c r="G1725" s="22" t="s">
        <v>14</v>
      </c>
      <c r="H1725" s="25">
        <v>43318</v>
      </c>
      <c r="I1725" s="25">
        <v>1148</v>
      </c>
      <c r="J1725" s="26">
        <v>1945.59</v>
      </c>
      <c r="K1725" s="25">
        <v>162</v>
      </c>
      <c r="L1725" s="21" t="s">
        <v>21</v>
      </c>
      <c r="M1725" s="22" t="s">
        <v>3537</v>
      </c>
      <c r="N1725" s="27">
        <f t="shared" si="208"/>
        <v>4</v>
      </c>
      <c r="O1725" s="28">
        <f t="shared" si="209"/>
        <v>2.6501685211690291E-2</v>
      </c>
      <c r="P1725" s="28">
        <f t="shared" si="210"/>
        <v>0.14111498257839722</v>
      </c>
      <c r="Q1725" s="26">
        <f t="shared" si="211"/>
        <v>1.6947648083623692</v>
      </c>
      <c r="R1725" s="29">
        <f t="shared" si="212"/>
        <v>12.009814814814815</v>
      </c>
      <c r="S1725" s="30">
        <f t="shared" si="213"/>
        <v>11</v>
      </c>
      <c r="T1725" s="30">
        <f t="shared" si="214"/>
        <v>2023</v>
      </c>
      <c r="U1725" s="29" t="str">
        <f t="shared" si="215"/>
        <v>November</v>
      </c>
    </row>
    <row r="1726" spans="1:21" ht="17.399999999999999" x14ac:dyDescent="0.3">
      <c r="A1726" s="21" t="s">
        <v>1738</v>
      </c>
      <c r="B1726" s="21" t="s">
        <v>1739</v>
      </c>
      <c r="C1726" s="23" t="s">
        <v>3519</v>
      </c>
      <c r="D1726" s="21" t="s">
        <v>3520</v>
      </c>
      <c r="E1726" s="24">
        <v>45247</v>
      </c>
      <c r="F1726" s="24">
        <v>45262</v>
      </c>
      <c r="G1726" s="22" t="s">
        <v>24</v>
      </c>
      <c r="H1726" s="25">
        <v>83152</v>
      </c>
      <c r="I1726" s="25">
        <v>3547</v>
      </c>
      <c r="J1726" s="26">
        <v>3449.51</v>
      </c>
      <c r="K1726" s="25">
        <v>445</v>
      </c>
      <c r="L1726" s="21" t="s">
        <v>21</v>
      </c>
      <c r="M1726" s="22" t="s">
        <v>3536</v>
      </c>
      <c r="N1726" s="27">
        <f t="shared" si="208"/>
        <v>15</v>
      </c>
      <c r="O1726" s="28">
        <f t="shared" si="209"/>
        <v>4.265682124302482E-2</v>
      </c>
      <c r="P1726" s="28">
        <f t="shared" si="210"/>
        <v>0.12545813363405695</v>
      </c>
      <c r="Q1726" s="26">
        <f t="shared" si="211"/>
        <v>0.97251480124048495</v>
      </c>
      <c r="R1726" s="29">
        <f t="shared" si="212"/>
        <v>7.75170786516854</v>
      </c>
      <c r="S1726" s="30">
        <f t="shared" si="213"/>
        <v>11</v>
      </c>
      <c r="T1726" s="30">
        <f t="shared" si="214"/>
        <v>2023</v>
      </c>
      <c r="U1726" s="29" t="str">
        <f t="shared" si="215"/>
        <v>November</v>
      </c>
    </row>
    <row r="1727" spans="1:21" ht="17.399999999999999" x14ac:dyDescent="0.3">
      <c r="A1727" s="21" t="s">
        <v>3013</v>
      </c>
      <c r="B1727" s="21" t="s">
        <v>3014</v>
      </c>
      <c r="C1727" s="23" t="s">
        <v>3519</v>
      </c>
      <c r="D1727" s="21" t="s">
        <v>3521</v>
      </c>
      <c r="E1727" s="24">
        <v>45247</v>
      </c>
      <c r="F1727" s="24">
        <v>45261</v>
      </c>
      <c r="G1727" s="22" t="s">
        <v>16</v>
      </c>
      <c r="H1727" s="25">
        <v>85082</v>
      </c>
      <c r="I1727" s="25">
        <v>4176</v>
      </c>
      <c r="J1727" s="26">
        <v>2848.54</v>
      </c>
      <c r="K1727" s="25">
        <v>0</v>
      </c>
      <c r="L1727" s="21" t="s">
        <v>17</v>
      </c>
      <c r="M1727" s="22" t="s">
        <v>16</v>
      </c>
      <c r="N1727" s="27">
        <f t="shared" si="208"/>
        <v>14</v>
      </c>
      <c r="O1727" s="28">
        <f t="shared" si="209"/>
        <v>4.9082062010766085E-2</v>
      </c>
      <c r="P1727" s="28">
        <f t="shared" si="210"/>
        <v>0</v>
      </c>
      <c r="Q1727" s="26">
        <f t="shared" si="211"/>
        <v>0.68212164750957849</v>
      </c>
      <c r="R1727" s="29" t="str">
        <f t="shared" si="212"/>
        <v>0</v>
      </c>
      <c r="S1727" s="30">
        <f t="shared" si="213"/>
        <v>11</v>
      </c>
      <c r="T1727" s="30">
        <f t="shared" si="214"/>
        <v>2023</v>
      </c>
      <c r="U1727" s="29" t="str">
        <f t="shared" si="215"/>
        <v>November</v>
      </c>
    </row>
    <row r="1728" spans="1:21" ht="17.399999999999999" x14ac:dyDescent="0.3">
      <c r="A1728" s="21" t="s">
        <v>3206</v>
      </c>
      <c r="B1728" s="21" t="s">
        <v>3207</v>
      </c>
      <c r="C1728" s="23" t="s">
        <v>3519</v>
      </c>
      <c r="D1728" s="21" t="s">
        <v>3520</v>
      </c>
      <c r="E1728" s="24">
        <v>45247</v>
      </c>
      <c r="F1728" s="24">
        <v>45264</v>
      </c>
      <c r="G1728" s="22" t="s">
        <v>11</v>
      </c>
      <c r="H1728" s="25">
        <v>18482</v>
      </c>
      <c r="I1728" s="25">
        <v>580</v>
      </c>
      <c r="J1728" s="26">
        <v>549.27</v>
      </c>
      <c r="K1728" s="25">
        <v>79</v>
      </c>
      <c r="L1728" s="21" t="s">
        <v>21</v>
      </c>
      <c r="M1728" s="22" t="s">
        <v>11</v>
      </c>
      <c r="N1728" s="27">
        <f t="shared" si="208"/>
        <v>17</v>
      </c>
      <c r="O1728" s="28">
        <f t="shared" si="209"/>
        <v>3.1381885077372579E-2</v>
      </c>
      <c r="P1728" s="28">
        <f t="shared" si="210"/>
        <v>0.13620689655172413</v>
      </c>
      <c r="Q1728" s="26">
        <f t="shared" si="211"/>
        <v>0.94701724137931031</v>
      </c>
      <c r="R1728" s="29">
        <f t="shared" si="212"/>
        <v>6.9527848101265821</v>
      </c>
      <c r="S1728" s="30">
        <f t="shared" si="213"/>
        <v>11</v>
      </c>
      <c r="T1728" s="30">
        <f t="shared" si="214"/>
        <v>2023</v>
      </c>
      <c r="U1728" s="29" t="str">
        <f t="shared" si="215"/>
        <v>November</v>
      </c>
    </row>
    <row r="1729" spans="1:21" ht="17.399999999999999" x14ac:dyDescent="0.3">
      <c r="A1729" s="21" t="s">
        <v>1389</v>
      </c>
      <c r="B1729" s="21" t="s">
        <v>1390</v>
      </c>
      <c r="C1729" s="23" t="s">
        <v>3518</v>
      </c>
      <c r="D1729" s="21" t="s">
        <v>3521</v>
      </c>
      <c r="E1729" s="24">
        <v>45247</v>
      </c>
      <c r="F1729" s="24">
        <v>45252</v>
      </c>
      <c r="G1729" s="22" t="s">
        <v>31</v>
      </c>
      <c r="H1729" s="25">
        <v>57570</v>
      </c>
      <c r="I1729" s="25">
        <v>1860</v>
      </c>
      <c r="J1729" s="26">
        <v>2304.35</v>
      </c>
      <c r="K1729" s="25">
        <v>171</v>
      </c>
      <c r="L1729" s="21" t="s">
        <v>21</v>
      </c>
      <c r="M1729" s="22" t="s">
        <v>31</v>
      </c>
      <c r="N1729" s="27">
        <f t="shared" si="208"/>
        <v>5</v>
      </c>
      <c r="O1729" s="28">
        <f t="shared" si="209"/>
        <v>3.2308494007295463E-2</v>
      </c>
      <c r="P1729" s="28">
        <f t="shared" si="210"/>
        <v>9.1935483870967741E-2</v>
      </c>
      <c r="Q1729" s="26">
        <f t="shared" si="211"/>
        <v>1.2388978494623655</v>
      </c>
      <c r="R1729" s="29">
        <f t="shared" si="212"/>
        <v>13.475730994152046</v>
      </c>
      <c r="S1729" s="30">
        <f t="shared" si="213"/>
        <v>11</v>
      </c>
      <c r="T1729" s="30">
        <f t="shared" si="214"/>
        <v>2023</v>
      </c>
      <c r="U1729" s="29" t="str">
        <f t="shared" si="215"/>
        <v>November</v>
      </c>
    </row>
    <row r="1730" spans="1:21" ht="17.399999999999999" x14ac:dyDescent="0.3">
      <c r="A1730" s="21" t="s">
        <v>2268</v>
      </c>
      <c r="B1730" s="21" t="s">
        <v>2269</v>
      </c>
      <c r="C1730" s="23" t="s">
        <v>3518</v>
      </c>
      <c r="D1730" s="21" t="s">
        <v>3517</v>
      </c>
      <c r="E1730" s="24">
        <v>45247</v>
      </c>
      <c r="F1730" s="24">
        <v>45268</v>
      </c>
      <c r="G1730" s="22" t="s">
        <v>11</v>
      </c>
      <c r="H1730" s="25">
        <v>28952</v>
      </c>
      <c r="I1730" s="25">
        <v>964</v>
      </c>
      <c r="J1730" s="26">
        <v>518.97</v>
      </c>
      <c r="K1730" s="25">
        <v>76</v>
      </c>
      <c r="L1730" s="21" t="s">
        <v>17</v>
      </c>
      <c r="M1730" s="22" t="s">
        <v>11</v>
      </c>
      <c r="N1730" s="27">
        <f t="shared" ref="N1730:N1793" si="216">F1730-E1730</f>
        <v>21</v>
      </c>
      <c r="O1730" s="28">
        <f t="shared" ref="O1730:O1793" si="217">I1730/H1730</f>
        <v>3.3296490743299254E-2</v>
      </c>
      <c r="P1730" s="28">
        <f t="shared" ref="P1730:P1793" si="218">K1730/I1730</f>
        <v>7.8838174273858919E-2</v>
      </c>
      <c r="Q1730" s="26">
        <f t="shared" ref="Q1730:Q1793" si="219">J1730/I1730</f>
        <v>0.538350622406639</v>
      </c>
      <c r="R1730" s="29">
        <f t="shared" ref="R1730:R1793" si="220">IFERROR(J1730/K1730,"0")</f>
        <v>6.8285526315789475</v>
      </c>
      <c r="S1730" s="30">
        <f t="shared" ref="S1730:S1793" si="221">MONTH(E1730)</f>
        <v>11</v>
      </c>
      <c r="T1730" s="30">
        <f t="shared" ref="T1730:T1793" si="222">YEAR(E1730)</f>
        <v>2023</v>
      </c>
      <c r="U1730" s="29" t="str">
        <f t="shared" ref="U1730:U1793" si="223">TEXT(E1730,"mmmm")</f>
        <v>November</v>
      </c>
    </row>
    <row r="1731" spans="1:21" ht="17.399999999999999" x14ac:dyDescent="0.3">
      <c r="A1731" s="21" t="s">
        <v>2499</v>
      </c>
      <c r="B1731" s="21" t="s">
        <v>2500</v>
      </c>
      <c r="C1731" s="23" t="s">
        <v>3518</v>
      </c>
      <c r="D1731" s="21" t="s">
        <v>3521</v>
      </c>
      <c r="E1731" s="24">
        <v>45247</v>
      </c>
      <c r="F1731" s="24">
        <v>45251</v>
      </c>
      <c r="G1731" s="22" t="s">
        <v>31</v>
      </c>
      <c r="H1731" s="25">
        <v>83565</v>
      </c>
      <c r="I1731" s="25">
        <v>3261</v>
      </c>
      <c r="J1731" s="26">
        <v>5296.09</v>
      </c>
      <c r="K1731" s="25">
        <v>549</v>
      </c>
      <c r="L1731" s="21" t="s">
        <v>21</v>
      </c>
      <c r="M1731" s="22" t="s">
        <v>31</v>
      </c>
      <c r="N1731" s="27">
        <f t="shared" si="216"/>
        <v>4</v>
      </c>
      <c r="O1731" s="28">
        <f t="shared" si="217"/>
        <v>3.9023514629330458E-2</v>
      </c>
      <c r="P1731" s="28">
        <f t="shared" si="218"/>
        <v>0.16835326586936522</v>
      </c>
      <c r="Q1731" s="26">
        <f t="shared" si="219"/>
        <v>1.6240693038945109</v>
      </c>
      <c r="R1731" s="29">
        <f t="shared" si="220"/>
        <v>9.6467941712204013</v>
      </c>
      <c r="S1731" s="30">
        <f t="shared" si="221"/>
        <v>11</v>
      </c>
      <c r="T1731" s="30">
        <f t="shared" si="222"/>
        <v>2023</v>
      </c>
      <c r="U1731" s="29" t="str">
        <f t="shared" si="223"/>
        <v>November</v>
      </c>
    </row>
    <row r="1732" spans="1:21" ht="17.399999999999999" x14ac:dyDescent="0.3">
      <c r="A1732" s="21" t="s">
        <v>2615</v>
      </c>
      <c r="B1732" s="21" t="s">
        <v>2616</v>
      </c>
      <c r="C1732" s="23" t="s">
        <v>3518</v>
      </c>
      <c r="D1732" s="21" t="s">
        <v>3521</v>
      </c>
      <c r="E1732" s="24">
        <v>45247</v>
      </c>
      <c r="F1732" s="24">
        <v>45252</v>
      </c>
      <c r="G1732" s="22" t="s">
        <v>3535</v>
      </c>
      <c r="H1732" s="25">
        <v>76186</v>
      </c>
      <c r="I1732" s="25">
        <v>3117</v>
      </c>
      <c r="J1732" s="26">
        <v>5008.46</v>
      </c>
      <c r="K1732" s="25">
        <v>419</v>
      </c>
      <c r="L1732" s="21" t="s">
        <v>21</v>
      </c>
      <c r="M1732" s="22" t="s">
        <v>3535</v>
      </c>
      <c r="N1732" s="27">
        <f t="shared" si="216"/>
        <v>5</v>
      </c>
      <c r="O1732" s="28">
        <f t="shared" si="217"/>
        <v>4.0913028640432628E-2</v>
      </c>
      <c r="P1732" s="28">
        <f t="shared" si="218"/>
        <v>0.13442412576195059</v>
      </c>
      <c r="Q1732" s="26">
        <f t="shared" si="219"/>
        <v>1.6068206608918831</v>
      </c>
      <c r="R1732" s="29">
        <f t="shared" si="220"/>
        <v>11.953365155131266</v>
      </c>
      <c r="S1732" s="30">
        <f t="shared" si="221"/>
        <v>11</v>
      </c>
      <c r="T1732" s="30">
        <f t="shared" si="222"/>
        <v>2023</v>
      </c>
      <c r="U1732" s="29" t="str">
        <f t="shared" si="223"/>
        <v>November</v>
      </c>
    </row>
    <row r="1733" spans="1:21" ht="17.399999999999999" x14ac:dyDescent="0.3">
      <c r="A1733" s="21" t="s">
        <v>2915</v>
      </c>
      <c r="B1733" s="21" t="s">
        <v>2916</v>
      </c>
      <c r="C1733" s="23" t="s">
        <v>3518</v>
      </c>
      <c r="D1733" s="21" t="s">
        <v>3520</v>
      </c>
      <c r="E1733" s="24">
        <v>45247</v>
      </c>
      <c r="F1733" s="24">
        <v>45275</v>
      </c>
      <c r="G1733" s="22" t="s">
        <v>24</v>
      </c>
      <c r="H1733" s="25">
        <v>77898</v>
      </c>
      <c r="I1733" s="25">
        <v>2979</v>
      </c>
      <c r="J1733" s="26">
        <v>2107.8000000000002</v>
      </c>
      <c r="K1733" s="25">
        <v>294</v>
      </c>
      <c r="L1733" s="21" t="s">
        <v>21</v>
      </c>
      <c r="M1733" s="22" t="s">
        <v>3536</v>
      </c>
      <c r="N1733" s="27">
        <f t="shared" si="216"/>
        <v>28</v>
      </c>
      <c r="O1733" s="28">
        <f t="shared" si="217"/>
        <v>3.8242316875914659E-2</v>
      </c>
      <c r="P1733" s="28">
        <f t="shared" si="218"/>
        <v>9.8690835850956699E-2</v>
      </c>
      <c r="Q1733" s="26">
        <f t="shared" si="219"/>
        <v>0.7075528700906345</v>
      </c>
      <c r="R1733" s="29">
        <f t="shared" si="220"/>
        <v>7.1693877551020417</v>
      </c>
      <c r="S1733" s="30">
        <f t="shared" si="221"/>
        <v>11</v>
      </c>
      <c r="T1733" s="30">
        <f t="shared" si="222"/>
        <v>2023</v>
      </c>
      <c r="U1733" s="29" t="str">
        <f t="shared" si="223"/>
        <v>November</v>
      </c>
    </row>
    <row r="1734" spans="1:21" ht="17.399999999999999" x14ac:dyDescent="0.3">
      <c r="A1734" s="21" t="s">
        <v>2952</v>
      </c>
      <c r="B1734" s="21" t="s">
        <v>2953</v>
      </c>
      <c r="C1734" s="23" t="s">
        <v>3516</v>
      </c>
      <c r="D1734" s="21" t="s">
        <v>3521</v>
      </c>
      <c r="E1734" s="24">
        <v>45247</v>
      </c>
      <c r="F1734" s="24">
        <v>45272</v>
      </c>
      <c r="G1734" s="22" t="s">
        <v>14</v>
      </c>
      <c r="H1734" s="25">
        <v>84300</v>
      </c>
      <c r="I1734" s="25">
        <v>3711</v>
      </c>
      <c r="J1734" s="26">
        <v>6594.85</v>
      </c>
      <c r="K1734" s="25">
        <v>401</v>
      </c>
      <c r="L1734" s="21" t="s">
        <v>21</v>
      </c>
      <c r="M1734" s="22" t="s">
        <v>3537</v>
      </c>
      <c r="N1734" s="27">
        <f t="shared" si="216"/>
        <v>25</v>
      </c>
      <c r="O1734" s="28">
        <f t="shared" si="217"/>
        <v>4.4021352313167263E-2</v>
      </c>
      <c r="P1734" s="28">
        <f t="shared" si="218"/>
        <v>0.10805712745890596</v>
      </c>
      <c r="Q1734" s="26">
        <f t="shared" si="219"/>
        <v>1.7771085960657507</v>
      </c>
      <c r="R1734" s="29">
        <f t="shared" si="220"/>
        <v>16.446009975062346</v>
      </c>
      <c r="S1734" s="30">
        <f t="shared" si="221"/>
        <v>11</v>
      </c>
      <c r="T1734" s="30">
        <f t="shared" si="222"/>
        <v>2023</v>
      </c>
      <c r="U1734" s="29" t="str">
        <f t="shared" si="223"/>
        <v>November</v>
      </c>
    </row>
    <row r="1735" spans="1:21" ht="17.399999999999999" x14ac:dyDescent="0.3">
      <c r="A1735" s="21" t="s">
        <v>476</v>
      </c>
      <c r="B1735" s="21" t="s">
        <v>477</v>
      </c>
      <c r="C1735" s="23" t="s">
        <v>3515</v>
      </c>
      <c r="D1735" s="21" t="s">
        <v>3520</v>
      </c>
      <c r="E1735" s="24">
        <v>45247</v>
      </c>
      <c r="F1735" s="24">
        <v>45267</v>
      </c>
      <c r="G1735" s="22" t="s">
        <v>11</v>
      </c>
      <c r="H1735" s="25">
        <v>38504</v>
      </c>
      <c r="I1735" s="25">
        <v>910</v>
      </c>
      <c r="J1735" s="26">
        <v>1151.3499999999999</v>
      </c>
      <c r="K1735" s="25">
        <v>172</v>
      </c>
      <c r="L1735" s="21" t="s">
        <v>21</v>
      </c>
      <c r="M1735" s="22" t="s">
        <v>11</v>
      </c>
      <c r="N1735" s="27">
        <f t="shared" si="216"/>
        <v>20</v>
      </c>
      <c r="O1735" s="28">
        <f t="shared" si="217"/>
        <v>2.3633908165385416E-2</v>
      </c>
      <c r="P1735" s="28">
        <f t="shared" si="218"/>
        <v>0.18901098901098901</v>
      </c>
      <c r="Q1735" s="26">
        <f t="shared" si="219"/>
        <v>1.2652197802197802</v>
      </c>
      <c r="R1735" s="29">
        <f t="shared" si="220"/>
        <v>6.6938953488372084</v>
      </c>
      <c r="S1735" s="30">
        <f t="shared" si="221"/>
        <v>11</v>
      </c>
      <c r="T1735" s="30">
        <f t="shared" si="222"/>
        <v>2023</v>
      </c>
      <c r="U1735" s="29" t="str">
        <f t="shared" si="223"/>
        <v>November</v>
      </c>
    </row>
    <row r="1736" spans="1:21" ht="17.399999999999999" x14ac:dyDescent="0.3">
      <c r="A1736" s="21" t="s">
        <v>3220</v>
      </c>
      <c r="B1736" s="22" t="s">
        <v>3996</v>
      </c>
      <c r="C1736" s="23" t="s">
        <v>3515</v>
      </c>
      <c r="D1736" s="22" t="s">
        <v>3545</v>
      </c>
      <c r="E1736" s="24">
        <v>45247</v>
      </c>
      <c r="F1736" s="24">
        <v>45267</v>
      </c>
      <c r="G1736" s="22" t="s">
        <v>11</v>
      </c>
      <c r="H1736" s="25">
        <v>78258</v>
      </c>
      <c r="I1736" s="25">
        <v>1412</v>
      </c>
      <c r="J1736" s="26">
        <v>2814.49</v>
      </c>
      <c r="K1736" s="25">
        <v>253</v>
      </c>
      <c r="L1736" s="21" t="s">
        <v>17</v>
      </c>
      <c r="M1736" s="22" t="s">
        <v>11</v>
      </c>
      <c r="N1736" s="27">
        <f t="shared" si="216"/>
        <v>20</v>
      </c>
      <c r="O1736" s="28">
        <f t="shared" si="217"/>
        <v>1.8042883794628026E-2</v>
      </c>
      <c r="P1736" s="28">
        <f t="shared" si="218"/>
        <v>0.17917847025495751</v>
      </c>
      <c r="Q1736" s="26">
        <f t="shared" si="219"/>
        <v>1.9932648725212463</v>
      </c>
      <c r="R1736" s="29">
        <f t="shared" si="220"/>
        <v>11.124466403162055</v>
      </c>
      <c r="S1736" s="30">
        <f t="shared" si="221"/>
        <v>11</v>
      </c>
      <c r="T1736" s="30">
        <f t="shared" si="222"/>
        <v>2023</v>
      </c>
      <c r="U1736" s="29" t="str">
        <f t="shared" si="223"/>
        <v>November</v>
      </c>
    </row>
    <row r="1737" spans="1:21" ht="17.399999999999999" x14ac:dyDescent="0.3">
      <c r="A1737" s="21" t="s">
        <v>1717</v>
      </c>
      <c r="B1737" s="21" t="s">
        <v>1718</v>
      </c>
      <c r="C1737" s="23" t="s">
        <v>3518</v>
      </c>
      <c r="D1737" s="21" t="s">
        <v>3520</v>
      </c>
      <c r="E1737" s="24">
        <v>45248</v>
      </c>
      <c r="F1737" s="24">
        <v>45274</v>
      </c>
      <c r="G1737" s="22" t="s">
        <v>24</v>
      </c>
      <c r="H1737" s="25">
        <v>91825</v>
      </c>
      <c r="I1737" s="25">
        <v>2890</v>
      </c>
      <c r="J1737" s="26">
        <v>2088.14</v>
      </c>
      <c r="K1737" s="25">
        <v>574</v>
      </c>
      <c r="L1737" s="21" t="s">
        <v>21</v>
      </c>
      <c r="M1737" s="22" t="s">
        <v>3536</v>
      </c>
      <c r="N1737" s="27">
        <f t="shared" si="216"/>
        <v>26</v>
      </c>
      <c r="O1737" s="28">
        <f t="shared" si="217"/>
        <v>3.1472910427443504E-2</v>
      </c>
      <c r="P1737" s="28">
        <f t="shared" si="218"/>
        <v>0.19861591695501729</v>
      </c>
      <c r="Q1737" s="26">
        <f t="shared" si="219"/>
        <v>0.72253979238754318</v>
      </c>
      <c r="R1737" s="29">
        <f t="shared" si="220"/>
        <v>3.63787456445993</v>
      </c>
      <c r="S1737" s="30">
        <f t="shared" si="221"/>
        <v>11</v>
      </c>
      <c r="T1737" s="30">
        <f t="shared" si="222"/>
        <v>2023</v>
      </c>
      <c r="U1737" s="29" t="str">
        <f t="shared" si="223"/>
        <v>November</v>
      </c>
    </row>
    <row r="1738" spans="1:21" ht="17.399999999999999" x14ac:dyDescent="0.3">
      <c r="A1738" s="21" t="s">
        <v>2114</v>
      </c>
      <c r="B1738" s="22" t="s">
        <v>3997</v>
      </c>
      <c r="C1738" s="23" t="s">
        <v>3518</v>
      </c>
      <c r="D1738" s="22" t="s">
        <v>3545</v>
      </c>
      <c r="E1738" s="24">
        <v>45248</v>
      </c>
      <c r="F1738" s="24">
        <v>45267</v>
      </c>
      <c r="G1738" s="22" t="s">
        <v>24</v>
      </c>
      <c r="H1738" s="25">
        <v>86451</v>
      </c>
      <c r="I1738" s="25">
        <v>3051</v>
      </c>
      <c r="J1738" s="26">
        <v>4216.91</v>
      </c>
      <c r="K1738" s="25">
        <v>0</v>
      </c>
      <c r="L1738" s="21" t="s">
        <v>21</v>
      </c>
      <c r="M1738" s="22" t="s">
        <v>3536</v>
      </c>
      <c r="N1738" s="27">
        <f t="shared" si="216"/>
        <v>19</v>
      </c>
      <c r="O1738" s="28">
        <f t="shared" si="217"/>
        <v>3.5291668112572443E-2</v>
      </c>
      <c r="P1738" s="28">
        <f t="shared" si="218"/>
        <v>0</v>
      </c>
      <c r="Q1738" s="26">
        <f t="shared" si="219"/>
        <v>1.3821402818747952</v>
      </c>
      <c r="R1738" s="29" t="str">
        <f t="shared" si="220"/>
        <v>0</v>
      </c>
      <c r="S1738" s="30">
        <f t="shared" si="221"/>
        <v>11</v>
      </c>
      <c r="T1738" s="30">
        <f t="shared" si="222"/>
        <v>2023</v>
      </c>
      <c r="U1738" s="29" t="str">
        <f t="shared" si="223"/>
        <v>November</v>
      </c>
    </row>
    <row r="1739" spans="1:21" ht="17.399999999999999" x14ac:dyDescent="0.3">
      <c r="A1739" s="21" t="s">
        <v>3390</v>
      </c>
      <c r="B1739" s="21" t="s">
        <v>3391</v>
      </c>
      <c r="C1739" s="23" t="s">
        <v>3516</v>
      </c>
      <c r="D1739" s="21" t="s">
        <v>3517</v>
      </c>
      <c r="E1739" s="24">
        <v>45248</v>
      </c>
      <c r="F1739" s="24">
        <v>45267</v>
      </c>
      <c r="G1739" s="22" t="s">
        <v>31</v>
      </c>
      <c r="H1739" s="25">
        <v>7368</v>
      </c>
      <c r="I1739" s="25">
        <v>302</v>
      </c>
      <c r="J1739" s="26">
        <v>179.18</v>
      </c>
      <c r="K1739" s="25">
        <v>33</v>
      </c>
      <c r="L1739" s="21" t="s">
        <v>17</v>
      </c>
      <c r="M1739" s="22" t="s">
        <v>31</v>
      </c>
      <c r="N1739" s="27">
        <f t="shared" si="216"/>
        <v>19</v>
      </c>
      <c r="O1739" s="28">
        <f t="shared" si="217"/>
        <v>4.0988056460369161E-2</v>
      </c>
      <c r="P1739" s="28">
        <f t="shared" si="218"/>
        <v>0.10927152317880795</v>
      </c>
      <c r="Q1739" s="26">
        <f t="shared" si="219"/>
        <v>0.59331125827814568</v>
      </c>
      <c r="R1739" s="29">
        <f t="shared" si="220"/>
        <v>5.4296969696969697</v>
      </c>
      <c r="S1739" s="30">
        <f t="shared" si="221"/>
        <v>11</v>
      </c>
      <c r="T1739" s="30">
        <f t="shared" si="222"/>
        <v>2023</v>
      </c>
      <c r="U1739" s="29" t="str">
        <f t="shared" si="223"/>
        <v>November</v>
      </c>
    </row>
    <row r="1740" spans="1:21" ht="17.399999999999999" x14ac:dyDescent="0.3">
      <c r="A1740" s="21" t="s">
        <v>858</v>
      </c>
      <c r="B1740" s="21" t="s">
        <v>859</v>
      </c>
      <c r="C1740" s="23" t="s">
        <v>3515</v>
      </c>
      <c r="D1740" s="21" t="s">
        <v>3521</v>
      </c>
      <c r="E1740" s="24">
        <v>45248</v>
      </c>
      <c r="F1740" s="24">
        <v>45272</v>
      </c>
      <c r="G1740" s="22" t="s">
        <v>16</v>
      </c>
      <c r="H1740" s="25">
        <v>46543</v>
      </c>
      <c r="I1740" s="25">
        <v>1325</v>
      </c>
      <c r="J1740" s="26">
        <v>1504.3</v>
      </c>
      <c r="K1740" s="25">
        <v>221</v>
      </c>
      <c r="L1740" s="21" t="s">
        <v>17</v>
      </c>
      <c r="M1740" s="22" t="s">
        <v>16</v>
      </c>
      <c r="N1740" s="27">
        <f t="shared" si="216"/>
        <v>24</v>
      </c>
      <c r="O1740" s="28">
        <f t="shared" si="217"/>
        <v>2.8468298132909353E-2</v>
      </c>
      <c r="P1740" s="28">
        <f t="shared" si="218"/>
        <v>0.16679245283018868</v>
      </c>
      <c r="Q1740" s="26">
        <f t="shared" si="219"/>
        <v>1.135320754716981</v>
      </c>
      <c r="R1740" s="29">
        <f t="shared" si="220"/>
        <v>6.8067873303167419</v>
      </c>
      <c r="S1740" s="30">
        <f t="shared" si="221"/>
        <v>11</v>
      </c>
      <c r="T1740" s="30">
        <f t="shared" si="222"/>
        <v>2023</v>
      </c>
      <c r="U1740" s="29" t="str">
        <f t="shared" si="223"/>
        <v>November</v>
      </c>
    </row>
    <row r="1741" spans="1:21" ht="17.399999999999999" x14ac:dyDescent="0.3">
      <c r="A1741" s="21" t="s">
        <v>1122</v>
      </c>
      <c r="B1741" s="22" t="s">
        <v>3998</v>
      </c>
      <c r="C1741" s="23" t="s">
        <v>3515</v>
      </c>
      <c r="D1741" s="22" t="s">
        <v>3545</v>
      </c>
      <c r="E1741" s="24">
        <v>45248</v>
      </c>
      <c r="F1741" s="24">
        <v>45271</v>
      </c>
      <c r="G1741" s="22" t="s">
        <v>16</v>
      </c>
      <c r="H1741" s="25">
        <v>61921</v>
      </c>
      <c r="I1741" s="25">
        <v>2517</v>
      </c>
      <c r="J1741" s="26">
        <v>2257.1799999999998</v>
      </c>
      <c r="K1741" s="25">
        <v>137</v>
      </c>
      <c r="L1741" s="21" t="s">
        <v>17</v>
      </c>
      <c r="M1741" s="22" t="s">
        <v>16</v>
      </c>
      <c r="N1741" s="27">
        <f t="shared" si="216"/>
        <v>23</v>
      </c>
      <c r="O1741" s="28">
        <f t="shared" si="217"/>
        <v>4.0648568337074663E-2</v>
      </c>
      <c r="P1741" s="28">
        <f t="shared" si="218"/>
        <v>5.4429876837504963E-2</v>
      </c>
      <c r="Q1741" s="26">
        <f t="shared" si="219"/>
        <v>0.89677393722685728</v>
      </c>
      <c r="R1741" s="29">
        <f t="shared" si="220"/>
        <v>16.475766423357662</v>
      </c>
      <c r="S1741" s="30">
        <f t="shared" si="221"/>
        <v>11</v>
      </c>
      <c r="T1741" s="30">
        <f t="shared" si="222"/>
        <v>2023</v>
      </c>
      <c r="U1741" s="29" t="str">
        <f t="shared" si="223"/>
        <v>November</v>
      </c>
    </row>
    <row r="1742" spans="1:21" ht="17.399999999999999" x14ac:dyDescent="0.3">
      <c r="A1742" s="21" t="s">
        <v>2863</v>
      </c>
      <c r="B1742" s="21" t="s">
        <v>2864</v>
      </c>
      <c r="C1742" s="23" t="s">
        <v>3519</v>
      </c>
      <c r="D1742" s="21" t="s">
        <v>3521</v>
      </c>
      <c r="E1742" s="24">
        <v>45249</v>
      </c>
      <c r="F1742" s="24">
        <v>45264</v>
      </c>
      <c r="G1742" s="22" t="s">
        <v>31</v>
      </c>
      <c r="H1742" s="25">
        <v>98659</v>
      </c>
      <c r="I1742" s="25">
        <v>1374</v>
      </c>
      <c r="J1742" s="26">
        <v>815.83</v>
      </c>
      <c r="K1742" s="25">
        <v>87</v>
      </c>
      <c r="L1742" s="21" t="s">
        <v>21</v>
      </c>
      <c r="M1742" s="22" t="s">
        <v>31</v>
      </c>
      <c r="N1742" s="27">
        <f t="shared" si="216"/>
        <v>15</v>
      </c>
      <c r="O1742" s="28">
        <f t="shared" si="217"/>
        <v>1.3926757822398363E-2</v>
      </c>
      <c r="P1742" s="28">
        <f t="shared" si="218"/>
        <v>6.3318777292576414E-2</v>
      </c>
      <c r="Q1742" s="26">
        <f t="shared" si="219"/>
        <v>0.59376273653566236</v>
      </c>
      <c r="R1742" s="29">
        <f t="shared" si="220"/>
        <v>9.3773563218390805</v>
      </c>
      <c r="S1742" s="30">
        <f t="shared" si="221"/>
        <v>11</v>
      </c>
      <c r="T1742" s="30">
        <f t="shared" si="222"/>
        <v>2023</v>
      </c>
      <c r="U1742" s="29" t="str">
        <f t="shared" si="223"/>
        <v>November</v>
      </c>
    </row>
    <row r="1743" spans="1:21" ht="17.399999999999999" x14ac:dyDescent="0.3">
      <c r="A1743" s="21" t="s">
        <v>3273</v>
      </c>
      <c r="B1743" s="21" t="s">
        <v>3274</v>
      </c>
      <c r="C1743" s="23" t="s">
        <v>3518</v>
      </c>
      <c r="D1743" s="21" t="s">
        <v>3520</v>
      </c>
      <c r="E1743" s="24">
        <v>45249</v>
      </c>
      <c r="F1743" s="24">
        <v>45272</v>
      </c>
      <c r="G1743" s="22" t="s">
        <v>14</v>
      </c>
      <c r="H1743" s="25">
        <v>69916</v>
      </c>
      <c r="I1743" s="25">
        <v>1458</v>
      </c>
      <c r="J1743" s="26">
        <v>1244.23</v>
      </c>
      <c r="K1743" s="25">
        <v>130</v>
      </c>
      <c r="L1743" s="21" t="s">
        <v>17</v>
      </c>
      <c r="M1743" s="22" t="s">
        <v>3537</v>
      </c>
      <c r="N1743" s="27">
        <f t="shared" si="216"/>
        <v>23</v>
      </c>
      <c r="O1743" s="28">
        <f t="shared" si="217"/>
        <v>2.0853595743463585E-2</v>
      </c>
      <c r="P1743" s="28">
        <f t="shared" si="218"/>
        <v>8.9163237311385465E-2</v>
      </c>
      <c r="Q1743" s="26">
        <f t="shared" si="219"/>
        <v>0.8533813443072702</v>
      </c>
      <c r="R1743" s="29">
        <f t="shared" si="220"/>
        <v>9.5709999999999997</v>
      </c>
      <c r="S1743" s="30">
        <f t="shared" si="221"/>
        <v>11</v>
      </c>
      <c r="T1743" s="30">
        <f t="shared" si="222"/>
        <v>2023</v>
      </c>
      <c r="U1743" s="29" t="str">
        <f t="shared" si="223"/>
        <v>November</v>
      </c>
    </row>
    <row r="1744" spans="1:21" ht="17.399999999999999" x14ac:dyDescent="0.3">
      <c r="A1744" s="21" t="s">
        <v>1816</v>
      </c>
      <c r="B1744" s="21" t="s">
        <v>1817</v>
      </c>
      <c r="C1744" s="23" t="s">
        <v>3519</v>
      </c>
      <c r="D1744" s="21" t="s">
        <v>3521</v>
      </c>
      <c r="E1744" s="24">
        <v>45249</v>
      </c>
      <c r="F1744" s="24">
        <v>45254</v>
      </c>
      <c r="G1744" s="22" t="s">
        <v>16</v>
      </c>
      <c r="H1744" s="25">
        <v>80579</v>
      </c>
      <c r="I1744" s="25">
        <v>2424</v>
      </c>
      <c r="J1744" s="26">
        <v>2906.8</v>
      </c>
      <c r="K1744" s="25">
        <v>484</v>
      </c>
      <c r="L1744" s="21" t="s">
        <v>21</v>
      </c>
      <c r="M1744" s="22" t="s">
        <v>16</v>
      </c>
      <c r="N1744" s="27">
        <f t="shared" si="216"/>
        <v>5</v>
      </c>
      <c r="O1744" s="28">
        <f t="shared" si="217"/>
        <v>3.0082279502103525E-2</v>
      </c>
      <c r="P1744" s="28">
        <f t="shared" si="218"/>
        <v>0.19966996699669967</v>
      </c>
      <c r="Q1744" s="26">
        <f t="shared" si="219"/>
        <v>1.1991749174917492</v>
      </c>
      <c r="R1744" s="29">
        <f t="shared" si="220"/>
        <v>6.0057851239669429</v>
      </c>
      <c r="S1744" s="30">
        <f t="shared" si="221"/>
        <v>11</v>
      </c>
      <c r="T1744" s="30">
        <f t="shared" si="222"/>
        <v>2023</v>
      </c>
      <c r="U1744" s="29" t="str">
        <f t="shared" si="223"/>
        <v>November</v>
      </c>
    </row>
    <row r="1745" spans="1:21" ht="17.399999999999999" x14ac:dyDescent="0.3">
      <c r="A1745" s="21" t="s">
        <v>1697</v>
      </c>
      <c r="B1745" s="21" t="s">
        <v>1698</v>
      </c>
      <c r="C1745" s="23" t="s">
        <v>3518</v>
      </c>
      <c r="D1745" s="21" t="s">
        <v>3517</v>
      </c>
      <c r="E1745" s="24">
        <v>45250</v>
      </c>
      <c r="F1745" s="24">
        <v>45260</v>
      </c>
      <c r="G1745" s="22" t="s">
        <v>16</v>
      </c>
      <c r="H1745" s="25">
        <v>83838</v>
      </c>
      <c r="I1745" s="25">
        <v>971</v>
      </c>
      <c r="J1745" s="26">
        <v>1388.48</v>
      </c>
      <c r="K1745" s="25">
        <v>122</v>
      </c>
      <c r="L1745" s="21" t="s">
        <v>17</v>
      </c>
      <c r="M1745" s="22" t="s">
        <v>16</v>
      </c>
      <c r="N1745" s="27">
        <f t="shared" si="216"/>
        <v>10</v>
      </c>
      <c r="O1745" s="28">
        <f t="shared" si="217"/>
        <v>1.1581860254299959E-2</v>
      </c>
      <c r="P1745" s="28">
        <f t="shared" si="218"/>
        <v>0.12564366632337795</v>
      </c>
      <c r="Q1745" s="26">
        <f t="shared" si="219"/>
        <v>1.4299485066941298</v>
      </c>
      <c r="R1745" s="29">
        <f t="shared" si="220"/>
        <v>11.380983606557377</v>
      </c>
      <c r="S1745" s="30">
        <f t="shared" si="221"/>
        <v>11</v>
      </c>
      <c r="T1745" s="30">
        <f t="shared" si="222"/>
        <v>2023</v>
      </c>
      <c r="U1745" s="29" t="str">
        <f t="shared" si="223"/>
        <v>November</v>
      </c>
    </row>
    <row r="1746" spans="1:21" ht="17.399999999999999" x14ac:dyDescent="0.3">
      <c r="A1746" s="21" t="s">
        <v>2439</v>
      </c>
      <c r="B1746" s="21" t="s">
        <v>2440</v>
      </c>
      <c r="C1746" s="23" t="s">
        <v>3516</v>
      </c>
      <c r="D1746" s="21" t="s">
        <v>3520</v>
      </c>
      <c r="E1746" s="24">
        <v>45250</v>
      </c>
      <c r="F1746" s="24">
        <v>45269</v>
      </c>
      <c r="G1746" s="22" t="s">
        <v>31</v>
      </c>
      <c r="H1746" s="25">
        <v>28856</v>
      </c>
      <c r="I1746" s="25">
        <v>683</v>
      </c>
      <c r="J1746" s="26">
        <v>1031.55</v>
      </c>
      <c r="K1746" s="25">
        <v>68</v>
      </c>
      <c r="L1746" s="21" t="s">
        <v>21</v>
      </c>
      <c r="M1746" s="22" t="s">
        <v>31</v>
      </c>
      <c r="N1746" s="27">
        <f t="shared" si="216"/>
        <v>19</v>
      </c>
      <c r="O1746" s="28">
        <f t="shared" si="217"/>
        <v>2.3669254227890214E-2</v>
      </c>
      <c r="P1746" s="28">
        <f t="shared" si="218"/>
        <v>9.9560761346998539E-2</v>
      </c>
      <c r="Q1746" s="26">
        <f t="shared" si="219"/>
        <v>1.5103221083455343</v>
      </c>
      <c r="R1746" s="29">
        <f t="shared" si="220"/>
        <v>15.169852941176471</v>
      </c>
      <c r="S1746" s="30">
        <f t="shared" si="221"/>
        <v>11</v>
      </c>
      <c r="T1746" s="30">
        <f t="shared" si="222"/>
        <v>2023</v>
      </c>
      <c r="U1746" s="29" t="str">
        <f t="shared" si="223"/>
        <v>November</v>
      </c>
    </row>
    <row r="1747" spans="1:21" ht="17.399999999999999" x14ac:dyDescent="0.3">
      <c r="A1747" s="21" t="s">
        <v>2618</v>
      </c>
      <c r="B1747" s="21" t="s">
        <v>2619</v>
      </c>
      <c r="C1747" s="23" t="s">
        <v>3516</v>
      </c>
      <c r="D1747" s="21" t="s">
        <v>3520</v>
      </c>
      <c r="E1747" s="24">
        <v>45250</v>
      </c>
      <c r="F1747" s="24">
        <v>45253</v>
      </c>
      <c r="G1747" s="22" t="s">
        <v>31</v>
      </c>
      <c r="H1747" s="25">
        <v>21581</v>
      </c>
      <c r="I1747" s="25">
        <v>416</v>
      </c>
      <c r="J1747" s="26">
        <v>482.6</v>
      </c>
      <c r="K1747" s="25">
        <v>27</v>
      </c>
      <c r="L1747" s="21" t="s">
        <v>21</v>
      </c>
      <c r="M1747" s="22" t="s">
        <v>31</v>
      </c>
      <c r="N1747" s="27">
        <f t="shared" si="216"/>
        <v>3</v>
      </c>
      <c r="O1747" s="28">
        <f t="shared" si="217"/>
        <v>1.9276215189286874E-2</v>
      </c>
      <c r="P1747" s="28">
        <f t="shared" si="218"/>
        <v>6.4903846153846159E-2</v>
      </c>
      <c r="Q1747" s="26">
        <f t="shared" si="219"/>
        <v>1.1600961538461538</v>
      </c>
      <c r="R1747" s="29">
        <f t="shared" si="220"/>
        <v>17.874074074074073</v>
      </c>
      <c r="S1747" s="30">
        <f t="shared" si="221"/>
        <v>11</v>
      </c>
      <c r="T1747" s="30">
        <f t="shared" si="222"/>
        <v>2023</v>
      </c>
      <c r="U1747" s="29" t="str">
        <f t="shared" si="223"/>
        <v>November</v>
      </c>
    </row>
    <row r="1748" spans="1:21" ht="17.399999999999999" x14ac:dyDescent="0.3">
      <c r="A1748" s="21" t="s">
        <v>2251</v>
      </c>
      <c r="B1748" s="21" t="s">
        <v>2252</v>
      </c>
      <c r="C1748" s="23" t="s">
        <v>3515</v>
      </c>
      <c r="D1748" s="21" t="s">
        <v>3517</v>
      </c>
      <c r="E1748" s="24">
        <v>45250</v>
      </c>
      <c r="F1748" s="24">
        <v>45254</v>
      </c>
      <c r="G1748" s="22" t="s">
        <v>11</v>
      </c>
      <c r="H1748" s="25">
        <v>42949</v>
      </c>
      <c r="I1748" s="25">
        <v>1844</v>
      </c>
      <c r="J1748" s="26">
        <v>2369.7399999999998</v>
      </c>
      <c r="K1748" s="25">
        <v>215</v>
      </c>
      <c r="L1748" s="21" t="s">
        <v>21</v>
      </c>
      <c r="M1748" s="22" t="s">
        <v>11</v>
      </c>
      <c r="N1748" s="27">
        <f t="shared" si="216"/>
        <v>4</v>
      </c>
      <c r="O1748" s="28">
        <f t="shared" si="217"/>
        <v>4.2934643414282055E-2</v>
      </c>
      <c r="P1748" s="28">
        <f t="shared" si="218"/>
        <v>0.11659436008676789</v>
      </c>
      <c r="Q1748" s="26">
        <f t="shared" si="219"/>
        <v>1.2851084598698481</v>
      </c>
      <c r="R1748" s="29">
        <f t="shared" si="220"/>
        <v>11.022046511627906</v>
      </c>
      <c r="S1748" s="30">
        <f t="shared" si="221"/>
        <v>11</v>
      </c>
      <c r="T1748" s="30">
        <f t="shared" si="222"/>
        <v>2023</v>
      </c>
      <c r="U1748" s="29" t="str">
        <f t="shared" si="223"/>
        <v>November</v>
      </c>
    </row>
    <row r="1749" spans="1:21" ht="17.399999999999999" x14ac:dyDescent="0.3">
      <c r="A1749" s="21" t="s">
        <v>200</v>
      </c>
      <c r="B1749" s="21" t="s">
        <v>201</v>
      </c>
      <c r="C1749" s="23" t="s">
        <v>3519</v>
      </c>
      <c r="D1749" s="21" t="s">
        <v>3517</v>
      </c>
      <c r="E1749" s="24">
        <v>45251</v>
      </c>
      <c r="F1749" s="24">
        <v>45281</v>
      </c>
      <c r="G1749" s="22" t="s">
        <v>11</v>
      </c>
      <c r="H1749" s="25">
        <v>14986</v>
      </c>
      <c r="I1749" s="25">
        <v>235</v>
      </c>
      <c r="J1749" s="26">
        <v>318.24</v>
      </c>
      <c r="K1749" s="25">
        <v>25</v>
      </c>
      <c r="L1749" s="21" t="s">
        <v>21</v>
      </c>
      <c r="M1749" s="22" t="s">
        <v>11</v>
      </c>
      <c r="N1749" s="27">
        <f t="shared" si="216"/>
        <v>30</v>
      </c>
      <c r="O1749" s="28">
        <f t="shared" si="217"/>
        <v>1.5681302549045775E-2</v>
      </c>
      <c r="P1749" s="28">
        <f t="shared" si="218"/>
        <v>0.10638297872340426</v>
      </c>
      <c r="Q1749" s="26">
        <f t="shared" si="219"/>
        <v>1.3542127659574468</v>
      </c>
      <c r="R1749" s="29">
        <f t="shared" si="220"/>
        <v>12.7296</v>
      </c>
      <c r="S1749" s="30">
        <f t="shared" si="221"/>
        <v>11</v>
      </c>
      <c r="T1749" s="30">
        <f t="shared" si="222"/>
        <v>2023</v>
      </c>
      <c r="U1749" s="29" t="str">
        <f t="shared" si="223"/>
        <v>November</v>
      </c>
    </row>
    <row r="1750" spans="1:21" ht="17.399999999999999" x14ac:dyDescent="0.3">
      <c r="A1750" s="21" t="s">
        <v>2797</v>
      </c>
      <c r="B1750" s="21" t="s">
        <v>2798</v>
      </c>
      <c r="C1750" s="23" t="s">
        <v>3519</v>
      </c>
      <c r="D1750" s="21" t="s">
        <v>3521</v>
      </c>
      <c r="E1750" s="24">
        <v>45251</v>
      </c>
      <c r="F1750" s="24">
        <v>45259</v>
      </c>
      <c r="G1750" s="22" t="s">
        <v>11</v>
      </c>
      <c r="H1750" s="25">
        <v>62916</v>
      </c>
      <c r="I1750" s="25">
        <v>1675</v>
      </c>
      <c r="J1750" s="26">
        <v>1343.18</v>
      </c>
      <c r="K1750" s="25">
        <v>252</v>
      </c>
      <c r="L1750" s="21" t="s">
        <v>17</v>
      </c>
      <c r="M1750" s="22" t="s">
        <v>11</v>
      </c>
      <c r="N1750" s="27">
        <f t="shared" si="216"/>
        <v>8</v>
      </c>
      <c r="O1750" s="28">
        <f t="shared" si="217"/>
        <v>2.662279865217115E-2</v>
      </c>
      <c r="P1750" s="28">
        <f t="shared" si="218"/>
        <v>0.15044776119402986</v>
      </c>
      <c r="Q1750" s="26">
        <f t="shared" si="219"/>
        <v>0.80189850746268665</v>
      </c>
      <c r="R1750" s="29">
        <f t="shared" si="220"/>
        <v>5.3300793650793654</v>
      </c>
      <c r="S1750" s="30">
        <f t="shared" si="221"/>
        <v>11</v>
      </c>
      <c r="T1750" s="30">
        <f t="shared" si="222"/>
        <v>2023</v>
      </c>
      <c r="U1750" s="29" t="str">
        <f t="shared" si="223"/>
        <v>November</v>
      </c>
    </row>
    <row r="1751" spans="1:21" ht="17.399999999999999" x14ac:dyDescent="0.3">
      <c r="A1751" s="21" t="s">
        <v>1822</v>
      </c>
      <c r="B1751" s="21" t="s">
        <v>1823</v>
      </c>
      <c r="C1751" s="23" t="s">
        <v>3518</v>
      </c>
      <c r="D1751" s="21" t="s">
        <v>3521</v>
      </c>
      <c r="E1751" s="24">
        <v>45251</v>
      </c>
      <c r="F1751" s="24">
        <v>45273</v>
      </c>
      <c r="G1751" s="22" t="s">
        <v>31</v>
      </c>
      <c r="H1751" s="25">
        <v>85471</v>
      </c>
      <c r="I1751" s="25">
        <v>1442</v>
      </c>
      <c r="J1751" s="26">
        <v>2594.79</v>
      </c>
      <c r="K1751" s="25">
        <v>239</v>
      </c>
      <c r="L1751" s="21" t="s">
        <v>17</v>
      </c>
      <c r="M1751" s="22" t="s">
        <v>31</v>
      </c>
      <c r="N1751" s="27">
        <f t="shared" si="216"/>
        <v>22</v>
      </c>
      <c r="O1751" s="28">
        <f t="shared" si="217"/>
        <v>1.6871219477951584E-2</v>
      </c>
      <c r="P1751" s="28">
        <f t="shared" si="218"/>
        <v>0.16574202496532595</v>
      </c>
      <c r="Q1751" s="26">
        <f t="shared" si="219"/>
        <v>1.7994382801664355</v>
      </c>
      <c r="R1751" s="29">
        <f t="shared" si="220"/>
        <v>10.856861924686193</v>
      </c>
      <c r="S1751" s="30">
        <f t="shared" si="221"/>
        <v>11</v>
      </c>
      <c r="T1751" s="30">
        <f t="shared" si="222"/>
        <v>2023</v>
      </c>
      <c r="U1751" s="29" t="str">
        <f t="shared" si="223"/>
        <v>November</v>
      </c>
    </row>
    <row r="1752" spans="1:21" ht="17.399999999999999" x14ac:dyDescent="0.3">
      <c r="A1752" s="21" t="s">
        <v>2400</v>
      </c>
      <c r="B1752" s="21" t="s">
        <v>2401</v>
      </c>
      <c r="C1752" s="23" t="s">
        <v>3518</v>
      </c>
      <c r="D1752" s="21" t="s">
        <v>3517</v>
      </c>
      <c r="E1752" s="24">
        <v>45251</v>
      </c>
      <c r="F1752" s="24">
        <v>45275</v>
      </c>
      <c r="G1752" s="22" t="s">
        <v>31</v>
      </c>
      <c r="H1752" s="25">
        <v>16358</v>
      </c>
      <c r="I1752" s="25">
        <v>184</v>
      </c>
      <c r="J1752" s="26">
        <v>343.58</v>
      </c>
      <c r="K1752" s="25">
        <v>28</v>
      </c>
      <c r="L1752" s="21" t="s">
        <v>21</v>
      </c>
      <c r="M1752" s="22" t="s">
        <v>31</v>
      </c>
      <c r="N1752" s="27">
        <f t="shared" si="216"/>
        <v>24</v>
      </c>
      <c r="O1752" s="28">
        <f t="shared" si="217"/>
        <v>1.1248318865386967E-2</v>
      </c>
      <c r="P1752" s="28">
        <f t="shared" si="218"/>
        <v>0.15217391304347827</v>
      </c>
      <c r="Q1752" s="26">
        <f t="shared" si="219"/>
        <v>1.867282608695652</v>
      </c>
      <c r="R1752" s="29">
        <f t="shared" si="220"/>
        <v>12.270714285714286</v>
      </c>
      <c r="S1752" s="30">
        <f t="shared" si="221"/>
        <v>11</v>
      </c>
      <c r="T1752" s="30">
        <f t="shared" si="222"/>
        <v>2023</v>
      </c>
      <c r="U1752" s="29" t="str">
        <f t="shared" si="223"/>
        <v>November</v>
      </c>
    </row>
    <row r="1753" spans="1:21" ht="17.399999999999999" x14ac:dyDescent="0.3">
      <c r="A1753" s="21" t="s">
        <v>1528</v>
      </c>
      <c r="B1753" s="21" t="s">
        <v>1529</v>
      </c>
      <c r="C1753" s="23" t="s">
        <v>3516</v>
      </c>
      <c r="D1753" s="21" t="s">
        <v>3517</v>
      </c>
      <c r="E1753" s="24">
        <v>45251</v>
      </c>
      <c r="F1753" s="24">
        <v>45267</v>
      </c>
      <c r="G1753" s="22" t="s">
        <v>14</v>
      </c>
      <c r="H1753" s="25">
        <v>66215</v>
      </c>
      <c r="I1753" s="25">
        <v>2673</v>
      </c>
      <c r="J1753" s="26">
        <v>2798.65</v>
      </c>
      <c r="K1753" s="25">
        <v>230</v>
      </c>
      <c r="L1753" s="21" t="s">
        <v>21</v>
      </c>
      <c r="M1753" s="22" t="s">
        <v>3537</v>
      </c>
      <c r="N1753" s="27">
        <f t="shared" si="216"/>
        <v>16</v>
      </c>
      <c r="O1753" s="28">
        <f t="shared" si="217"/>
        <v>4.036849656422261E-2</v>
      </c>
      <c r="P1753" s="28">
        <f t="shared" si="218"/>
        <v>8.6045641601197154E-2</v>
      </c>
      <c r="Q1753" s="26">
        <f t="shared" si="219"/>
        <v>1.0470071081182193</v>
      </c>
      <c r="R1753" s="29">
        <f t="shared" si="220"/>
        <v>12.16804347826087</v>
      </c>
      <c r="S1753" s="30">
        <f t="shared" si="221"/>
        <v>11</v>
      </c>
      <c r="T1753" s="30">
        <f t="shared" si="222"/>
        <v>2023</v>
      </c>
      <c r="U1753" s="29" t="str">
        <f t="shared" si="223"/>
        <v>November</v>
      </c>
    </row>
    <row r="1754" spans="1:21" ht="17.399999999999999" x14ac:dyDescent="0.3">
      <c r="A1754" s="21" t="s">
        <v>2414</v>
      </c>
      <c r="B1754" s="22" t="s">
        <v>3999</v>
      </c>
      <c r="C1754" s="23" t="s">
        <v>3516</v>
      </c>
      <c r="D1754" s="22" t="s">
        <v>3545</v>
      </c>
      <c r="E1754" s="24">
        <v>45251</v>
      </c>
      <c r="F1754" s="24">
        <v>45270</v>
      </c>
      <c r="G1754" s="22" t="s">
        <v>3535</v>
      </c>
      <c r="H1754" s="25">
        <v>64197</v>
      </c>
      <c r="I1754" s="25">
        <v>748</v>
      </c>
      <c r="J1754" s="26">
        <v>893.03</v>
      </c>
      <c r="K1754" s="25">
        <v>91</v>
      </c>
      <c r="L1754" s="21" t="s">
        <v>21</v>
      </c>
      <c r="M1754" s="22" t="s">
        <v>3535</v>
      </c>
      <c r="N1754" s="27">
        <f t="shared" si="216"/>
        <v>19</v>
      </c>
      <c r="O1754" s="28">
        <f t="shared" si="217"/>
        <v>1.1651634811595557E-2</v>
      </c>
      <c r="P1754" s="28">
        <f t="shared" si="218"/>
        <v>0.12165775401069519</v>
      </c>
      <c r="Q1754" s="26">
        <f t="shared" si="219"/>
        <v>1.1938903743315508</v>
      </c>
      <c r="R1754" s="29">
        <f t="shared" si="220"/>
        <v>9.8135164835164836</v>
      </c>
      <c r="S1754" s="30">
        <f t="shared" si="221"/>
        <v>11</v>
      </c>
      <c r="T1754" s="30">
        <f t="shared" si="222"/>
        <v>2023</v>
      </c>
      <c r="U1754" s="29" t="str">
        <f t="shared" si="223"/>
        <v>November</v>
      </c>
    </row>
    <row r="1755" spans="1:21" ht="17.399999999999999" x14ac:dyDescent="0.3">
      <c r="A1755" s="21" t="s">
        <v>1518</v>
      </c>
      <c r="B1755" s="21" t="s">
        <v>1519</v>
      </c>
      <c r="C1755" s="23" t="s">
        <v>3515</v>
      </c>
      <c r="D1755" s="21" t="s">
        <v>3520</v>
      </c>
      <c r="E1755" s="24">
        <v>45251</v>
      </c>
      <c r="F1755" s="24">
        <v>45263</v>
      </c>
      <c r="G1755" s="22" t="s">
        <v>24</v>
      </c>
      <c r="H1755" s="25">
        <v>78709</v>
      </c>
      <c r="I1755" s="25">
        <v>3514</v>
      </c>
      <c r="J1755" s="26">
        <v>4268.43</v>
      </c>
      <c r="K1755" s="25">
        <v>0</v>
      </c>
      <c r="L1755" s="21" t="s">
        <v>21</v>
      </c>
      <c r="M1755" s="22" t="s">
        <v>3536</v>
      </c>
      <c r="N1755" s="27">
        <f t="shared" si="216"/>
        <v>12</v>
      </c>
      <c r="O1755" s="28">
        <f t="shared" si="217"/>
        <v>4.4645466210979687E-2</v>
      </c>
      <c r="P1755" s="28">
        <f t="shared" si="218"/>
        <v>0</v>
      </c>
      <c r="Q1755" s="26">
        <f t="shared" si="219"/>
        <v>1.21469265793967</v>
      </c>
      <c r="R1755" s="29" t="str">
        <f t="shared" si="220"/>
        <v>0</v>
      </c>
      <c r="S1755" s="30">
        <f t="shared" si="221"/>
        <v>11</v>
      </c>
      <c r="T1755" s="30">
        <f t="shared" si="222"/>
        <v>2023</v>
      </c>
      <c r="U1755" s="29" t="str">
        <f t="shared" si="223"/>
        <v>November</v>
      </c>
    </row>
    <row r="1756" spans="1:21" ht="17.399999999999999" x14ac:dyDescent="0.3">
      <c r="A1756" s="21" t="s">
        <v>1719</v>
      </c>
      <c r="B1756" s="21" t="s">
        <v>1720</v>
      </c>
      <c r="C1756" s="23" t="s">
        <v>3515</v>
      </c>
      <c r="D1756" s="21" t="s">
        <v>3520</v>
      </c>
      <c r="E1756" s="24">
        <v>45251</v>
      </c>
      <c r="F1756" s="24">
        <v>45274</v>
      </c>
      <c r="G1756" s="22" t="s">
        <v>31</v>
      </c>
      <c r="H1756" s="25">
        <v>2062</v>
      </c>
      <c r="I1756" s="25">
        <v>91</v>
      </c>
      <c r="J1756" s="26">
        <v>68.989999999999995</v>
      </c>
      <c r="K1756" s="25">
        <v>14</v>
      </c>
      <c r="L1756" s="21" t="s">
        <v>21</v>
      </c>
      <c r="M1756" s="22" t="s">
        <v>31</v>
      </c>
      <c r="N1756" s="27">
        <f t="shared" si="216"/>
        <v>23</v>
      </c>
      <c r="O1756" s="28">
        <f t="shared" si="217"/>
        <v>4.4131910766246361E-2</v>
      </c>
      <c r="P1756" s="28">
        <f t="shared" si="218"/>
        <v>0.15384615384615385</v>
      </c>
      <c r="Q1756" s="26">
        <f t="shared" si="219"/>
        <v>0.75813186813186806</v>
      </c>
      <c r="R1756" s="29">
        <f t="shared" si="220"/>
        <v>4.9278571428571425</v>
      </c>
      <c r="S1756" s="30">
        <f t="shared" si="221"/>
        <v>11</v>
      </c>
      <c r="T1756" s="30">
        <f t="shared" si="222"/>
        <v>2023</v>
      </c>
      <c r="U1756" s="29" t="str">
        <f t="shared" si="223"/>
        <v>November</v>
      </c>
    </row>
    <row r="1757" spans="1:21" ht="17.399999999999999" x14ac:dyDescent="0.3">
      <c r="A1757" s="21" t="s">
        <v>3092</v>
      </c>
      <c r="B1757" s="22" t="s">
        <v>4000</v>
      </c>
      <c r="C1757" s="23" t="s">
        <v>3515</v>
      </c>
      <c r="D1757" s="22" t="s">
        <v>3545</v>
      </c>
      <c r="E1757" s="24">
        <v>45251</v>
      </c>
      <c r="F1757" s="24">
        <v>45259</v>
      </c>
      <c r="G1757" s="22" t="s">
        <v>24</v>
      </c>
      <c r="H1757" s="25">
        <v>88263</v>
      </c>
      <c r="I1757" s="25">
        <v>2201</v>
      </c>
      <c r="J1757" s="26">
        <v>1943.55</v>
      </c>
      <c r="K1757" s="25">
        <v>0</v>
      </c>
      <c r="L1757" s="21" t="s">
        <v>17</v>
      </c>
      <c r="M1757" s="22" t="s">
        <v>3536</v>
      </c>
      <c r="N1757" s="27">
        <f t="shared" si="216"/>
        <v>8</v>
      </c>
      <c r="O1757" s="28">
        <f t="shared" si="217"/>
        <v>2.4936836500005666E-2</v>
      </c>
      <c r="P1757" s="28">
        <f t="shared" si="218"/>
        <v>0</v>
      </c>
      <c r="Q1757" s="26">
        <f t="shared" si="219"/>
        <v>0.88303044070876868</v>
      </c>
      <c r="R1757" s="29" t="str">
        <f t="shared" si="220"/>
        <v>0</v>
      </c>
      <c r="S1757" s="30">
        <f t="shared" si="221"/>
        <v>11</v>
      </c>
      <c r="T1757" s="30">
        <f t="shared" si="222"/>
        <v>2023</v>
      </c>
      <c r="U1757" s="29" t="str">
        <f t="shared" si="223"/>
        <v>November</v>
      </c>
    </row>
    <row r="1758" spans="1:21" ht="17.399999999999999" x14ac:dyDescent="0.3">
      <c r="A1758" s="21" t="s">
        <v>394</v>
      </c>
      <c r="B1758" s="22" t="s">
        <v>4001</v>
      </c>
      <c r="C1758" s="23" t="s">
        <v>3519</v>
      </c>
      <c r="D1758" s="22" t="s">
        <v>3545</v>
      </c>
      <c r="E1758" s="24">
        <v>45252</v>
      </c>
      <c r="F1758" s="24">
        <v>45277</v>
      </c>
      <c r="G1758" s="22" t="s">
        <v>11</v>
      </c>
      <c r="H1758" s="25">
        <v>95209</v>
      </c>
      <c r="I1758" s="25">
        <v>4447</v>
      </c>
      <c r="J1758" s="26">
        <v>2733.66</v>
      </c>
      <c r="K1758" s="25">
        <v>717</v>
      </c>
      <c r="L1758" s="21" t="s">
        <v>21</v>
      </c>
      <c r="M1758" s="22" t="s">
        <v>11</v>
      </c>
      <c r="N1758" s="27">
        <f t="shared" si="216"/>
        <v>25</v>
      </c>
      <c r="O1758" s="28">
        <f t="shared" si="217"/>
        <v>4.6707769223497779E-2</v>
      </c>
      <c r="P1758" s="28">
        <f t="shared" si="218"/>
        <v>0.16123229143242634</v>
      </c>
      <c r="Q1758" s="26">
        <f t="shared" si="219"/>
        <v>0.61472003597931191</v>
      </c>
      <c r="R1758" s="29">
        <f t="shared" si="220"/>
        <v>3.8126359832635983</v>
      </c>
      <c r="S1758" s="30">
        <f t="shared" si="221"/>
        <v>11</v>
      </c>
      <c r="T1758" s="30">
        <f t="shared" si="222"/>
        <v>2023</v>
      </c>
      <c r="U1758" s="29" t="str">
        <f t="shared" si="223"/>
        <v>November</v>
      </c>
    </row>
    <row r="1759" spans="1:21" ht="17.399999999999999" x14ac:dyDescent="0.3">
      <c r="A1759" s="21" t="s">
        <v>2028</v>
      </c>
      <c r="B1759" s="21" t="s">
        <v>2029</v>
      </c>
      <c r="C1759" s="23" t="s">
        <v>3519</v>
      </c>
      <c r="D1759" s="21" t="s">
        <v>3517</v>
      </c>
      <c r="E1759" s="24">
        <v>45252</v>
      </c>
      <c r="F1759" s="24">
        <v>45273</v>
      </c>
      <c r="G1759" s="22" t="s">
        <v>14</v>
      </c>
      <c r="H1759" s="25">
        <v>11789</v>
      </c>
      <c r="I1759" s="25">
        <v>284</v>
      </c>
      <c r="J1759" s="26">
        <v>271.01</v>
      </c>
      <c r="K1759" s="25">
        <v>37</v>
      </c>
      <c r="L1759" s="21" t="s">
        <v>21</v>
      </c>
      <c r="M1759" s="22" t="s">
        <v>3537</v>
      </c>
      <c r="N1759" s="27">
        <f t="shared" si="216"/>
        <v>21</v>
      </c>
      <c r="O1759" s="28">
        <f t="shared" si="217"/>
        <v>2.4090253626261771E-2</v>
      </c>
      <c r="P1759" s="28">
        <f t="shared" si="218"/>
        <v>0.13028169014084506</v>
      </c>
      <c r="Q1759" s="26">
        <f t="shared" si="219"/>
        <v>0.95426056338028165</v>
      </c>
      <c r="R1759" s="29">
        <f t="shared" si="220"/>
        <v>7.3245945945945943</v>
      </c>
      <c r="S1759" s="30">
        <f t="shared" si="221"/>
        <v>11</v>
      </c>
      <c r="T1759" s="30">
        <f t="shared" si="222"/>
        <v>2023</v>
      </c>
      <c r="U1759" s="29" t="str">
        <f t="shared" si="223"/>
        <v>November</v>
      </c>
    </row>
    <row r="1760" spans="1:21" ht="17.399999999999999" x14ac:dyDescent="0.3">
      <c r="A1760" s="21" t="s">
        <v>2746</v>
      </c>
      <c r="B1760" s="21" t="s">
        <v>2747</v>
      </c>
      <c r="C1760" s="23" t="s">
        <v>3519</v>
      </c>
      <c r="D1760" s="21" t="s">
        <v>3521</v>
      </c>
      <c r="E1760" s="24">
        <v>45252</v>
      </c>
      <c r="F1760" s="24">
        <v>45275</v>
      </c>
      <c r="G1760" s="22" t="s">
        <v>31</v>
      </c>
      <c r="H1760" s="25">
        <v>41998</v>
      </c>
      <c r="I1760" s="25">
        <v>579</v>
      </c>
      <c r="J1760" s="26">
        <v>647.64</v>
      </c>
      <c r="K1760" s="25">
        <v>102</v>
      </c>
      <c r="L1760" s="21" t="s">
        <v>21</v>
      </c>
      <c r="M1760" s="22" t="s">
        <v>31</v>
      </c>
      <c r="N1760" s="27">
        <f t="shared" si="216"/>
        <v>23</v>
      </c>
      <c r="O1760" s="28">
        <f t="shared" si="217"/>
        <v>1.3786370779560931E-2</v>
      </c>
      <c r="P1760" s="28">
        <f t="shared" si="218"/>
        <v>0.17616580310880828</v>
      </c>
      <c r="Q1760" s="26">
        <f t="shared" si="219"/>
        <v>1.1185492227979275</v>
      </c>
      <c r="R1760" s="29">
        <f t="shared" si="220"/>
        <v>6.3494117647058825</v>
      </c>
      <c r="S1760" s="30">
        <f t="shared" si="221"/>
        <v>11</v>
      </c>
      <c r="T1760" s="30">
        <f t="shared" si="222"/>
        <v>2023</v>
      </c>
      <c r="U1760" s="29" t="str">
        <f t="shared" si="223"/>
        <v>November</v>
      </c>
    </row>
    <row r="1761" spans="1:21" ht="17.399999999999999" x14ac:dyDescent="0.3">
      <c r="A1761" s="21" t="s">
        <v>503</v>
      </c>
      <c r="B1761" s="21" t="s">
        <v>504</v>
      </c>
      <c r="C1761" s="23" t="s">
        <v>3516</v>
      </c>
      <c r="D1761" s="21" t="s">
        <v>3520</v>
      </c>
      <c r="E1761" s="24">
        <v>45252</v>
      </c>
      <c r="F1761" s="24">
        <v>45275</v>
      </c>
      <c r="G1761" s="22" t="s">
        <v>14</v>
      </c>
      <c r="H1761" s="25">
        <v>78371</v>
      </c>
      <c r="I1761" s="25">
        <v>2882</v>
      </c>
      <c r="J1761" s="26">
        <v>5345.49</v>
      </c>
      <c r="K1761" s="25">
        <v>453</v>
      </c>
      <c r="L1761" s="21" t="s">
        <v>17</v>
      </c>
      <c r="M1761" s="22" t="s">
        <v>3537</v>
      </c>
      <c r="N1761" s="27">
        <f t="shared" si="216"/>
        <v>23</v>
      </c>
      <c r="O1761" s="28">
        <f t="shared" si="217"/>
        <v>3.6773806637659341E-2</v>
      </c>
      <c r="P1761" s="28">
        <f t="shared" si="218"/>
        <v>0.1571825121443442</v>
      </c>
      <c r="Q1761" s="26">
        <f t="shared" si="219"/>
        <v>1.8547848716169326</v>
      </c>
      <c r="R1761" s="29">
        <f t="shared" si="220"/>
        <v>11.800198675496688</v>
      </c>
      <c r="S1761" s="30">
        <f t="shared" si="221"/>
        <v>11</v>
      </c>
      <c r="T1761" s="30">
        <f t="shared" si="222"/>
        <v>2023</v>
      </c>
      <c r="U1761" s="29" t="str">
        <f t="shared" si="223"/>
        <v>November</v>
      </c>
    </row>
    <row r="1762" spans="1:21" ht="17.399999999999999" x14ac:dyDescent="0.3">
      <c r="A1762" s="21" t="s">
        <v>1659</v>
      </c>
      <c r="B1762" s="21" t="s">
        <v>1660</v>
      </c>
      <c r="C1762" s="23" t="s">
        <v>3515</v>
      </c>
      <c r="D1762" s="21" t="s">
        <v>3520</v>
      </c>
      <c r="E1762" s="24">
        <v>45252</v>
      </c>
      <c r="F1762" s="24">
        <v>45257</v>
      </c>
      <c r="G1762" s="22" t="s">
        <v>11</v>
      </c>
      <c r="H1762" s="25">
        <v>96257</v>
      </c>
      <c r="I1762" s="25">
        <v>1492</v>
      </c>
      <c r="J1762" s="26">
        <v>1757.77</v>
      </c>
      <c r="K1762" s="25">
        <v>0</v>
      </c>
      <c r="L1762" s="21" t="s">
        <v>21</v>
      </c>
      <c r="M1762" s="22" t="s">
        <v>11</v>
      </c>
      <c r="N1762" s="27">
        <f t="shared" si="216"/>
        <v>5</v>
      </c>
      <c r="O1762" s="28">
        <f t="shared" si="217"/>
        <v>1.5500171416104803E-2</v>
      </c>
      <c r="P1762" s="28">
        <f t="shared" si="218"/>
        <v>0</v>
      </c>
      <c r="Q1762" s="26">
        <f t="shared" si="219"/>
        <v>1.1781300268096515</v>
      </c>
      <c r="R1762" s="29" t="str">
        <f t="shared" si="220"/>
        <v>0</v>
      </c>
      <c r="S1762" s="30">
        <f t="shared" si="221"/>
        <v>11</v>
      </c>
      <c r="T1762" s="30">
        <f t="shared" si="222"/>
        <v>2023</v>
      </c>
      <c r="U1762" s="29" t="str">
        <f t="shared" si="223"/>
        <v>November</v>
      </c>
    </row>
    <row r="1763" spans="1:21" ht="17.399999999999999" x14ac:dyDescent="0.3">
      <c r="A1763" s="21" t="s">
        <v>1078</v>
      </c>
      <c r="B1763" s="21" t="s">
        <v>1079</v>
      </c>
      <c r="C1763" s="23" t="s">
        <v>3519</v>
      </c>
      <c r="D1763" s="21" t="s">
        <v>3520</v>
      </c>
      <c r="E1763" s="24">
        <v>45253</v>
      </c>
      <c r="F1763" s="24">
        <v>45269</v>
      </c>
      <c r="G1763" s="22" t="s">
        <v>31</v>
      </c>
      <c r="H1763" s="25">
        <v>44286</v>
      </c>
      <c r="I1763" s="25">
        <v>1346</v>
      </c>
      <c r="J1763" s="26">
        <v>1601.04</v>
      </c>
      <c r="K1763" s="25">
        <v>68</v>
      </c>
      <c r="L1763" s="21" t="s">
        <v>17</v>
      </c>
      <c r="M1763" s="22" t="s">
        <v>31</v>
      </c>
      <c r="N1763" s="27">
        <f t="shared" si="216"/>
        <v>16</v>
      </c>
      <c r="O1763" s="28">
        <f t="shared" si="217"/>
        <v>3.0393352300952896E-2</v>
      </c>
      <c r="P1763" s="28">
        <f t="shared" si="218"/>
        <v>5.0520059435364043E-2</v>
      </c>
      <c r="Q1763" s="26">
        <f t="shared" si="219"/>
        <v>1.1894799405646359</v>
      </c>
      <c r="R1763" s="29">
        <f t="shared" si="220"/>
        <v>23.54470588235294</v>
      </c>
      <c r="S1763" s="30">
        <f t="shared" si="221"/>
        <v>11</v>
      </c>
      <c r="T1763" s="30">
        <f t="shared" si="222"/>
        <v>2023</v>
      </c>
      <c r="U1763" s="29" t="str">
        <f t="shared" si="223"/>
        <v>November</v>
      </c>
    </row>
    <row r="1764" spans="1:21" ht="17.399999999999999" x14ac:dyDescent="0.3">
      <c r="A1764" s="21" t="s">
        <v>1458</v>
      </c>
      <c r="B1764" s="22" t="s">
        <v>4002</v>
      </c>
      <c r="C1764" s="23" t="s">
        <v>3519</v>
      </c>
      <c r="D1764" s="22" t="s">
        <v>3545</v>
      </c>
      <c r="E1764" s="24">
        <v>45253</v>
      </c>
      <c r="F1764" s="24">
        <v>45265</v>
      </c>
      <c r="G1764" s="22" t="s">
        <v>31</v>
      </c>
      <c r="H1764" s="25">
        <v>39765</v>
      </c>
      <c r="I1764" s="25">
        <v>1831</v>
      </c>
      <c r="J1764" s="26">
        <v>2285.92</v>
      </c>
      <c r="K1764" s="25">
        <v>299</v>
      </c>
      <c r="L1764" s="21" t="s">
        <v>21</v>
      </c>
      <c r="M1764" s="22" t="s">
        <v>31</v>
      </c>
      <c r="N1764" s="27">
        <f t="shared" si="216"/>
        <v>12</v>
      </c>
      <c r="O1764" s="28">
        <f t="shared" si="217"/>
        <v>4.6045517414812019E-2</v>
      </c>
      <c r="P1764" s="28">
        <f t="shared" si="218"/>
        <v>0.1632987438558165</v>
      </c>
      <c r="Q1764" s="26">
        <f t="shared" si="219"/>
        <v>1.2484543965046424</v>
      </c>
      <c r="R1764" s="29">
        <f t="shared" si="220"/>
        <v>7.6452173913043477</v>
      </c>
      <c r="S1764" s="30">
        <f t="shared" si="221"/>
        <v>11</v>
      </c>
      <c r="T1764" s="30">
        <f t="shared" si="222"/>
        <v>2023</v>
      </c>
      <c r="U1764" s="29" t="str">
        <f t="shared" si="223"/>
        <v>November</v>
      </c>
    </row>
    <row r="1765" spans="1:21" ht="17.399999999999999" x14ac:dyDescent="0.3">
      <c r="A1765" s="21" t="s">
        <v>2996</v>
      </c>
      <c r="B1765" s="21" t="s">
        <v>2997</v>
      </c>
      <c r="C1765" s="23" t="s">
        <v>3518</v>
      </c>
      <c r="D1765" s="21" t="s">
        <v>3517</v>
      </c>
      <c r="E1765" s="24">
        <v>45253</v>
      </c>
      <c r="F1765" s="24">
        <v>45272</v>
      </c>
      <c r="G1765" s="22" t="s">
        <v>14</v>
      </c>
      <c r="H1765" s="25">
        <v>95661</v>
      </c>
      <c r="I1765" s="25">
        <v>3945</v>
      </c>
      <c r="J1765" s="26">
        <v>6774.98</v>
      </c>
      <c r="K1765" s="25">
        <v>675</v>
      </c>
      <c r="L1765" s="21" t="s">
        <v>17</v>
      </c>
      <c r="M1765" s="22" t="s">
        <v>3537</v>
      </c>
      <c r="N1765" s="27">
        <f t="shared" si="216"/>
        <v>19</v>
      </c>
      <c r="O1765" s="28">
        <f t="shared" si="217"/>
        <v>4.1239376548436665E-2</v>
      </c>
      <c r="P1765" s="28">
        <f t="shared" si="218"/>
        <v>0.17110266159695817</v>
      </c>
      <c r="Q1765" s="26">
        <f t="shared" si="219"/>
        <v>1.717358681875792</v>
      </c>
      <c r="R1765" s="29">
        <f t="shared" si="220"/>
        <v>10.037007407407406</v>
      </c>
      <c r="S1765" s="30">
        <f t="shared" si="221"/>
        <v>11</v>
      </c>
      <c r="T1765" s="30">
        <f t="shared" si="222"/>
        <v>2023</v>
      </c>
      <c r="U1765" s="29" t="str">
        <f t="shared" si="223"/>
        <v>November</v>
      </c>
    </row>
    <row r="1766" spans="1:21" ht="17.399999999999999" x14ac:dyDescent="0.3">
      <c r="A1766" s="21" t="s">
        <v>315</v>
      </c>
      <c r="B1766" s="21" t="s">
        <v>316</v>
      </c>
      <c r="C1766" s="23" t="s">
        <v>3516</v>
      </c>
      <c r="D1766" s="21" t="s">
        <v>3521</v>
      </c>
      <c r="E1766" s="24">
        <v>45253</v>
      </c>
      <c r="F1766" s="24">
        <v>45271</v>
      </c>
      <c r="G1766" s="22" t="s">
        <v>11</v>
      </c>
      <c r="H1766" s="25">
        <v>27105</v>
      </c>
      <c r="I1766" s="25">
        <v>1262</v>
      </c>
      <c r="J1766" s="26">
        <v>868.04</v>
      </c>
      <c r="K1766" s="25">
        <v>68</v>
      </c>
      <c r="L1766" s="21" t="s">
        <v>21</v>
      </c>
      <c r="M1766" s="22" t="s">
        <v>11</v>
      </c>
      <c r="N1766" s="27">
        <f t="shared" si="216"/>
        <v>18</v>
      </c>
      <c r="O1766" s="28">
        <f t="shared" si="217"/>
        <v>4.6559675336653755E-2</v>
      </c>
      <c r="P1766" s="28">
        <f t="shared" si="218"/>
        <v>5.388272583201268E-2</v>
      </c>
      <c r="Q1766" s="26">
        <f t="shared" si="219"/>
        <v>0.68782884310618064</v>
      </c>
      <c r="R1766" s="29">
        <f t="shared" si="220"/>
        <v>12.765294117647059</v>
      </c>
      <c r="S1766" s="30">
        <f t="shared" si="221"/>
        <v>11</v>
      </c>
      <c r="T1766" s="30">
        <f t="shared" si="222"/>
        <v>2023</v>
      </c>
      <c r="U1766" s="29" t="str">
        <f t="shared" si="223"/>
        <v>November</v>
      </c>
    </row>
    <row r="1767" spans="1:21" ht="17.399999999999999" x14ac:dyDescent="0.3">
      <c r="A1767" s="21" t="s">
        <v>1899</v>
      </c>
      <c r="B1767" s="21" t="s">
        <v>1900</v>
      </c>
      <c r="C1767" s="23" t="s">
        <v>3516</v>
      </c>
      <c r="D1767" s="21" t="s">
        <v>3520</v>
      </c>
      <c r="E1767" s="24">
        <v>45253</v>
      </c>
      <c r="F1767" s="24">
        <v>45281</v>
      </c>
      <c r="G1767" s="22" t="s">
        <v>31</v>
      </c>
      <c r="H1767" s="25">
        <v>27614</v>
      </c>
      <c r="I1767" s="25">
        <v>651</v>
      </c>
      <c r="J1767" s="26">
        <v>766.45</v>
      </c>
      <c r="K1767" s="25">
        <v>115</v>
      </c>
      <c r="L1767" s="21" t="s">
        <v>17</v>
      </c>
      <c r="M1767" s="22" t="s">
        <v>31</v>
      </c>
      <c r="N1767" s="27">
        <f t="shared" si="216"/>
        <v>28</v>
      </c>
      <c r="O1767" s="28">
        <f t="shared" si="217"/>
        <v>2.3574998189324257E-2</v>
      </c>
      <c r="P1767" s="28">
        <f t="shared" si="218"/>
        <v>0.17665130568356374</v>
      </c>
      <c r="Q1767" s="26">
        <f t="shared" si="219"/>
        <v>1.1773425499231951</v>
      </c>
      <c r="R1767" s="29">
        <f t="shared" si="220"/>
        <v>6.6647826086956528</v>
      </c>
      <c r="S1767" s="30">
        <f t="shared" si="221"/>
        <v>11</v>
      </c>
      <c r="T1767" s="30">
        <f t="shared" si="222"/>
        <v>2023</v>
      </c>
      <c r="U1767" s="29" t="str">
        <f t="shared" si="223"/>
        <v>November</v>
      </c>
    </row>
    <row r="1768" spans="1:21" ht="17.399999999999999" x14ac:dyDescent="0.3">
      <c r="A1768" s="21" t="s">
        <v>1251</v>
      </c>
      <c r="B1768" s="21" t="s">
        <v>1252</v>
      </c>
      <c r="C1768" s="23" t="s">
        <v>3515</v>
      </c>
      <c r="D1768" s="21" t="s">
        <v>3517</v>
      </c>
      <c r="E1768" s="24">
        <v>45253</v>
      </c>
      <c r="F1768" s="24">
        <v>45264</v>
      </c>
      <c r="G1768" s="22" t="s">
        <v>3535</v>
      </c>
      <c r="H1768" s="25">
        <v>4709</v>
      </c>
      <c r="I1768" s="25">
        <v>195</v>
      </c>
      <c r="J1768" s="26">
        <v>257.08</v>
      </c>
      <c r="K1768" s="25">
        <v>32</v>
      </c>
      <c r="L1768" s="21" t="s">
        <v>21</v>
      </c>
      <c r="M1768" s="22" t="s">
        <v>3535</v>
      </c>
      <c r="N1768" s="27">
        <f t="shared" si="216"/>
        <v>11</v>
      </c>
      <c r="O1768" s="28">
        <f t="shared" si="217"/>
        <v>4.1410065831386705E-2</v>
      </c>
      <c r="P1768" s="28">
        <f t="shared" si="218"/>
        <v>0.1641025641025641</v>
      </c>
      <c r="Q1768" s="26">
        <f t="shared" si="219"/>
        <v>1.3183589743589743</v>
      </c>
      <c r="R1768" s="29">
        <f t="shared" si="220"/>
        <v>8.0337499999999995</v>
      </c>
      <c r="S1768" s="30">
        <f t="shared" si="221"/>
        <v>11</v>
      </c>
      <c r="T1768" s="30">
        <f t="shared" si="222"/>
        <v>2023</v>
      </c>
      <c r="U1768" s="29" t="str">
        <f t="shared" si="223"/>
        <v>November</v>
      </c>
    </row>
    <row r="1769" spans="1:21" ht="17.399999999999999" x14ac:dyDescent="0.3">
      <c r="A1769" s="21" t="s">
        <v>1484</v>
      </c>
      <c r="B1769" s="21" t="s">
        <v>1485</v>
      </c>
      <c r="C1769" s="23" t="s">
        <v>3515</v>
      </c>
      <c r="D1769" s="21" t="s">
        <v>3517</v>
      </c>
      <c r="E1769" s="24">
        <v>45253</v>
      </c>
      <c r="F1769" s="24">
        <v>45269</v>
      </c>
      <c r="G1769" s="22" t="s">
        <v>11</v>
      </c>
      <c r="H1769" s="25">
        <v>62877</v>
      </c>
      <c r="I1769" s="25">
        <v>2172</v>
      </c>
      <c r="J1769" s="26">
        <v>4014.25</v>
      </c>
      <c r="K1769" s="25">
        <v>269</v>
      </c>
      <c r="L1769" s="21" t="s">
        <v>21</v>
      </c>
      <c r="M1769" s="22" t="s">
        <v>11</v>
      </c>
      <c r="N1769" s="27">
        <f t="shared" si="216"/>
        <v>16</v>
      </c>
      <c r="O1769" s="28">
        <f t="shared" si="217"/>
        <v>3.4543632806908725E-2</v>
      </c>
      <c r="P1769" s="28">
        <f t="shared" si="218"/>
        <v>0.12384898710865562</v>
      </c>
      <c r="Q1769" s="26">
        <f t="shared" si="219"/>
        <v>1.8481813996316758</v>
      </c>
      <c r="R1769" s="29">
        <f t="shared" si="220"/>
        <v>14.922862453531598</v>
      </c>
      <c r="S1769" s="30">
        <f t="shared" si="221"/>
        <v>11</v>
      </c>
      <c r="T1769" s="30">
        <f t="shared" si="222"/>
        <v>2023</v>
      </c>
      <c r="U1769" s="29" t="str">
        <f t="shared" si="223"/>
        <v>November</v>
      </c>
    </row>
    <row r="1770" spans="1:21" ht="17.399999999999999" x14ac:dyDescent="0.3">
      <c r="A1770" s="21" t="s">
        <v>3239</v>
      </c>
      <c r="B1770" s="22" t="s">
        <v>4003</v>
      </c>
      <c r="C1770" s="23" t="s">
        <v>3515</v>
      </c>
      <c r="D1770" s="22" t="s">
        <v>3545</v>
      </c>
      <c r="E1770" s="24">
        <v>45253</v>
      </c>
      <c r="F1770" s="24">
        <v>45282</v>
      </c>
      <c r="G1770" s="22" t="s">
        <v>24</v>
      </c>
      <c r="H1770" s="25">
        <v>49901</v>
      </c>
      <c r="I1770" s="25">
        <v>1529</v>
      </c>
      <c r="J1770" s="26">
        <v>784.63</v>
      </c>
      <c r="K1770" s="25">
        <v>158</v>
      </c>
      <c r="L1770" s="21" t="s">
        <v>21</v>
      </c>
      <c r="M1770" s="22" t="s">
        <v>3536</v>
      </c>
      <c r="N1770" s="27">
        <f t="shared" si="216"/>
        <v>29</v>
      </c>
      <c r="O1770" s="28">
        <f t="shared" si="217"/>
        <v>3.0640668523676879E-2</v>
      </c>
      <c r="P1770" s="28">
        <f t="shared" si="218"/>
        <v>0.10333551340745585</v>
      </c>
      <c r="Q1770" s="26">
        <f t="shared" si="219"/>
        <v>0.51316546762589932</v>
      </c>
      <c r="R1770" s="29">
        <f t="shared" si="220"/>
        <v>4.9660126582278483</v>
      </c>
      <c r="S1770" s="30">
        <f t="shared" si="221"/>
        <v>11</v>
      </c>
      <c r="T1770" s="30">
        <f t="shared" si="222"/>
        <v>2023</v>
      </c>
      <c r="U1770" s="29" t="str">
        <f t="shared" si="223"/>
        <v>November</v>
      </c>
    </row>
    <row r="1771" spans="1:21" ht="17.399999999999999" x14ac:dyDescent="0.3">
      <c r="A1771" s="21" t="s">
        <v>1039</v>
      </c>
      <c r="B1771" s="21" t="s">
        <v>1040</v>
      </c>
      <c r="C1771" s="23" t="s">
        <v>3519</v>
      </c>
      <c r="D1771" s="21" t="s">
        <v>3521</v>
      </c>
      <c r="E1771" s="24">
        <v>45254</v>
      </c>
      <c r="F1771" s="24">
        <v>45276</v>
      </c>
      <c r="G1771" s="22" t="s">
        <v>11</v>
      </c>
      <c r="H1771" s="25">
        <v>93920</v>
      </c>
      <c r="I1771" s="25">
        <v>3755</v>
      </c>
      <c r="J1771" s="26">
        <v>4961.13</v>
      </c>
      <c r="K1771" s="25">
        <v>446</v>
      </c>
      <c r="L1771" s="21" t="s">
        <v>21</v>
      </c>
      <c r="M1771" s="22" t="s">
        <v>11</v>
      </c>
      <c r="N1771" s="27">
        <f t="shared" si="216"/>
        <v>22</v>
      </c>
      <c r="O1771" s="28">
        <f t="shared" si="217"/>
        <v>3.998083475298126E-2</v>
      </c>
      <c r="P1771" s="28">
        <f t="shared" si="218"/>
        <v>0.11877496671105194</v>
      </c>
      <c r="Q1771" s="26">
        <f t="shared" si="219"/>
        <v>1.3212063914780294</v>
      </c>
      <c r="R1771" s="29">
        <f t="shared" si="220"/>
        <v>11.123609865470852</v>
      </c>
      <c r="S1771" s="30">
        <f t="shared" si="221"/>
        <v>11</v>
      </c>
      <c r="T1771" s="30">
        <f t="shared" si="222"/>
        <v>2023</v>
      </c>
      <c r="U1771" s="29" t="str">
        <f t="shared" si="223"/>
        <v>November</v>
      </c>
    </row>
    <row r="1772" spans="1:21" ht="17.399999999999999" x14ac:dyDescent="0.3">
      <c r="A1772" s="21" t="s">
        <v>57</v>
      </c>
      <c r="B1772" s="22" t="s">
        <v>4004</v>
      </c>
      <c r="C1772" s="23" t="s">
        <v>3518</v>
      </c>
      <c r="D1772" s="22" t="s">
        <v>3545</v>
      </c>
      <c r="E1772" s="24">
        <v>45254</v>
      </c>
      <c r="F1772" s="24">
        <v>45278</v>
      </c>
      <c r="G1772" s="22" t="s">
        <v>16</v>
      </c>
      <c r="H1772" s="25">
        <v>72932</v>
      </c>
      <c r="I1772" s="25">
        <v>815</v>
      </c>
      <c r="J1772" s="26">
        <v>1293.01</v>
      </c>
      <c r="K1772" s="25">
        <v>157</v>
      </c>
      <c r="L1772" s="21" t="s">
        <v>17</v>
      </c>
      <c r="M1772" s="22" t="s">
        <v>16</v>
      </c>
      <c r="N1772" s="27">
        <f t="shared" si="216"/>
        <v>24</v>
      </c>
      <c r="O1772" s="28">
        <f t="shared" si="217"/>
        <v>1.1174792957823726E-2</v>
      </c>
      <c r="P1772" s="28">
        <f t="shared" si="218"/>
        <v>0.19263803680981595</v>
      </c>
      <c r="Q1772" s="26">
        <f t="shared" si="219"/>
        <v>1.586515337423313</v>
      </c>
      <c r="R1772" s="29">
        <f t="shared" si="220"/>
        <v>8.2357324840764328</v>
      </c>
      <c r="S1772" s="30">
        <f t="shared" si="221"/>
        <v>11</v>
      </c>
      <c r="T1772" s="30">
        <f t="shared" si="222"/>
        <v>2023</v>
      </c>
      <c r="U1772" s="29" t="str">
        <f t="shared" si="223"/>
        <v>November</v>
      </c>
    </row>
    <row r="1773" spans="1:21" ht="17.399999999999999" x14ac:dyDescent="0.3">
      <c r="A1773" s="21" t="s">
        <v>1307</v>
      </c>
      <c r="B1773" s="21" t="s">
        <v>1308</v>
      </c>
      <c r="C1773" s="23" t="s">
        <v>3518</v>
      </c>
      <c r="D1773" s="21" t="s">
        <v>3517</v>
      </c>
      <c r="E1773" s="24">
        <v>45254</v>
      </c>
      <c r="F1773" s="24">
        <v>45276</v>
      </c>
      <c r="G1773" s="22" t="s">
        <v>11</v>
      </c>
      <c r="H1773" s="25">
        <v>18640</v>
      </c>
      <c r="I1773" s="25">
        <v>259</v>
      </c>
      <c r="J1773" s="26">
        <v>332.92</v>
      </c>
      <c r="K1773" s="25">
        <v>26</v>
      </c>
      <c r="L1773" s="21" t="s">
        <v>21</v>
      </c>
      <c r="M1773" s="22" t="s">
        <v>11</v>
      </c>
      <c r="N1773" s="27">
        <f t="shared" si="216"/>
        <v>22</v>
      </c>
      <c r="O1773" s="28">
        <f t="shared" si="217"/>
        <v>1.3894849785407726E-2</v>
      </c>
      <c r="P1773" s="28">
        <f t="shared" si="218"/>
        <v>0.10038610038610038</v>
      </c>
      <c r="Q1773" s="26">
        <f t="shared" si="219"/>
        <v>1.2854054054054054</v>
      </c>
      <c r="R1773" s="29">
        <f t="shared" si="220"/>
        <v>12.804615384615385</v>
      </c>
      <c r="S1773" s="30">
        <f t="shared" si="221"/>
        <v>11</v>
      </c>
      <c r="T1773" s="30">
        <f t="shared" si="222"/>
        <v>2023</v>
      </c>
      <c r="U1773" s="29" t="str">
        <f t="shared" si="223"/>
        <v>November</v>
      </c>
    </row>
    <row r="1774" spans="1:21" ht="17.399999999999999" x14ac:dyDescent="0.3">
      <c r="A1774" s="21" t="s">
        <v>9</v>
      </c>
      <c r="B1774" s="21" t="s">
        <v>10</v>
      </c>
      <c r="C1774" s="23" t="s">
        <v>3515</v>
      </c>
      <c r="D1774" s="21" t="s">
        <v>3521</v>
      </c>
      <c r="E1774" s="24">
        <v>45254</v>
      </c>
      <c r="F1774" s="24">
        <v>45273</v>
      </c>
      <c r="G1774" s="22" t="s">
        <v>11</v>
      </c>
      <c r="H1774" s="25">
        <v>16795</v>
      </c>
      <c r="I1774" s="25">
        <v>197</v>
      </c>
      <c r="J1774" s="26">
        <v>102.82</v>
      </c>
      <c r="K1774" s="25">
        <v>20</v>
      </c>
      <c r="L1774" s="21" t="s">
        <v>21</v>
      </c>
      <c r="M1774" s="22" t="s">
        <v>11</v>
      </c>
      <c r="N1774" s="27">
        <f t="shared" si="216"/>
        <v>19</v>
      </c>
      <c r="O1774" s="28">
        <f t="shared" si="217"/>
        <v>1.1729681452813338E-2</v>
      </c>
      <c r="P1774" s="28">
        <f t="shared" si="218"/>
        <v>0.10152284263959391</v>
      </c>
      <c r="Q1774" s="26">
        <f t="shared" si="219"/>
        <v>0.52192893401015228</v>
      </c>
      <c r="R1774" s="29">
        <f t="shared" si="220"/>
        <v>5.141</v>
      </c>
      <c r="S1774" s="30">
        <f t="shared" si="221"/>
        <v>11</v>
      </c>
      <c r="T1774" s="30">
        <f t="shared" si="222"/>
        <v>2023</v>
      </c>
      <c r="U1774" s="29" t="str">
        <f t="shared" si="223"/>
        <v>November</v>
      </c>
    </row>
    <row r="1775" spans="1:21" ht="17.399999999999999" x14ac:dyDescent="0.3">
      <c r="A1775" s="21" t="s">
        <v>1112</v>
      </c>
      <c r="B1775" s="22" t="s">
        <v>4005</v>
      </c>
      <c r="C1775" s="23" t="s">
        <v>3519</v>
      </c>
      <c r="D1775" s="22" t="s">
        <v>3545</v>
      </c>
      <c r="E1775" s="24">
        <v>45255</v>
      </c>
      <c r="F1775" s="24">
        <v>45283</v>
      </c>
      <c r="G1775" s="22" t="s">
        <v>11</v>
      </c>
      <c r="H1775" s="25">
        <v>36270</v>
      </c>
      <c r="I1775" s="25">
        <v>904</v>
      </c>
      <c r="J1775" s="26">
        <v>668.45</v>
      </c>
      <c r="K1775" s="25">
        <v>81</v>
      </c>
      <c r="L1775" s="21" t="s">
        <v>21</v>
      </c>
      <c r="M1775" s="22" t="s">
        <v>11</v>
      </c>
      <c r="N1775" s="27">
        <f t="shared" si="216"/>
        <v>28</v>
      </c>
      <c r="O1775" s="28">
        <f t="shared" si="217"/>
        <v>2.492417976288944E-2</v>
      </c>
      <c r="P1775" s="28">
        <f t="shared" si="218"/>
        <v>8.9601769911504425E-2</v>
      </c>
      <c r="Q1775" s="26">
        <f t="shared" si="219"/>
        <v>0.73943584070796464</v>
      </c>
      <c r="R1775" s="29">
        <f t="shared" si="220"/>
        <v>8.2524691358024693</v>
      </c>
      <c r="S1775" s="30">
        <f t="shared" si="221"/>
        <v>11</v>
      </c>
      <c r="T1775" s="30">
        <f t="shared" si="222"/>
        <v>2023</v>
      </c>
      <c r="U1775" s="29" t="str">
        <f t="shared" si="223"/>
        <v>November</v>
      </c>
    </row>
    <row r="1776" spans="1:21" ht="17.399999999999999" x14ac:dyDescent="0.3">
      <c r="A1776" s="21" t="s">
        <v>1346</v>
      </c>
      <c r="B1776" s="22" t="s">
        <v>4006</v>
      </c>
      <c r="C1776" s="23" t="s">
        <v>3519</v>
      </c>
      <c r="D1776" s="22" t="s">
        <v>3545</v>
      </c>
      <c r="E1776" s="24">
        <v>45255</v>
      </c>
      <c r="F1776" s="24">
        <v>45263</v>
      </c>
      <c r="G1776" s="22" t="s">
        <v>11</v>
      </c>
      <c r="H1776" s="25">
        <v>32921</v>
      </c>
      <c r="I1776" s="25">
        <v>1066</v>
      </c>
      <c r="J1776" s="26">
        <v>762.29</v>
      </c>
      <c r="K1776" s="25">
        <v>99</v>
      </c>
      <c r="L1776" s="21" t="s">
        <v>17</v>
      </c>
      <c r="M1776" s="22" t="s">
        <v>11</v>
      </c>
      <c r="N1776" s="27">
        <f t="shared" si="216"/>
        <v>8</v>
      </c>
      <c r="O1776" s="28">
        <f t="shared" si="217"/>
        <v>3.2380547370979007E-2</v>
      </c>
      <c r="P1776" s="28">
        <f t="shared" si="218"/>
        <v>9.2870544090056281E-2</v>
      </c>
      <c r="Q1776" s="26">
        <f t="shared" si="219"/>
        <v>0.71509380863039396</v>
      </c>
      <c r="R1776" s="29">
        <f t="shared" si="220"/>
        <v>7.6998989898989896</v>
      </c>
      <c r="S1776" s="30">
        <f t="shared" si="221"/>
        <v>11</v>
      </c>
      <c r="T1776" s="30">
        <f t="shared" si="222"/>
        <v>2023</v>
      </c>
      <c r="U1776" s="29" t="str">
        <f t="shared" si="223"/>
        <v>November</v>
      </c>
    </row>
    <row r="1777" spans="1:21" ht="17.399999999999999" x14ac:dyDescent="0.3">
      <c r="A1777" s="21" t="s">
        <v>2519</v>
      </c>
      <c r="B1777" s="22" t="s">
        <v>4007</v>
      </c>
      <c r="C1777" s="23" t="s">
        <v>3519</v>
      </c>
      <c r="D1777" s="22" t="s">
        <v>3545</v>
      </c>
      <c r="E1777" s="24">
        <v>45255</v>
      </c>
      <c r="F1777" s="24">
        <v>45285</v>
      </c>
      <c r="G1777" s="22" t="s">
        <v>24</v>
      </c>
      <c r="H1777" s="25">
        <v>90563</v>
      </c>
      <c r="I1777" s="25">
        <v>3839</v>
      </c>
      <c r="J1777" s="26">
        <v>6613.09</v>
      </c>
      <c r="K1777" s="25">
        <v>0</v>
      </c>
      <c r="L1777" s="21" t="s">
        <v>17</v>
      </c>
      <c r="M1777" s="22" t="s">
        <v>3536</v>
      </c>
      <c r="N1777" s="27">
        <f t="shared" si="216"/>
        <v>30</v>
      </c>
      <c r="O1777" s="28">
        <f t="shared" si="217"/>
        <v>4.2390380177335117E-2</v>
      </c>
      <c r="P1777" s="28">
        <f t="shared" si="218"/>
        <v>0</v>
      </c>
      <c r="Q1777" s="26">
        <f t="shared" si="219"/>
        <v>1.7226074498567336</v>
      </c>
      <c r="R1777" s="29" t="str">
        <f t="shared" si="220"/>
        <v>0</v>
      </c>
      <c r="S1777" s="30">
        <f t="shared" si="221"/>
        <v>11</v>
      </c>
      <c r="T1777" s="30">
        <f t="shared" si="222"/>
        <v>2023</v>
      </c>
      <c r="U1777" s="29" t="str">
        <f t="shared" si="223"/>
        <v>November</v>
      </c>
    </row>
    <row r="1778" spans="1:21" ht="17.399999999999999" x14ac:dyDescent="0.3">
      <c r="A1778" s="21" t="s">
        <v>2605</v>
      </c>
      <c r="B1778" s="21" t="s">
        <v>2606</v>
      </c>
      <c r="C1778" s="23" t="s">
        <v>3518</v>
      </c>
      <c r="D1778" s="21" t="s">
        <v>3517</v>
      </c>
      <c r="E1778" s="24">
        <v>45255</v>
      </c>
      <c r="F1778" s="24">
        <v>45268</v>
      </c>
      <c r="G1778" s="22" t="s">
        <v>3535</v>
      </c>
      <c r="H1778" s="25">
        <v>14350</v>
      </c>
      <c r="I1778" s="25">
        <v>544</v>
      </c>
      <c r="J1778" s="26">
        <v>892.88</v>
      </c>
      <c r="K1778" s="25">
        <v>57</v>
      </c>
      <c r="L1778" s="21" t="s">
        <v>17</v>
      </c>
      <c r="M1778" s="22" t="s">
        <v>3535</v>
      </c>
      <c r="N1778" s="27">
        <f t="shared" si="216"/>
        <v>13</v>
      </c>
      <c r="O1778" s="28">
        <f t="shared" si="217"/>
        <v>3.7909407665505226E-2</v>
      </c>
      <c r="P1778" s="28">
        <f t="shared" si="218"/>
        <v>0.10477941176470588</v>
      </c>
      <c r="Q1778" s="26">
        <f t="shared" si="219"/>
        <v>1.6413235294117647</v>
      </c>
      <c r="R1778" s="29">
        <f t="shared" si="220"/>
        <v>15.664561403508772</v>
      </c>
      <c r="S1778" s="30">
        <f t="shared" si="221"/>
        <v>11</v>
      </c>
      <c r="T1778" s="30">
        <f t="shared" si="222"/>
        <v>2023</v>
      </c>
      <c r="U1778" s="29" t="str">
        <f t="shared" si="223"/>
        <v>November</v>
      </c>
    </row>
    <row r="1779" spans="1:21" ht="17.399999999999999" x14ac:dyDescent="0.3">
      <c r="A1779" s="21" t="s">
        <v>1450</v>
      </c>
      <c r="B1779" s="22" t="s">
        <v>4008</v>
      </c>
      <c r="C1779" s="23" t="s">
        <v>3515</v>
      </c>
      <c r="D1779" s="22" t="s">
        <v>3545</v>
      </c>
      <c r="E1779" s="24">
        <v>45255</v>
      </c>
      <c r="F1779" s="24">
        <v>45256</v>
      </c>
      <c r="G1779" s="22" t="s">
        <v>3535</v>
      </c>
      <c r="H1779" s="25">
        <v>11916</v>
      </c>
      <c r="I1779" s="25">
        <v>279</v>
      </c>
      <c r="J1779" s="26">
        <v>489.89</v>
      </c>
      <c r="K1779" s="25">
        <v>0</v>
      </c>
      <c r="L1779" s="21" t="s">
        <v>21</v>
      </c>
      <c r="M1779" s="22" t="s">
        <v>3535</v>
      </c>
      <c r="N1779" s="27">
        <f t="shared" si="216"/>
        <v>1</v>
      </c>
      <c r="O1779" s="28">
        <f t="shared" si="217"/>
        <v>2.3413897280966767E-2</v>
      </c>
      <c r="P1779" s="28">
        <f t="shared" si="218"/>
        <v>0</v>
      </c>
      <c r="Q1779" s="26">
        <f t="shared" si="219"/>
        <v>1.7558781362007168</v>
      </c>
      <c r="R1779" s="29" t="str">
        <f t="shared" si="220"/>
        <v>0</v>
      </c>
      <c r="S1779" s="30">
        <f t="shared" si="221"/>
        <v>11</v>
      </c>
      <c r="T1779" s="30">
        <f t="shared" si="222"/>
        <v>2023</v>
      </c>
      <c r="U1779" s="29" t="str">
        <f t="shared" si="223"/>
        <v>November</v>
      </c>
    </row>
    <row r="1780" spans="1:21" ht="17.399999999999999" x14ac:dyDescent="0.3">
      <c r="A1780" s="21" t="s">
        <v>66</v>
      </c>
      <c r="B1780" s="21" t="s">
        <v>67</v>
      </c>
      <c r="C1780" s="23" t="s">
        <v>3519</v>
      </c>
      <c r="D1780" s="21" t="s">
        <v>3520</v>
      </c>
      <c r="E1780" s="24">
        <v>45256</v>
      </c>
      <c r="F1780" s="24">
        <v>45272</v>
      </c>
      <c r="G1780" s="22" t="s">
        <v>31</v>
      </c>
      <c r="H1780" s="25">
        <v>60150</v>
      </c>
      <c r="I1780" s="25">
        <v>2988</v>
      </c>
      <c r="J1780" s="26">
        <v>3514.38</v>
      </c>
      <c r="K1780" s="25">
        <v>175</v>
      </c>
      <c r="L1780" s="21" t="s">
        <v>21</v>
      </c>
      <c r="M1780" s="22" t="s">
        <v>31</v>
      </c>
      <c r="N1780" s="27">
        <f t="shared" si="216"/>
        <v>16</v>
      </c>
      <c r="O1780" s="28">
        <f t="shared" si="217"/>
        <v>4.967581047381546E-2</v>
      </c>
      <c r="P1780" s="28">
        <f t="shared" si="218"/>
        <v>5.856760374832664E-2</v>
      </c>
      <c r="Q1780" s="26">
        <f t="shared" si="219"/>
        <v>1.1761646586345382</v>
      </c>
      <c r="R1780" s="29">
        <f t="shared" si="220"/>
        <v>20.082171428571428</v>
      </c>
      <c r="S1780" s="30">
        <f t="shared" si="221"/>
        <v>11</v>
      </c>
      <c r="T1780" s="30">
        <f t="shared" si="222"/>
        <v>2023</v>
      </c>
      <c r="U1780" s="29" t="str">
        <f t="shared" si="223"/>
        <v>November</v>
      </c>
    </row>
    <row r="1781" spans="1:21" ht="17.399999999999999" x14ac:dyDescent="0.3">
      <c r="A1781" s="21" t="s">
        <v>1000</v>
      </c>
      <c r="B1781" s="21" t="s">
        <v>1001</v>
      </c>
      <c r="C1781" s="23" t="s">
        <v>3519</v>
      </c>
      <c r="D1781" s="21" t="s">
        <v>3520</v>
      </c>
      <c r="E1781" s="24">
        <v>45256</v>
      </c>
      <c r="F1781" s="24">
        <v>45259</v>
      </c>
      <c r="G1781" s="22" t="s">
        <v>3535</v>
      </c>
      <c r="H1781" s="25">
        <v>28350</v>
      </c>
      <c r="I1781" s="25">
        <v>775</v>
      </c>
      <c r="J1781" s="26">
        <v>1359.93</v>
      </c>
      <c r="K1781" s="25">
        <v>0</v>
      </c>
      <c r="L1781" s="21" t="s">
        <v>17</v>
      </c>
      <c r="M1781" s="22" t="s">
        <v>3535</v>
      </c>
      <c r="N1781" s="27">
        <f t="shared" si="216"/>
        <v>3</v>
      </c>
      <c r="O1781" s="28">
        <f t="shared" si="217"/>
        <v>2.7336860670194002E-2</v>
      </c>
      <c r="P1781" s="28">
        <f t="shared" si="218"/>
        <v>0</v>
      </c>
      <c r="Q1781" s="26">
        <f t="shared" si="219"/>
        <v>1.7547483870967742</v>
      </c>
      <c r="R1781" s="29" t="str">
        <f t="shared" si="220"/>
        <v>0</v>
      </c>
      <c r="S1781" s="30">
        <f t="shared" si="221"/>
        <v>11</v>
      </c>
      <c r="T1781" s="30">
        <f t="shared" si="222"/>
        <v>2023</v>
      </c>
      <c r="U1781" s="29" t="str">
        <f t="shared" si="223"/>
        <v>November</v>
      </c>
    </row>
    <row r="1782" spans="1:21" ht="17.399999999999999" x14ac:dyDescent="0.3">
      <c r="A1782" s="21" t="s">
        <v>856</v>
      </c>
      <c r="B1782" s="21" t="s">
        <v>857</v>
      </c>
      <c r="C1782" s="23" t="s">
        <v>3518</v>
      </c>
      <c r="D1782" s="21" t="s">
        <v>3520</v>
      </c>
      <c r="E1782" s="24">
        <v>45256</v>
      </c>
      <c r="F1782" s="24">
        <v>45269</v>
      </c>
      <c r="G1782" s="22" t="s">
        <v>14</v>
      </c>
      <c r="H1782" s="25">
        <v>21056</v>
      </c>
      <c r="I1782" s="25">
        <v>537</v>
      </c>
      <c r="J1782" s="26">
        <v>466.85</v>
      </c>
      <c r="K1782" s="25">
        <v>44</v>
      </c>
      <c r="L1782" s="21" t="s">
        <v>17</v>
      </c>
      <c r="M1782" s="22" t="s">
        <v>3537</v>
      </c>
      <c r="N1782" s="27">
        <f t="shared" si="216"/>
        <v>13</v>
      </c>
      <c r="O1782" s="28">
        <f t="shared" si="217"/>
        <v>2.5503419452887539E-2</v>
      </c>
      <c r="P1782" s="28">
        <f t="shared" si="218"/>
        <v>8.1936685288640593E-2</v>
      </c>
      <c r="Q1782" s="26">
        <f t="shared" si="219"/>
        <v>0.86936685288640603</v>
      </c>
      <c r="R1782" s="29">
        <f t="shared" si="220"/>
        <v>10.610227272727274</v>
      </c>
      <c r="S1782" s="30">
        <f t="shared" si="221"/>
        <v>11</v>
      </c>
      <c r="T1782" s="30">
        <f t="shared" si="222"/>
        <v>2023</v>
      </c>
      <c r="U1782" s="29" t="str">
        <f t="shared" si="223"/>
        <v>November</v>
      </c>
    </row>
    <row r="1783" spans="1:21" ht="17.399999999999999" x14ac:dyDescent="0.3">
      <c r="A1783" s="21" t="s">
        <v>1824</v>
      </c>
      <c r="B1783" s="21" t="s">
        <v>1825</v>
      </c>
      <c r="C1783" s="23" t="s">
        <v>3518</v>
      </c>
      <c r="D1783" s="21" t="s">
        <v>3517</v>
      </c>
      <c r="E1783" s="24">
        <v>45256</v>
      </c>
      <c r="F1783" s="24">
        <v>45274</v>
      </c>
      <c r="G1783" s="22" t="s">
        <v>16</v>
      </c>
      <c r="H1783" s="25">
        <v>14234</v>
      </c>
      <c r="I1783" s="25">
        <v>505</v>
      </c>
      <c r="J1783" s="26">
        <v>377.21</v>
      </c>
      <c r="K1783" s="25">
        <v>59</v>
      </c>
      <c r="L1783" s="21" t="s">
        <v>21</v>
      </c>
      <c r="M1783" s="22" t="s">
        <v>16</v>
      </c>
      <c r="N1783" s="27">
        <f t="shared" si="216"/>
        <v>18</v>
      </c>
      <c r="O1783" s="28">
        <f t="shared" si="217"/>
        <v>3.54784319235633E-2</v>
      </c>
      <c r="P1783" s="28">
        <f t="shared" si="218"/>
        <v>0.11683168316831684</v>
      </c>
      <c r="Q1783" s="26">
        <f t="shared" si="219"/>
        <v>0.74695049504950495</v>
      </c>
      <c r="R1783" s="29">
        <f t="shared" si="220"/>
        <v>6.3933898305084744</v>
      </c>
      <c r="S1783" s="30">
        <f t="shared" si="221"/>
        <v>11</v>
      </c>
      <c r="T1783" s="30">
        <f t="shared" si="222"/>
        <v>2023</v>
      </c>
      <c r="U1783" s="29" t="str">
        <f t="shared" si="223"/>
        <v>November</v>
      </c>
    </row>
    <row r="1784" spans="1:21" ht="17.399999999999999" x14ac:dyDescent="0.3">
      <c r="A1784" s="21" t="s">
        <v>350</v>
      </c>
      <c r="B1784" s="21" t="s">
        <v>351</v>
      </c>
      <c r="C1784" s="23" t="s">
        <v>3516</v>
      </c>
      <c r="D1784" s="21" t="s">
        <v>3520</v>
      </c>
      <c r="E1784" s="24">
        <v>45256</v>
      </c>
      <c r="F1784" s="24">
        <v>45273</v>
      </c>
      <c r="G1784" s="22" t="s">
        <v>24</v>
      </c>
      <c r="H1784" s="25">
        <v>98504</v>
      </c>
      <c r="I1784" s="25">
        <v>2482</v>
      </c>
      <c r="J1784" s="26">
        <v>1866.9</v>
      </c>
      <c r="K1784" s="25">
        <v>138</v>
      </c>
      <c r="L1784" s="21" t="s">
        <v>21</v>
      </c>
      <c r="M1784" s="22" t="s">
        <v>3536</v>
      </c>
      <c r="N1784" s="27">
        <f t="shared" si="216"/>
        <v>17</v>
      </c>
      <c r="O1784" s="28">
        <f t="shared" si="217"/>
        <v>2.5196946316900837E-2</v>
      </c>
      <c r="P1784" s="28">
        <f t="shared" si="218"/>
        <v>5.5600322320709106E-2</v>
      </c>
      <c r="Q1784" s="26">
        <f t="shared" si="219"/>
        <v>0.75217566478646258</v>
      </c>
      <c r="R1784" s="29">
        <f t="shared" si="220"/>
        <v>13.528260869565218</v>
      </c>
      <c r="S1784" s="30">
        <f t="shared" si="221"/>
        <v>11</v>
      </c>
      <c r="T1784" s="30">
        <f t="shared" si="222"/>
        <v>2023</v>
      </c>
      <c r="U1784" s="29" t="str">
        <f t="shared" si="223"/>
        <v>November</v>
      </c>
    </row>
    <row r="1785" spans="1:21" ht="17.399999999999999" x14ac:dyDescent="0.3">
      <c r="A1785" s="21" t="s">
        <v>693</v>
      </c>
      <c r="B1785" s="21" t="s">
        <v>694</v>
      </c>
      <c r="C1785" s="23" t="s">
        <v>3519</v>
      </c>
      <c r="D1785" s="21" t="s">
        <v>3521</v>
      </c>
      <c r="E1785" s="24">
        <v>45257</v>
      </c>
      <c r="F1785" s="24">
        <v>45286</v>
      </c>
      <c r="G1785" s="22" t="s">
        <v>16</v>
      </c>
      <c r="H1785" s="25">
        <v>73991</v>
      </c>
      <c r="I1785" s="25">
        <v>1883</v>
      </c>
      <c r="J1785" s="26">
        <v>2856.83</v>
      </c>
      <c r="K1785" s="25">
        <v>157</v>
      </c>
      <c r="L1785" s="21" t="s">
        <v>17</v>
      </c>
      <c r="M1785" s="22" t="s">
        <v>16</v>
      </c>
      <c r="N1785" s="27">
        <f t="shared" si="216"/>
        <v>29</v>
      </c>
      <c r="O1785" s="28">
        <f t="shared" si="217"/>
        <v>2.5449041099593193E-2</v>
      </c>
      <c r="P1785" s="28">
        <f t="shared" si="218"/>
        <v>8.3377588953797127E-2</v>
      </c>
      <c r="Q1785" s="26">
        <f t="shared" si="219"/>
        <v>1.5171694105151354</v>
      </c>
      <c r="R1785" s="29">
        <f t="shared" si="220"/>
        <v>18.196369426751591</v>
      </c>
      <c r="S1785" s="30">
        <f t="shared" si="221"/>
        <v>11</v>
      </c>
      <c r="T1785" s="30">
        <f t="shared" si="222"/>
        <v>2023</v>
      </c>
      <c r="U1785" s="29" t="str">
        <f t="shared" si="223"/>
        <v>November</v>
      </c>
    </row>
    <row r="1786" spans="1:21" ht="17.399999999999999" x14ac:dyDescent="0.3">
      <c r="A1786" s="21" t="s">
        <v>2612</v>
      </c>
      <c r="B1786" s="22" t="s">
        <v>4009</v>
      </c>
      <c r="C1786" s="23" t="s">
        <v>3518</v>
      </c>
      <c r="D1786" s="22" t="s">
        <v>3545</v>
      </c>
      <c r="E1786" s="24">
        <v>45257</v>
      </c>
      <c r="F1786" s="24">
        <v>45264</v>
      </c>
      <c r="G1786" s="22" t="s">
        <v>11</v>
      </c>
      <c r="H1786" s="25">
        <v>35020</v>
      </c>
      <c r="I1786" s="25">
        <v>900</v>
      </c>
      <c r="J1786" s="26">
        <v>682.03</v>
      </c>
      <c r="K1786" s="25">
        <v>0</v>
      </c>
      <c r="L1786" s="21" t="s">
        <v>21</v>
      </c>
      <c r="M1786" s="22" t="s">
        <v>11</v>
      </c>
      <c r="N1786" s="27">
        <f t="shared" si="216"/>
        <v>7</v>
      </c>
      <c r="O1786" s="28">
        <f t="shared" si="217"/>
        <v>2.5699600228440891E-2</v>
      </c>
      <c r="P1786" s="28">
        <f t="shared" si="218"/>
        <v>0</v>
      </c>
      <c r="Q1786" s="26">
        <f t="shared" si="219"/>
        <v>0.7578111111111111</v>
      </c>
      <c r="R1786" s="29" t="str">
        <f t="shared" si="220"/>
        <v>0</v>
      </c>
      <c r="S1786" s="30">
        <f t="shared" si="221"/>
        <v>11</v>
      </c>
      <c r="T1786" s="30">
        <f t="shared" si="222"/>
        <v>2023</v>
      </c>
      <c r="U1786" s="29" t="str">
        <f t="shared" si="223"/>
        <v>November</v>
      </c>
    </row>
    <row r="1787" spans="1:21" ht="17.399999999999999" x14ac:dyDescent="0.3">
      <c r="A1787" s="21" t="s">
        <v>845</v>
      </c>
      <c r="B1787" s="22" t="s">
        <v>4010</v>
      </c>
      <c r="C1787" s="23" t="s">
        <v>3516</v>
      </c>
      <c r="D1787" s="22" t="s">
        <v>3545</v>
      </c>
      <c r="E1787" s="24">
        <v>45257</v>
      </c>
      <c r="F1787" s="24">
        <v>45263</v>
      </c>
      <c r="G1787" s="22" t="s">
        <v>31</v>
      </c>
      <c r="H1787" s="25">
        <v>67617</v>
      </c>
      <c r="I1787" s="25">
        <v>2694</v>
      </c>
      <c r="J1787" s="26">
        <v>4836.2700000000004</v>
      </c>
      <c r="K1787" s="25">
        <v>389</v>
      </c>
      <c r="L1787" s="21" t="s">
        <v>17</v>
      </c>
      <c r="M1787" s="22" t="s">
        <v>31</v>
      </c>
      <c r="N1787" s="27">
        <f t="shared" si="216"/>
        <v>6</v>
      </c>
      <c r="O1787" s="28">
        <f t="shared" si="217"/>
        <v>3.9842051555082303E-2</v>
      </c>
      <c r="P1787" s="28">
        <f t="shared" si="218"/>
        <v>0.14439495174461767</v>
      </c>
      <c r="Q1787" s="26">
        <f t="shared" si="219"/>
        <v>1.7952004454342987</v>
      </c>
      <c r="R1787" s="29">
        <f t="shared" si="220"/>
        <v>12.432570694087405</v>
      </c>
      <c r="S1787" s="30">
        <f t="shared" si="221"/>
        <v>11</v>
      </c>
      <c r="T1787" s="30">
        <f t="shared" si="222"/>
        <v>2023</v>
      </c>
      <c r="U1787" s="29" t="str">
        <f t="shared" si="223"/>
        <v>November</v>
      </c>
    </row>
    <row r="1788" spans="1:21" ht="17.399999999999999" x14ac:dyDescent="0.3">
      <c r="A1788" s="21" t="s">
        <v>1599</v>
      </c>
      <c r="B1788" s="21" t="s">
        <v>1600</v>
      </c>
      <c r="C1788" s="23" t="s">
        <v>3516</v>
      </c>
      <c r="D1788" s="21" t="s">
        <v>3520</v>
      </c>
      <c r="E1788" s="24">
        <v>45257</v>
      </c>
      <c r="F1788" s="24">
        <v>45279</v>
      </c>
      <c r="G1788" s="22" t="s">
        <v>3535</v>
      </c>
      <c r="H1788" s="25">
        <v>12637</v>
      </c>
      <c r="I1788" s="25">
        <v>413</v>
      </c>
      <c r="J1788" s="26">
        <v>290.56</v>
      </c>
      <c r="K1788" s="25">
        <v>23</v>
      </c>
      <c r="L1788" s="21" t="s">
        <v>17</v>
      </c>
      <c r="M1788" s="22" t="s">
        <v>3535</v>
      </c>
      <c r="N1788" s="27">
        <f t="shared" si="216"/>
        <v>22</v>
      </c>
      <c r="O1788" s="28">
        <f t="shared" si="217"/>
        <v>3.2681807390994695E-2</v>
      </c>
      <c r="P1788" s="28">
        <f t="shared" si="218"/>
        <v>5.569007263922518E-2</v>
      </c>
      <c r="Q1788" s="26">
        <f t="shared" si="219"/>
        <v>0.70353510895883775</v>
      </c>
      <c r="R1788" s="29">
        <f t="shared" si="220"/>
        <v>12.63304347826087</v>
      </c>
      <c r="S1788" s="30">
        <f t="shared" si="221"/>
        <v>11</v>
      </c>
      <c r="T1788" s="30">
        <f t="shared" si="222"/>
        <v>2023</v>
      </c>
      <c r="U1788" s="29" t="str">
        <f t="shared" si="223"/>
        <v>November</v>
      </c>
    </row>
    <row r="1789" spans="1:21" ht="17.399999999999999" x14ac:dyDescent="0.3">
      <c r="A1789" s="21" t="s">
        <v>2948</v>
      </c>
      <c r="B1789" s="21" t="s">
        <v>2949</v>
      </c>
      <c r="C1789" s="23" t="s">
        <v>3516</v>
      </c>
      <c r="D1789" s="21" t="s">
        <v>3520</v>
      </c>
      <c r="E1789" s="24">
        <v>45257</v>
      </c>
      <c r="F1789" s="24">
        <v>45278</v>
      </c>
      <c r="G1789" s="22" t="s">
        <v>11</v>
      </c>
      <c r="H1789" s="25">
        <v>60720</v>
      </c>
      <c r="I1789" s="25">
        <v>1367</v>
      </c>
      <c r="J1789" s="26">
        <v>1880.83</v>
      </c>
      <c r="K1789" s="25">
        <v>143</v>
      </c>
      <c r="L1789" s="21" t="s">
        <v>21</v>
      </c>
      <c r="M1789" s="22" t="s">
        <v>11</v>
      </c>
      <c r="N1789" s="27">
        <f t="shared" si="216"/>
        <v>21</v>
      </c>
      <c r="O1789" s="28">
        <f t="shared" si="217"/>
        <v>2.2513175230566534E-2</v>
      </c>
      <c r="P1789" s="28">
        <f t="shared" si="218"/>
        <v>0.10460863204096561</v>
      </c>
      <c r="Q1789" s="26">
        <f t="shared" si="219"/>
        <v>1.3758814923189466</v>
      </c>
      <c r="R1789" s="29">
        <f t="shared" si="220"/>
        <v>13.152657342657342</v>
      </c>
      <c r="S1789" s="30">
        <f t="shared" si="221"/>
        <v>11</v>
      </c>
      <c r="T1789" s="30">
        <f t="shared" si="222"/>
        <v>2023</v>
      </c>
      <c r="U1789" s="29" t="str">
        <f t="shared" si="223"/>
        <v>November</v>
      </c>
    </row>
    <row r="1790" spans="1:21" ht="17.399999999999999" x14ac:dyDescent="0.3">
      <c r="A1790" s="21" t="s">
        <v>868</v>
      </c>
      <c r="B1790" s="21" t="s">
        <v>869</v>
      </c>
      <c r="C1790" s="23" t="s">
        <v>3515</v>
      </c>
      <c r="D1790" s="21" t="s">
        <v>3520</v>
      </c>
      <c r="E1790" s="24">
        <v>45257</v>
      </c>
      <c r="F1790" s="24">
        <v>45282</v>
      </c>
      <c r="G1790" s="22" t="s">
        <v>16</v>
      </c>
      <c r="H1790" s="25">
        <v>30375</v>
      </c>
      <c r="I1790" s="25">
        <v>734</v>
      </c>
      <c r="J1790" s="26">
        <v>525.88</v>
      </c>
      <c r="K1790" s="25">
        <v>82</v>
      </c>
      <c r="L1790" s="21" t="s">
        <v>17</v>
      </c>
      <c r="M1790" s="22" t="s">
        <v>16</v>
      </c>
      <c r="N1790" s="27">
        <f t="shared" si="216"/>
        <v>25</v>
      </c>
      <c r="O1790" s="28">
        <f t="shared" si="217"/>
        <v>2.4164609053497942E-2</v>
      </c>
      <c r="P1790" s="28">
        <f t="shared" si="218"/>
        <v>0.11171662125340599</v>
      </c>
      <c r="Q1790" s="26">
        <f t="shared" si="219"/>
        <v>0.71645776566757491</v>
      </c>
      <c r="R1790" s="29">
        <f t="shared" si="220"/>
        <v>6.413170731707317</v>
      </c>
      <c r="S1790" s="30">
        <f t="shared" si="221"/>
        <v>11</v>
      </c>
      <c r="T1790" s="30">
        <f t="shared" si="222"/>
        <v>2023</v>
      </c>
      <c r="U1790" s="29" t="str">
        <f t="shared" si="223"/>
        <v>November</v>
      </c>
    </row>
    <row r="1791" spans="1:21" ht="17.399999999999999" x14ac:dyDescent="0.3">
      <c r="A1791" s="21" t="s">
        <v>880</v>
      </c>
      <c r="B1791" s="21" t="s">
        <v>881</v>
      </c>
      <c r="C1791" s="23" t="s">
        <v>3515</v>
      </c>
      <c r="D1791" s="21" t="s">
        <v>3521</v>
      </c>
      <c r="E1791" s="24">
        <v>45257</v>
      </c>
      <c r="F1791" s="24">
        <v>45283</v>
      </c>
      <c r="G1791" s="22" t="s">
        <v>16</v>
      </c>
      <c r="H1791" s="25">
        <v>14284</v>
      </c>
      <c r="I1791" s="25">
        <v>656</v>
      </c>
      <c r="J1791" s="26">
        <v>1005.74</v>
      </c>
      <c r="K1791" s="25">
        <v>97</v>
      </c>
      <c r="L1791" s="21" t="s">
        <v>17</v>
      </c>
      <c r="M1791" s="22" t="s">
        <v>16</v>
      </c>
      <c r="N1791" s="27">
        <f t="shared" si="216"/>
        <v>26</v>
      </c>
      <c r="O1791" s="28">
        <f t="shared" si="217"/>
        <v>4.5925511061327362E-2</v>
      </c>
      <c r="P1791" s="28">
        <f t="shared" si="218"/>
        <v>0.14786585365853658</v>
      </c>
      <c r="Q1791" s="26">
        <f t="shared" si="219"/>
        <v>1.5331402439024391</v>
      </c>
      <c r="R1791" s="29">
        <f t="shared" si="220"/>
        <v>10.368453608247423</v>
      </c>
      <c r="S1791" s="30">
        <f t="shared" si="221"/>
        <v>11</v>
      </c>
      <c r="T1791" s="30">
        <f t="shared" si="222"/>
        <v>2023</v>
      </c>
      <c r="U1791" s="29" t="str">
        <f t="shared" si="223"/>
        <v>November</v>
      </c>
    </row>
    <row r="1792" spans="1:21" ht="17.399999999999999" x14ac:dyDescent="0.3">
      <c r="A1792" s="21" t="s">
        <v>890</v>
      </c>
      <c r="B1792" s="21" t="s">
        <v>891</v>
      </c>
      <c r="C1792" s="23" t="s">
        <v>3519</v>
      </c>
      <c r="D1792" s="21" t="s">
        <v>3517</v>
      </c>
      <c r="E1792" s="24">
        <v>45258</v>
      </c>
      <c r="F1792" s="24">
        <v>45278</v>
      </c>
      <c r="G1792" s="22" t="s">
        <v>16</v>
      </c>
      <c r="H1792" s="25">
        <v>10435</v>
      </c>
      <c r="I1792" s="25">
        <v>108</v>
      </c>
      <c r="J1792" s="26">
        <v>182.62</v>
      </c>
      <c r="K1792" s="25">
        <v>13</v>
      </c>
      <c r="L1792" s="21" t="s">
        <v>21</v>
      </c>
      <c r="M1792" s="22" t="s">
        <v>16</v>
      </c>
      <c r="N1792" s="27">
        <f t="shared" si="216"/>
        <v>20</v>
      </c>
      <c r="O1792" s="28">
        <f t="shared" si="217"/>
        <v>1.0349784379492095E-2</v>
      </c>
      <c r="P1792" s="28">
        <f t="shared" si="218"/>
        <v>0.12037037037037036</v>
      </c>
      <c r="Q1792" s="26">
        <f t="shared" si="219"/>
        <v>1.6909259259259259</v>
      </c>
      <c r="R1792" s="29">
        <f t="shared" si="220"/>
        <v>14.047692307692309</v>
      </c>
      <c r="S1792" s="30">
        <f t="shared" si="221"/>
        <v>11</v>
      </c>
      <c r="T1792" s="30">
        <f t="shared" si="222"/>
        <v>2023</v>
      </c>
      <c r="U1792" s="29" t="str">
        <f t="shared" si="223"/>
        <v>November</v>
      </c>
    </row>
    <row r="1793" spans="1:21" ht="17.399999999999999" x14ac:dyDescent="0.3">
      <c r="A1793" s="21" t="s">
        <v>480</v>
      </c>
      <c r="B1793" s="21" t="s">
        <v>481</v>
      </c>
      <c r="C1793" s="23" t="s">
        <v>3518</v>
      </c>
      <c r="D1793" s="21" t="s">
        <v>3517</v>
      </c>
      <c r="E1793" s="24">
        <v>45258</v>
      </c>
      <c r="F1793" s="24">
        <v>45283</v>
      </c>
      <c r="G1793" s="22" t="s">
        <v>31</v>
      </c>
      <c r="H1793" s="25">
        <v>9155</v>
      </c>
      <c r="I1793" s="25">
        <v>312</v>
      </c>
      <c r="J1793" s="26">
        <v>396.04</v>
      </c>
      <c r="K1793" s="25">
        <v>58</v>
      </c>
      <c r="L1793" s="21" t="s">
        <v>17</v>
      </c>
      <c r="M1793" s="22" t="s">
        <v>31</v>
      </c>
      <c r="N1793" s="27">
        <f t="shared" si="216"/>
        <v>25</v>
      </c>
      <c r="O1793" s="28">
        <f t="shared" si="217"/>
        <v>3.4079737848170401E-2</v>
      </c>
      <c r="P1793" s="28">
        <f t="shared" si="218"/>
        <v>0.1858974358974359</v>
      </c>
      <c r="Q1793" s="26">
        <f t="shared" si="219"/>
        <v>1.2693589743589744</v>
      </c>
      <c r="R1793" s="29">
        <f t="shared" si="220"/>
        <v>6.8282758620689661</v>
      </c>
      <c r="S1793" s="30">
        <f t="shared" si="221"/>
        <v>11</v>
      </c>
      <c r="T1793" s="30">
        <f t="shared" si="222"/>
        <v>2023</v>
      </c>
      <c r="U1793" s="29" t="str">
        <f t="shared" si="223"/>
        <v>November</v>
      </c>
    </row>
    <row r="1794" spans="1:21" ht="17.399999999999999" x14ac:dyDescent="0.3">
      <c r="A1794" s="21" t="s">
        <v>1014</v>
      </c>
      <c r="B1794" s="22" t="s">
        <v>4011</v>
      </c>
      <c r="C1794" s="23" t="s">
        <v>3518</v>
      </c>
      <c r="D1794" s="22" t="s">
        <v>3545</v>
      </c>
      <c r="E1794" s="24">
        <v>45258</v>
      </c>
      <c r="F1794" s="24">
        <v>45276</v>
      </c>
      <c r="G1794" s="22" t="s">
        <v>14</v>
      </c>
      <c r="H1794" s="25">
        <v>66953</v>
      </c>
      <c r="I1794" s="25">
        <v>3025</v>
      </c>
      <c r="J1794" s="26">
        <v>1707.85</v>
      </c>
      <c r="K1794" s="25">
        <v>477</v>
      </c>
      <c r="L1794" s="21" t="s">
        <v>21</v>
      </c>
      <c r="M1794" s="22" t="s">
        <v>3537</v>
      </c>
      <c r="N1794" s="27">
        <f t="shared" ref="N1794:N1857" si="224">F1794-E1794</f>
        <v>18</v>
      </c>
      <c r="O1794" s="28">
        <f t="shared" ref="O1794:O1857" si="225">I1794/H1794</f>
        <v>4.5180947829074128E-2</v>
      </c>
      <c r="P1794" s="28">
        <f t="shared" ref="P1794:P1857" si="226">K1794/I1794</f>
        <v>0.15768595041322314</v>
      </c>
      <c r="Q1794" s="26">
        <f t="shared" ref="Q1794:Q1857" si="227">J1794/I1794</f>
        <v>0.56457851239669421</v>
      </c>
      <c r="R1794" s="29">
        <f t="shared" ref="R1794:R1857" si="228">IFERROR(J1794/K1794,"0")</f>
        <v>3.5803983228511527</v>
      </c>
      <c r="S1794" s="30">
        <f t="shared" ref="S1794:S1857" si="229">MONTH(E1794)</f>
        <v>11</v>
      </c>
      <c r="T1794" s="30">
        <f t="shared" ref="T1794:T1857" si="230">YEAR(E1794)</f>
        <v>2023</v>
      </c>
      <c r="U1794" s="29" t="str">
        <f t="shared" ref="U1794:U1857" si="231">TEXT(E1794,"mmmm")</f>
        <v>November</v>
      </c>
    </row>
    <row r="1795" spans="1:21" ht="17.399999999999999" x14ac:dyDescent="0.3">
      <c r="A1795" s="21" t="s">
        <v>1597</v>
      </c>
      <c r="B1795" s="21" t="s">
        <v>1598</v>
      </c>
      <c r="C1795" s="23" t="s">
        <v>3518</v>
      </c>
      <c r="D1795" s="21" t="s">
        <v>3520</v>
      </c>
      <c r="E1795" s="24">
        <v>45258</v>
      </c>
      <c r="F1795" s="24">
        <v>45286</v>
      </c>
      <c r="G1795" s="22" t="s">
        <v>14</v>
      </c>
      <c r="H1795" s="25">
        <v>7090</v>
      </c>
      <c r="I1795" s="25">
        <v>83</v>
      </c>
      <c r="J1795" s="26">
        <v>109.32</v>
      </c>
      <c r="K1795" s="25">
        <v>8</v>
      </c>
      <c r="L1795" s="21" t="s">
        <v>21</v>
      </c>
      <c r="M1795" s="22" t="s">
        <v>3537</v>
      </c>
      <c r="N1795" s="27">
        <f t="shared" si="224"/>
        <v>28</v>
      </c>
      <c r="O1795" s="28">
        <f t="shared" si="225"/>
        <v>1.1706629055007052E-2</v>
      </c>
      <c r="P1795" s="28">
        <f t="shared" si="226"/>
        <v>9.6385542168674704E-2</v>
      </c>
      <c r="Q1795" s="26">
        <f t="shared" si="227"/>
        <v>1.3171084337349397</v>
      </c>
      <c r="R1795" s="29">
        <f t="shared" si="228"/>
        <v>13.664999999999999</v>
      </c>
      <c r="S1795" s="30">
        <f t="shared" si="229"/>
        <v>11</v>
      </c>
      <c r="T1795" s="30">
        <f t="shared" si="230"/>
        <v>2023</v>
      </c>
      <c r="U1795" s="29" t="str">
        <f t="shared" si="231"/>
        <v>November</v>
      </c>
    </row>
    <row r="1796" spans="1:21" ht="17.399999999999999" x14ac:dyDescent="0.3">
      <c r="A1796" s="21" t="s">
        <v>2468</v>
      </c>
      <c r="B1796" s="22" t="s">
        <v>4012</v>
      </c>
      <c r="C1796" s="23" t="s">
        <v>3518</v>
      </c>
      <c r="D1796" s="22" t="s">
        <v>3545</v>
      </c>
      <c r="E1796" s="24">
        <v>45258</v>
      </c>
      <c r="F1796" s="24">
        <v>45284</v>
      </c>
      <c r="G1796" s="22" t="s">
        <v>14</v>
      </c>
      <c r="H1796" s="25">
        <v>93201</v>
      </c>
      <c r="I1796" s="25">
        <v>4285</v>
      </c>
      <c r="J1796" s="26">
        <v>5702.2</v>
      </c>
      <c r="K1796" s="25">
        <v>0</v>
      </c>
      <c r="L1796" s="21" t="s">
        <v>21</v>
      </c>
      <c r="M1796" s="22" t="s">
        <v>3537</v>
      </c>
      <c r="N1796" s="27">
        <f t="shared" si="224"/>
        <v>26</v>
      </c>
      <c r="O1796" s="28">
        <f t="shared" si="225"/>
        <v>4.5975901546120752E-2</v>
      </c>
      <c r="P1796" s="28">
        <f t="shared" si="226"/>
        <v>0</v>
      </c>
      <c r="Q1796" s="26">
        <f t="shared" si="227"/>
        <v>1.33073512252042</v>
      </c>
      <c r="R1796" s="29" t="str">
        <f t="shared" si="228"/>
        <v>0</v>
      </c>
      <c r="S1796" s="30">
        <f t="shared" si="229"/>
        <v>11</v>
      </c>
      <c r="T1796" s="30">
        <f t="shared" si="230"/>
        <v>2023</v>
      </c>
      <c r="U1796" s="29" t="str">
        <f t="shared" si="231"/>
        <v>November</v>
      </c>
    </row>
    <row r="1797" spans="1:21" ht="17.399999999999999" x14ac:dyDescent="0.3">
      <c r="A1797" s="21" t="s">
        <v>392</v>
      </c>
      <c r="B1797" s="22" t="s">
        <v>4013</v>
      </c>
      <c r="C1797" s="23" t="s">
        <v>3516</v>
      </c>
      <c r="D1797" s="22" t="s">
        <v>3545</v>
      </c>
      <c r="E1797" s="24">
        <v>45258</v>
      </c>
      <c r="F1797" s="24">
        <v>45270</v>
      </c>
      <c r="G1797" s="22" t="s">
        <v>16</v>
      </c>
      <c r="H1797" s="25">
        <v>94264</v>
      </c>
      <c r="I1797" s="25">
        <v>3934</v>
      </c>
      <c r="J1797" s="26">
        <v>7267.5</v>
      </c>
      <c r="K1797" s="25">
        <v>453</v>
      </c>
      <c r="L1797" s="21" t="s">
        <v>21</v>
      </c>
      <c r="M1797" s="22" t="s">
        <v>16</v>
      </c>
      <c r="N1797" s="27">
        <f t="shared" si="224"/>
        <v>12</v>
      </c>
      <c r="O1797" s="28">
        <f t="shared" si="225"/>
        <v>4.1733853857251972E-2</v>
      </c>
      <c r="P1797" s="28">
        <f t="shared" si="226"/>
        <v>0.11514997458057956</v>
      </c>
      <c r="Q1797" s="26">
        <f t="shared" si="227"/>
        <v>1.8473563802745296</v>
      </c>
      <c r="R1797" s="29">
        <f t="shared" si="228"/>
        <v>16.043046357615893</v>
      </c>
      <c r="S1797" s="30">
        <f t="shared" si="229"/>
        <v>11</v>
      </c>
      <c r="T1797" s="30">
        <f t="shared" si="230"/>
        <v>2023</v>
      </c>
      <c r="U1797" s="29" t="str">
        <f t="shared" si="231"/>
        <v>November</v>
      </c>
    </row>
    <row r="1798" spans="1:21" ht="17.399999999999999" x14ac:dyDescent="0.3">
      <c r="A1798" s="21" t="s">
        <v>2568</v>
      </c>
      <c r="B1798" s="21" t="s">
        <v>2569</v>
      </c>
      <c r="C1798" s="23" t="s">
        <v>3516</v>
      </c>
      <c r="D1798" s="21" t="s">
        <v>3520</v>
      </c>
      <c r="E1798" s="24">
        <v>45258</v>
      </c>
      <c r="F1798" s="24">
        <v>45283</v>
      </c>
      <c r="G1798" s="22" t="s">
        <v>3535</v>
      </c>
      <c r="H1798" s="25">
        <v>68298</v>
      </c>
      <c r="I1798" s="25">
        <v>3401</v>
      </c>
      <c r="J1798" s="26">
        <v>2013.86</v>
      </c>
      <c r="K1798" s="25">
        <v>475</v>
      </c>
      <c r="L1798" s="21" t="s">
        <v>17</v>
      </c>
      <c r="M1798" s="22" t="s">
        <v>3535</v>
      </c>
      <c r="N1798" s="27">
        <f t="shared" si="224"/>
        <v>25</v>
      </c>
      <c r="O1798" s="28">
        <f t="shared" si="225"/>
        <v>4.9796480131189785E-2</v>
      </c>
      <c r="P1798" s="28">
        <f t="shared" si="226"/>
        <v>0.13966480446927373</v>
      </c>
      <c r="Q1798" s="26">
        <f t="shared" si="227"/>
        <v>0.5921376065862981</v>
      </c>
      <c r="R1798" s="29">
        <f t="shared" si="228"/>
        <v>4.2397052631578944</v>
      </c>
      <c r="S1798" s="30">
        <f t="shared" si="229"/>
        <v>11</v>
      </c>
      <c r="T1798" s="30">
        <f t="shared" si="230"/>
        <v>2023</v>
      </c>
      <c r="U1798" s="29" t="str">
        <f t="shared" si="231"/>
        <v>November</v>
      </c>
    </row>
    <row r="1799" spans="1:21" ht="17.399999999999999" x14ac:dyDescent="0.3">
      <c r="A1799" s="21" t="s">
        <v>2675</v>
      </c>
      <c r="B1799" s="21" t="s">
        <v>2676</v>
      </c>
      <c r="C1799" s="23" t="s">
        <v>3515</v>
      </c>
      <c r="D1799" s="21" t="s">
        <v>3521</v>
      </c>
      <c r="E1799" s="24">
        <v>45258</v>
      </c>
      <c r="F1799" s="24">
        <v>45281</v>
      </c>
      <c r="G1799" s="22" t="s">
        <v>11</v>
      </c>
      <c r="H1799" s="25">
        <v>38641</v>
      </c>
      <c r="I1799" s="25">
        <v>1073</v>
      </c>
      <c r="J1799" s="26">
        <v>1662.5</v>
      </c>
      <c r="K1799" s="25">
        <v>136</v>
      </c>
      <c r="L1799" s="21" t="s">
        <v>21</v>
      </c>
      <c r="M1799" s="22" t="s">
        <v>11</v>
      </c>
      <c r="N1799" s="27">
        <f t="shared" si="224"/>
        <v>23</v>
      </c>
      <c r="O1799" s="28">
        <f t="shared" si="225"/>
        <v>2.7768432493983076E-2</v>
      </c>
      <c r="P1799" s="28">
        <f t="shared" si="226"/>
        <v>0.12674743709226469</v>
      </c>
      <c r="Q1799" s="26">
        <f t="shared" si="227"/>
        <v>1.549394221808015</v>
      </c>
      <c r="R1799" s="29">
        <f t="shared" si="228"/>
        <v>12.224264705882353</v>
      </c>
      <c r="S1799" s="30">
        <f t="shared" si="229"/>
        <v>11</v>
      </c>
      <c r="T1799" s="30">
        <f t="shared" si="230"/>
        <v>2023</v>
      </c>
      <c r="U1799" s="29" t="str">
        <f t="shared" si="231"/>
        <v>November</v>
      </c>
    </row>
    <row r="1800" spans="1:21" ht="17.399999999999999" x14ac:dyDescent="0.3">
      <c r="A1800" s="21" t="s">
        <v>580</v>
      </c>
      <c r="B1800" s="21" t="s">
        <v>581</v>
      </c>
      <c r="C1800" s="23" t="s">
        <v>3519</v>
      </c>
      <c r="D1800" s="21" t="s">
        <v>3517</v>
      </c>
      <c r="E1800" s="24">
        <v>45259</v>
      </c>
      <c r="F1800" s="24">
        <v>45263</v>
      </c>
      <c r="G1800" s="22" t="s">
        <v>11</v>
      </c>
      <c r="H1800" s="25">
        <v>59871</v>
      </c>
      <c r="I1800" s="25">
        <v>980</v>
      </c>
      <c r="J1800" s="26">
        <v>1525</v>
      </c>
      <c r="K1800" s="25">
        <v>172</v>
      </c>
      <c r="L1800" s="21" t="s">
        <v>17</v>
      </c>
      <c r="M1800" s="22" t="s">
        <v>11</v>
      </c>
      <c r="N1800" s="27">
        <f t="shared" si="224"/>
        <v>4</v>
      </c>
      <c r="O1800" s="28">
        <f t="shared" si="225"/>
        <v>1.6368525663509881E-2</v>
      </c>
      <c r="P1800" s="28">
        <f t="shared" si="226"/>
        <v>0.17551020408163265</v>
      </c>
      <c r="Q1800" s="26">
        <f t="shared" si="227"/>
        <v>1.5561224489795917</v>
      </c>
      <c r="R1800" s="29">
        <f t="shared" si="228"/>
        <v>8.8662790697674421</v>
      </c>
      <c r="S1800" s="30">
        <f t="shared" si="229"/>
        <v>11</v>
      </c>
      <c r="T1800" s="30">
        <f t="shared" si="230"/>
        <v>2023</v>
      </c>
      <c r="U1800" s="29" t="str">
        <f t="shared" si="231"/>
        <v>November</v>
      </c>
    </row>
    <row r="1801" spans="1:21" ht="17.399999999999999" x14ac:dyDescent="0.3">
      <c r="A1801" s="21" t="s">
        <v>1749</v>
      </c>
      <c r="B1801" s="22" t="s">
        <v>4014</v>
      </c>
      <c r="C1801" s="23" t="s">
        <v>3519</v>
      </c>
      <c r="D1801" s="22" t="s">
        <v>3545</v>
      </c>
      <c r="E1801" s="24">
        <v>45259</v>
      </c>
      <c r="F1801" s="24">
        <v>45282</v>
      </c>
      <c r="G1801" s="22" t="s">
        <v>24</v>
      </c>
      <c r="H1801" s="25">
        <v>78735</v>
      </c>
      <c r="I1801" s="25">
        <v>2914</v>
      </c>
      <c r="J1801" s="26">
        <v>2869.27</v>
      </c>
      <c r="K1801" s="25">
        <v>464</v>
      </c>
      <c r="L1801" s="21" t="s">
        <v>17</v>
      </c>
      <c r="M1801" s="22" t="s">
        <v>3536</v>
      </c>
      <c r="N1801" s="27">
        <f t="shared" si="224"/>
        <v>23</v>
      </c>
      <c r="O1801" s="28">
        <f t="shared" si="225"/>
        <v>3.7010224169683116E-2</v>
      </c>
      <c r="P1801" s="28">
        <f t="shared" si="226"/>
        <v>0.15923129718599863</v>
      </c>
      <c r="Q1801" s="26">
        <f t="shared" si="227"/>
        <v>0.98464996568291008</v>
      </c>
      <c r="R1801" s="29">
        <f t="shared" si="228"/>
        <v>6.1837715517241376</v>
      </c>
      <c r="S1801" s="30">
        <f t="shared" si="229"/>
        <v>11</v>
      </c>
      <c r="T1801" s="30">
        <f t="shared" si="230"/>
        <v>2023</v>
      </c>
      <c r="U1801" s="29" t="str">
        <f t="shared" si="231"/>
        <v>November</v>
      </c>
    </row>
    <row r="1802" spans="1:21" ht="17.399999999999999" x14ac:dyDescent="0.3">
      <c r="A1802" s="21" t="s">
        <v>2008</v>
      </c>
      <c r="B1802" s="22" t="s">
        <v>4015</v>
      </c>
      <c r="C1802" s="23" t="s">
        <v>3519</v>
      </c>
      <c r="D1802" s="22" t="s">
        <v>3545</v>
      </c>
      <c r="E1802" s="24">
        <v>45259</v>
      </c>
      <c r="F1802" s="24">
        <v>45289</v>
      </c>
      <c r="G1802" s="22" t="s">
        <v>16</v>
      </c>
      <c r="H1802" s="25">
        <v>88487</v>
      </c>
      <c r="I1802" s="25">
        <v>2038</v>
      </c>
      <c r="J1802" s="26">
        <v>1199.9000000000001</v>
      </c>
      <c r="K1802" s="25">
        <v>391</v>
      </c>
      <c r="L1802" s="21" t="s">
        <v>21</v>
      </c>
      <c r="M1802" s="22" t="s">
        <v>16</v>
      </c>
      <c r="N1802" s="27">
        <f t="shared" si="224"/>
        <v>30</v>
      </c>
      <c r="O1802" s="28">
        <f t="shared" si="225"/>
        <v>2.3031631765118039E-2</v>
      </c>
      <c r="P1802" s="28">
        <f t="shared" si="226"/>
        <v>0.19185475956820411</v>
      </c>
      <c r="Q1802" s="26">
        <f t="shared" si="227"/>
        <v>0.58876349362119729</v>
      </c>
      <c r="R1802" s="29">
        <f t="shared" si="228"/>
        <v>3.0687979539641947</v>
      </c>
      <c r="S1802" s="30">
        <f t="shared" si="229"/>
        <v>11</v>
      </c>
      <c r="T1802" s="30">
        <f t="shared" si="230"/>
        <v>2023</v>
      </c>
      <c r="U1802" s="29" t="str">
        <f t="shared" si="231"/>
        <v>November</v>
      </c>
    </row>
    <row r="1803" spans="1:21" ht="17.399999999999999" x14ac:dyDescent="0.3">
      <c r="A1803" s="21" t="s">
        <v>2515</v>
      </c>
      <c r="B1803" s="21" t="s">
        <v>2516</v>
      </c>
      <c r="C1803" s="23" t="s">
        <v>3516</v>
      </c>
      <c r="D1803" s="21" t="s">
        <v>3521</v>
      </c>
      <c r="E1803" s="24">
        <v>45259</v>
      </c>
      <c r="F1803" s="24">
        <v>45288</v>
      </c>
      <c r="G1803" s="22" t="s">
        <v>31</v>
      </c>
      <c r="H1803" s="25">
        <v>12664</v>
      </c>
      <c r="I1803" s="25">
        <v>209</v>
      </c>
      <c r="J1803" s="26">
        <v>336.21</v>
      </c>
      <c r="K1803" s="25">
        <v>14</v>
      </c>
      <c r="L1803" s="21" t="s">
        <v>21</v>
      </c>
      <c r="M1803" s="22" t="s">
        <v>31</v>
      </c>
      <c r="N1803" s="27">
        <f t="shared" si="224"/>
        <v>29</v>
      </c>
      <c r="O1803" s="28">
        <f t="shared" si="225"/>
        <v>1.6503474415666457E-2</v>
      </c>
      <c r="P1803" s="28">
        <f t="shared" si="226"/>
        <v>6.6985645933014357E-2</v>
      </c>
      <c r="Q1803" s="26">
        <f t="shared" si="227"/>
        <v>1.6086602870813396</v>
      </c>
      <c r="R1803" s="29">
        <f t="shared" si="228"/>
        <v>24.014999999999997</v>
      </c>
      <c r="S1803" s="30">
        <f t="shared" si="229"/>
        <v>11</v>
      </c>
      <c r="T1803" s="30">
        <f t="shared" si="230"/>
        <v>2023</v>
      </c>
      <c r="U1803" s="29" t="str">
        <f t="shared" si="231"/>
        <v>November</v>
      </c>
    </row>
    <row r="1804" spans="1:21" ht="17.399999999999999" x14ac:dyDescent="0.3">
      <c r="A1804" s="21" t="s">
        <v>2650</v>
      </c>
      <c r="B1804" s="21" t="s">
        <v>2651</v>
      </c>
      <c r="C1804" s="23" t="s">
        <v>3516</v>
      </c>
      <c r="D1804" s="21" t="s">
        <v>3517</v>
      </c>
      <c r="E1804" s="24">
        <v>45259</v>
      </c>
      <c r="F1804" s="24">
        <v>45288</v>
      </c>
      <c r="G1804" s="22" t="s">
        <v>11</v>
      </c>
      <c r="H1804" s="25">
        <v>72431</v>
      </c>
      <c r="I1804" s="25">
        <v>1436</v>
      </c>
      <c r="J1804" s="26">
        <v>1681.27</v>
      </c>
      <c r="K1804" s="25">
        <v>279</v>
      </c>
      <c r="L1804" s="21" t="s">
        <v>21</v>
      </c>
      <c r="M1804" s="22" t="s">
        <v>11</v>
      </c>
      <c r="N1804" s="27">
        <f t="shared" si="224"/>
        <v>29</v>
      </c>
      <c r="O1804" s="28">
        <f t="shared" si="225"/>
        <v>1.9825765211028426E-2</v>
      </c>
      <c r="P1804" s="28">
        <f t="shared" si="226"/>
        <v>0.19428969359331477</v>
      </c>
      <c r="Q1804" s="26">
        <f t="shared" si="227"/>
        <v>1.170800835654596</v>
      </c>
      <c r="R1804" s="29">
        <f t="shared" si="228"/>
        <v>6.0260573476702506</v>
      </c>
      <c r="S1804" s="30">
        <f t="shared" si="229"/>
        <v>11</v>
      </c>
      <c r="T1804" s="30">
        <f t="shared" si="230"/>
        <v>2023</v>
      </c>
      <c r="U1804" s="29" t="str">
        <f t="shared" si="231"/>
        <v>November</v>
      </c>
    </row>
    <row r="1805" spans="1:21" ht="17.399999999999999" x14ac:dyDescent="0.3">
      <c r="A1805" s="21" t="s">
        <v>3250</v>
      </c>
      <c r="B1805" s="21" t="s">
        <v>3251</v>
      </c>
      <c r="C1805" s="23" t="s">
        <v>3516</v>
      </c>
      <c r="D1805" s="21" t="s">
        <v>3517</v>
      </c>
      <c r="E1805" s="24">
        <v>45259</v>
      </c>
      <c r="F1805" s="24">
        <v>45261</v>
      </c>
      <c r="G1805" s="22" t="s">
        <v>3535</v>
      </c>
      <c r="H1805" s="25">
        <v>77961</v>
      </c>
      <c r="I1805" s="25">
        <v>3292</v>
      </c>
      <c r="J1805" s="26">
        <v>4713.42</v>
      </c>
      <c r="K1805" s="25">
        <v>649</v>
      </c>
      <c r="L1805" s="21" t="s">
        <v>21</v>
      </c>
      <c r="M1805" s="22" t="s">
        <v>3535</v>
      </c>
      <c r="N1805" s="27">
        <f t="shared" si="224"/>
        <v>2</v>
      </c>
      <c r="O1805" s="28">
        <f t="shared" si="225"/>
        <v>4.22262413257911E-2</v>
      </c>
      <c r="P1805" s="28">
        <f t="shared" si="226"/>
        <v>0.19714459295261239</v>
      </c>
      <c r="Q1805" s="26">
        <f t="shared" si="227"/>
        <v>1.4317800729040098</v>
      </c>
      <c r="R1805" s="29">
        <f t="shared" si="228"/>
        <v>7.2625885978428348</v>
      </c>
      <c r="S1805" s="30">
        <f t="shared" si="229"/>
        <v>11</v>
      </c>
      <c r="T1805" s="30">
        <f t="shared" si="230"/>
        <v>2023</v>
      </c>
      <c r="U1805" s="29" t="str">
        <f t="shared" si="231"/>
        <v>November</v>
      </c>
    </row>
    <row r="1806" spans="1:21" ht="17.399999999999999" x14ac:dyDescent="0.3">
      <c r="A1806" s="21" t="s">
        <v>1773</v>
      </c>
      <c r="B1806" s="21" t="s">
        <v>1774</v>
      </c>
      <c r="C1806" s="23" t="s">
        <v>3515</v>
      </c>
      <c r="D1806" s="21" t="s">
        <v>3521</v>
      </c>
      <c r="E1806" s="24">
        <v>45259</v>
      </c>
      <c r="F1806" s="24">
        <v>45277</v>
      </c>
      <c r="G1806" s="22" t="s">
        <v>11</v>
      </c>
      <c r="H1806" s="25">
        <v>18260</v>
      </c>
      <c r="I1806" s="25">
        <v>879</v>
      </c>
      <c r="J1806" s="26">
        <v>1254.24</v>
      </c>
      <c r="K1806" s="25">
        <v>132</v>
      </c>
      <c r="L1806" s="21" t="s">
        <v>21</v>
      </c>
      <c r="M1806" s="22" t="s">
        <v>11</v>
      </c>
      <c r="N1806" s="27">
        <f t="shared" si="224"/>
        <v>18</v>
      </c>
      <c r="O1806" s="28">
        <f t="shared" si="225"/>
        <v>4.8138006571741512E-2</v>
      </c>
      <c r="P1806" s="28">
        <f t="shared" si="226"/>
        <v>0.15017064846416384</v>
      </c>
      <c r="Q1806" s="26">
        <f t="shared" si="227"/>
        <v>1.4268941979522185</v>
      </c>
      <c r="R1806" s="29">
        <f t="shared" si="228"/>
        <v>9.5018181818181819</v>
      </c>
      <c r="S1806" s="30">
        <f t="shared" si="229"/>
        <v>11</v>
      </c>
      <c r="T1806" s="30">
        <f t="shared" si="230"/>
        <v>2023</v>
      </c>
      <c r="U1806" s="29" t="str">
        <f t="shared" si="231"/>
        <v>November</v>
      </c>
    </row>
    <row r="1807" spans="1:21" ht="17.399999999999999" x14ac:dyDescent="0.3">
      <c r="A1807" s="21" t="s">
        <v>3485</v>
      </c>
      <c r="B1807" s="21" t="s">
        <v>3486</v>
      </c>
      <c r="C1807" s="23" t="s">
        <v>3515</v>
      </c>
      <c r="D1807" s="21" t="s">
        <v>3520</v>
      </c>
      <c r="E1807" s="24">
        <v>45259</v>
      </c>
      <c r="F1807" s="24">
        <v>45288</v>
      </c>
      <c r="G1807" s="22" t="s">
        <v>16</v>
      </c>
      <c r="H1807" s="25">
        <v>80148</v>
      </c>
      <c r="I1807" s="25">
        <v>2827</v>
      </c>
      <c r="J1807" s="26">
        <v>2527.5700000000002</v>
      </c>
      <c r="K1807" s="25">
        <v>192</v>
      </c>
      <c r="L1807" s="21" t="s">
        <v>21</v>
      </c>
      <c r="M1807" s="22" t="s">
        <v>16</v>
      </c>
      <c r="N1807" s="27">
        <f t="shared" si="224"/>
        <v>29</v>
      </c>
      <c r="O1807" s="28">
        <f t="shared" si="225"/>
        <v>3.5272246344263111E-2</v>
      </c>
      <c r="P1807" s="28">
        <f t="shared" si="226"/>
        <v>6.7916519278386989E-2</v>
      </c>
      <c r="Q1807" s="26">
        <f t="shared" si="227"/>
        <v>0.89408206579412808</v>
      </c>
      <c r="R1807" s="29">
        <f t="shared" si="228"/>
        <v>13.164427083333335</v>
      </c>
      <c r="S1807" s="30">
        <f t="shared" si="229"/>
        <v>11</v>
      </c>
      <c r="T1807" s="30">
        <f t="shared" si="230"/>
        <v>2023</v>
      </c>
      <c r="U1807" s="29" t="str">
        <f t="shared" si="231"/>
        <v>November</v>
      </c>
    </row>
    <row r="1808" spans="1:21" ht="17.399999999999999" x14ac:dyDescent="0.3">
      <c r="A1808" s="21" t="s">
        <v>362</v>
      </c>
      <c r="B1808" s="21" t="s">
        <v>363</v>
      </c>
      <c r="C1808" s="23" t="s">
        <v>3519</v>
      </c>
      <c r="D1808" s="21" t="s">
        <v>3517</v>
      </c>
      <c r="E1808" s="24">
        <v>45260</v>
      </c>
      <c r="F1808" s="24">
        <v>45287</v>
      </c>
      <c r="G1808" s="22" t="s">
        <v>16</v>
      </c>
      <c r="H1808" s="25">
        <v>62087</v>
      </c>
      <c r="I1808" s="25">
        <v>2285</v>
      </c>
      <c r="J1808" s="26">
        <v>4519.63</v>
      </c>
      <c r="K1808" s="25">
        <v>143</v>
      </c>
      <c r="L1808" s="21" t="s">
        <v>17</v>
      </c>
      <c r="M1808" s="22" t="s">
        <v>16</v>
      </c>
      <c r="N1808" s="27">
        <f t="shared" si="224"/>
        <v>27</v>
      </c>
      <c r="O1808" s="28">
        <f t="shared" si="225"/>
        <v>3.6803195515969528E-2</v>
      </c>
      <c r="P1808" s="28">
        <f t="shared" si="226"/>
        <v>6.2582056892778987E-2</v>
      </c>
      <c r="Q1808" s="26">
        <f t="shared" si="227"/>
        <v>1.9779562363238512</v>
      </c>
      <c r="R1808" s="29">
        <f t="shared" si="228"/>
        <v>31.605804195804197</v>
      </c>
      <c r="S1808" s="30">
        <f t="shared" si="229"/>
        <v>11</v>
      </c>
      <c r="T1808" s="30">
        <f t="shared" si="230"/>
        <v>2023</v>
      </c>
      <c r="U1808" s="29" t="str">
        <f t="shared" si="231"/>
        <v>November</v>
      </c>
    </row>
    <row r="1809" spans="1:21" ht="17.399999999999999" x14ac:dyDescent="0.3">
      <c r="A1809" s="21" t="s">
        <v>1560</v>
      </c>
      <c r="B1809" s="21" t="s">
        <v>1561</v>
      </c>
      <c r="C1809" s="23" t="s">
        <v>3519</v>
      </c>
      <c r="D1809" s="21" t="s">
        <v>3521</v>
      </c>
      <c r="E1809" s="24">
        <v>45260</v>
      </c>
      <c r="F1809" s="24">
        <v>45271</v>
      </c>
      <c r="G1809" s="22" t="s">
        <v>14</v>
      </c>
      <c r="H1809" s="25">
        <v>44088</v>
      </c>
      <c r="I1809" s="25">
        <v>1184</v>
      </c>
      <c r="J1809" s="26">
        <v>1521.85</v>
      </c>
      <c r="K1809" s="25">
        <v>105</v>
      </c>
      <c r="L1809" s="21" t="s">
        <v>21</v>
      </c>
      <c r="M1809" s="22" t="s">
        <v>3537</v>
      </c>
      <c r="N1809" s="27">
        <f t="shared" si="224"/>
        <v>11</v>
      </c>
      <c r="O1809" s="28">
        <f t="shared" si="225"/>
        <v>2.6855380148793323E-2</v>
      </c>
      <c r="P1809" s="28">
        <f t="shared" si="226"/>
        <v>8.8682432432432429E-2</v>
      </c>
      <c r="Q1809" s="26">
        <f t="shared" si="227"/>
        <v>1.2853462837837837</v>
      </c>
      <c r="R1809" s="29">
        <f t="shared" si="228"/>
        <v>14.493809523809523</v>
      </c>
      <c r="S1809" s="30">
        <f t="shared" si="229"/>
        <v>11</v>
      </c>
      <c r="T1809" s="30">
        <f t="shared" si="230"/>
        <v>2023</v>
      </c>
      <c r="U1809" s="29" t="str">
        <f t="shared" si="231"/>
        <v>November</v>
      </c>
    </row>
    <row r="1810" spans="1:21" ht="17.399999999999999" x14ac:dyDescent="0.3">
      <c r="A1810" s="21" t="s">
        <v>2528</v>
      </c>
      <c r="B1810" s="22" t="s">
        <v>4016</v>
      </c>
      <c r="C1810" s="23" t="s">
        <v>3518</v>
      </c>
      <c r="D1810" s="22" t="s">
        <v>3545</v>
      </c>
      <c r="E1810" s="24">
        <v>45260</v>
      </c>
      <c r="F1810" s="24">
        <v>45282</v>
      </c>
      <c r="G1810" s="22" t="s">
        <v>24</v>
      </c>
      <c r="H1810" s="25">
        <v>20250</v>
      </c>
      <c r="I1810" s="25">
        <v>761</v>
      </c>
      <c r="J1810" s="26">
        <v>423.53</v>
      </c>
      <c r="K1810" s="25">
        <v>91</v>
      </c>
      <c r="L1810" s="21" t="s">
        <v>21</v>
      </c>
      <c r="M1810" s="22" t="s">
        <v>3536</v>
      </c>
      <c r="N1810" s="27">
        <f t="shared" si="224"/>
        <v>22</v>
      </c>
      <c r="O1810" s="28">
        <f t="shared" si="225"/>
        <v>3.7580246913580244E-2</v>
      </c>
      <c r="P1810" s="28">
        <f t="shared" si="226"/>
        <v>0.11957950065703023</v>
      </c>
      <c r="Q1810" s="26">
        <f t="shared" si="227"/>
        <v>0.55654402102496714</v>
      </c>
      <c r="R1810" s="29">
        <f t="shared" si="228"/>
        <v>4.654175824175824</v>
      </c>
      <c r="S1810" s="30">
        <f t="shared" si="229"/>
        <v>11</v>
      </c>
      <c r="T1810" s="30">
        <f t="shared" si="230"/>
        <v>2023</v>
      </c>
      <c r="U1810" s="29" t="str">
        <f t="shared" si="231"/>
        <v>November</v>
      </c>
    </row>
    <row r="1811" spans="1:21" ht="17.399999999999999" x14ac:dyDescent="0.3">
      <c r="A1811" s="21" t="s">
        <v>397</v>
      </c>
      <c r="B1811" s="22" t="s">
        <v>4017</v>
      </c>
      <c r="C1811" s="23" t="s">
        <v>3516</v>
      </c>
      <c r="D1811" s="22" t="s">
        <v>3545</v>
      </c>
      <c r="E1811" s="24">
        <v>45260</v>
      </c>
      <c r="F1811" s="24">
        <v>45265</v>
      </c>
      <c r="G1811" s="22" t="s">
        <v>3535</v>
      </c>
      <c r="H1811" s="25">
        <v>91084</v>
      </c>
      <c r="I1811" s="25">
        <v>1227</v>
      </c>
      <c r="J1811" s="26">
        <v>1112.95</v>
      </c>
      <c r="K1811" s="25">
        <v>119</v>
      </c>
      <c r="L1811" s="21" t="s">
        <v>21</v>
      </c>
      <c r="M1811" s="22" t="s">
        <v>3535</v>
      </c>
      <c r="N1811" s="27">
        <f t="shared" si="224"/>
        <v>5</v>
      </c>
      <c r="O1811" s="28">
        <f t="shared" si="225"/>
        <v>1.3471081638926704E-2</v>
      </c>
      <c r="P1811" s="28">
        <f t="shared" si="226"/>
        <v>9.6984515077424616E-2</v>
      </c>
      <c r="Q1811" s="26">
        <f t="shared" si="227"/>
        <v>0.90704971475142626</v>
      </c>
      <c r="R1811" s="29">
        <f t="shared" si="228"/>
        <v>9.352521008403361</v>
      </c>
      <c r="S1811" s="30">
        <f t="shared" si="229"/>
        <v>11</v>
      </c>
      <c r="T1811" s="30">
        <f t="shared" si="230"/>
        <v>2023</v>
      </c>
      <c r="U1811" s="29" t="str">
        <f t="shared" si="231"/>
        <v>November</v>
      </c>
    </row>
    <row r="1812" spans="1:21" ht="17.399999999999999" x14ac:dyDescent="0.3">
      <c r="A1812" s="21" t="s">
        <v>875</v>
      </c>
      <c r="B1812" s="22" t="s">
        <v>4018</v>
      </c>
      <c r="C1812" s="23" t="s">
        <v>3516</v>
      </c>
      <c r="D1812" s="22" t="s">
        <v>3545</v>
      </c>
      <c r="E1812" s="24">
        <v>45260</v>
      </c>
      <c r="F1812" s="24">
        <v>45276</v>
      </c>
      <c r="G1812" s="22" t="s">
        <v>31</v>
      </c>
      <c r="H1812" s="25">
        <v>74666</v>
      </c>
      <c r="I1812" s="25">
        <v>951</v>
      </c>
      <c r="J1812" s="26">
        <v>786.85</v>
      </c>
      <c r="K1812" s="25">
        <v>67</v>
      </c>
      <c r="L1812" s="21" t="s">
        <v>17</v>
      </c>
      <c r="M1812" s="22" t="s">
        <v>31</v>
      </c>
      <c r="N1812" s="27">
        <f t="shared" si="224"/>
        <v>16</v>
      </c>
      <c r="O1812" s="28">
        <f t="shared" si="225"/>
        <v>1.2736720863579139E-2</v>
      </c>
      <c r="P1812" s="28">
        <f t="shared" si="226"/>
        <v>7.0452155625657209E-2</v>
      </c>
      <c r="Q1812" s="26">
        <f t="shared" si="227"/>
        <v>0.82739221871713986</v>
      </c>
      <c r="R1812" s="29">
        <f t="shared" si="228"/>
        <v>11.744029850746269</v>
      </c>
      <c r="S1812" s="30">
        <f t="shared" si="229"/>
        <v>11</v>
      </c>
      <c r="T1812" s="30">
        <f t="shared" si="230"/>
        <v>2023</v>
      </c>
      <c r="U1812" s="29" t="str">
        <f t="shared" si="231"/>
        <v>November</v>
      </c>
    </row>
    <row r="1813" spans="1:21" ht="17.399999999999999" x14ac:dyDescent="0.3">
      <c r="A1813" s="21" t="s">
        <v>2205</v>
      </c>
      <c r="B1813" s="22" t="s">
        <v>4019</v>
      </c>
      <c r="C1813" s="23" t="s">
        <v>3516</v>
      </c>
      <c r="D1813" s="22" t="s">
        <v>3545</v>
      </c>
      <c r="E1813" s="24">
        <v>45260</v>
      </c>
      <c r="F1813" s="24">
        <v>45282</v>
      </c>
      <c r="G1813" s="22" t="s">
        <v>24</v>
      </c>
      <c r="H1813" s="25">
        <v>71835</v>
      </c>
      <c r="I1813" s="25">
        <v>2295</v>
      </c>
      <c r="J1813" s="26">
        <v>2910.8</v>
      </c>
      <c r="K1813" s="25">
        <v>450</v>
      </c>
      <c r="L1813" s="21" t="s">
        <v>21</v>
      </c>
      <c r="M1813" s="22" t="s">
        <v>3536</v>
      </c>
      <c r="N1813" s="27">
        <f t="shared" si="224"/>
        <v>22</v>
      </c>
      <c r="O1813" s="28">
        <f t="shared" si="225"/>
        <v>3.1948214658592607E-2</v>
      </c>
      <c r="P1813" s="28">
        <f t="shared" si="226"/>
        <v>0.19607843137254902</v>
      </c>
      <c r="Q1813" s="26">
        <f t="shared" si="227"/>
        <v>1.268322440087146</v>
      </c>
      <c r="R1813" s="29">
        <f t="shared" si="228"/>
        <v>6.4684444444444447</v>
      </c>
      <c r="S1813" s="30">
        <f t="shared" si="229"/>
        <v>11</v>
      </c>
      <c r="T1813" s="30">
        <f t="shared" si="230"/>
        <v>2023</v>
      </c>
      <c r="U1813" s="29" t="str">
        <f t="shared" si="231"/>
        <v>November</v>
      </c>
    </row>
    <row r="1814" spans="1:21" ht="17.399999999999999" x14ac:dyDescent="0.3">
      <c r="A1814" s="21" t="s">
        <v>564</v>
      </c>
      <c r="B1814" s="21" t="s">
        <v>565</v>
      </c>
      <c r="C1814" s="23" t="s">
        <v>3515</v>
      </c>
      <c r="D1814" s="21" t="s">
        <v>3521</v>
      </c>
      <c r="E1814" s="24">
        <v>45260</v>
      </c>
      <c r="F1814" s="24">
        <v>45265</v>
      </c>
      <c r="G1814" s="22" t="s">
        <v>31</v>
      </c>
      <c r="H1814" s="25">
        <v>51108</v>
      </c>
      <c r="I1814" s="25">
        <v>1009</v>
      </c>
      <c r="J1814" s="26">
        <v>1693.83</v>
      </c>
      <c r="K1814" s="25">
        <v>81</v>
      </c>
      <c r="L1814" s="21" t="s">
        <v>17</v>
      </c>
      <c r="M1814" s="22" t="s">
        <v>31</v>
      </c>
      <c r="N1814" s="27">
        <f t="shared" si="224"/>
        <v>5</v>
      </c>
      <c r="O1814" s="28">
        <f t="shared" si="225"/>
        <v>1.9742506065586602E-2</v>
      </c>
      <c r="P1814" s="28">
        <f t="shared" si="226"/>
        <v>8.0277502477700699E-2</v>
      </c>
      <c r="Q1814" s="26">
        <f t="shared" si="227"/>
        <v>1.6787215064420218</v>
      </c>
      <c r="R1814" s="29">
        <f t="shared" si="228"/>
        <v>20.911481481481481</v>
      </c>
      <c r="S1814" s="30">
        <f t="shared" si="229"/>
        <v>11</v>
      </c>
      <c r="T1814" s="30">
        <f t="shared" si="230"/>
        <v>2023</v>
      </c>
      <c r="U1814" s="29" t="str">
        <f t="shared" si="231"/>
        <v>November</v>
      </c>
    </row>
    <row r="1815" spans="1:21" ht="17.399999999999999" x14ac:dyDescent="0.3">
      <c r="A1815" s="21" t="s">
        <v>192</v>
      </c>
      <c r="B1815" s="22" t="s">
        <v>4020</v>
      </c>
      <c r="C1815" s="23" t="s">
        <v>3519</v>
      </c>
      <c r="D1815" s="22" t="s">
        <v>3545</v>
      </c>
      <c r="E1815" s="24">
        <v>45261</v>
      </c>
      <c r="F1815" s="24">
        <v>45266</v>
      </c>
      <c r="G1815" s="22" t="s">
        <v>16</v>
      </c>
      <c r="H1815" s="25">
        <v>49190</v>
      </c>
      <c r="I1815" s="25">
        <v>1518</v>
      </c>
      <c r="J1815" s="26">
        <v>2212.46</v>
      </c>
      <c r="K1815" s="25">
        <v>188</v>
      </c>
      <c r="L1815" s="21" t="s">
        <v>21</v>
      </c>
      <c r="M1815" s="22" t="s">
        <v>16</v>
      </c>
      <c r="N1815" s="27">
        <f t="shared" si="224"/>
        <v>5</v>
      </c>
      <c r="O1815" s="28">
        <f t="shared" si="225"/>
        <v>3.0859930880260216E-2</v>
      </c>
      <c r="P1815" s="28">
        <f t="shared" si="226"/>
        <v>0.12384716732542819</v>
      </c>
      <c r="Q1815" s="26">
        <f t="shared" si="227"/>
        <v>1.457483530961792</v>
      </c>
      <c r="R1815" s="29">
        <f t="shared" si="228"/>
        <v>11.768404255319149</v>
      </c>
      <c r="S1815" s="30">
        <f t="shared" si="229"/>
        <v>12</v>
      </c>
      <c r="T1815" s="30">
        <f t="shared" si="230"/>
        <v>2023</v>
      </c>
      <c r="U1815" s="29" t="str">
        <f t="shared" si="231"/>
        <v>December</v>
      </c>
    </row>
    <row r="1816" spans="1:21" ht="17.399999999999999" x14ac:dyDescent="0.3">
      <c r="A1816" s="21" t="s">
        <v>1154</v>
      </c>
      <c r="B1816" s="21" t="s">
        <v>1155</v>
      </c>
      <c r="C1816" s="23" t="s">
        <v>3519</v>
      </c>
      <c r="D1816" s="21" t="s">
        <v>3517</v>
      </c>
      <c r="E1816" s="24">
        <v>45261</v>
      </c>
      <c r="F1816" s="24">
        <v>45279</v>
      </c>
      <c r="G1816" s="22" t="s">
        <v>14</v>
      </c>
      <c r="H1816" s="25">
        <v>24714</v>
      </c>
      <c r="I1816" s="25">
        <v>936</v>
      </c>
      <c r="J1816" s="26">
        <v>1219.6600000000001</v>
      </c>
      <c r="K1816" s="25">
        <v>182</v>
      </c>
      <c r="L1816" s="21" t="s">
        <v>21</v>
      </c>
      <c r="M1816" s="22" t="s">
        <v>3537</v>
      </c>
      <c r="N1816" s="27">
        <f t="shared" si="224"/>
        <v>18</v>
      </c>
      <c r="O1816" s="28">
        <f t="shared" si="225"/>
        <v>3.7873270211216316E-2</v>
      </c>
      <c r="P1816" s="28">
        <f t="shared" si="226"/>
        <v>0.19444444444444445</v>
      </c>
      <c r="Q1816" s="26">
        <f t="shared" si="227"/>
        <v>1.3030555555555556</v>
      </c>
      <c r="R1816" s="29">
        <f t="shared" si="228"/>
        <v>6.701428571428572</v>
      </c>
      <c r="S1816" s="30">
        <f t="shared" si="229"/>
        <v>12</v>
      </c>
      <c r="T1816" s="30">
        <f t="shared" si="230"/>
        <v>2023</v>
      </c>
      <c r="U1816" s="29" t="str">
        <f t="shared" si="231"/>
        <v>December</v>
      </c>
    </row>
    <row r="1817" spans="1:21" ht="17.399999999999999" x14ac:dyDescent="0.3">
      <c r="A1817" s="21" t="s">
        <v>1299</v>
      </c>
      <c r="B1817" s="21" t="s">
        <v>1300</v>
      </c>
      <c r="C1817" s="23" t="s">
        <v>3519</v>
      </c>
      <c r="D1817" s="21" t="s">
        <v>3521</v>
      </c>
      <c r="E1817" s="24">
        <v>45261</v>
      </c>
      <c r="F1817" s="24">
        <v>45262</v>
      </c>
      <c r="G1817" s="22" t="s">
        <v>31</v>
      </c>
      <c r="H1817" s="25">
        <v>92362</v>
      </c>
      <c r="I1817" s="25">
        <v>2507</v>
      </c>
      <c r="J1817" s="26">
        <v>2302.4499999999998</v>
      </c>
      <c r="K1817" s="25">
        <v>260</v>
      </c>
      <c r="L1817" s="21" t="s">
        <v>21</v>
      </c>
      <c r="M1817" s="22" t="s">
        <v>31</v>
      </c>
      <c r="N1817" s="27">
        <f t="shared" si="224"/>
        <v>1</v>
      </c>
      <c r="O1817" s="28">
        <f t="shared" si="225"/>
        <v>2.7143197418851909E-2</v>
      </c>
      <c r="P1817" s="28">
        <f t="shared" si="226"/>
        <v>0.10370961308336657</v>
      </c>
      <c r="Q1817" s="26">
        <f t="shared" si="227"/>
        <v>0.91840845632229751</v>
      </c>
      <c r="R1817" s="29">
        <f t="shared" si="228"/>
        <v>8.8555769230769226</v>
      </c>
      <c r="S1817" s="30">
        <f t="shared" si="229"/>
        <v>12</v>
      </c>
      <c r="T1817" s="30">
        <f t="shared" si="230"/>
        <v>2023</v>
      </c>
      <c r="U1817" s="29" t="str">
        <f t="shared" si="231"/>
        <v>December</v>
      </c>
    </row>
    <row r="1818" spans="1:21" ht="17.399999999999999" x14ac:dyDescent="0.3">
      <c r="A1818" s="21" t="s">
        <v>2058</v>
      </c>
      <c r="B1818" s="22" t="s">
        <v>4021</v>
      </c>
      <c r="C1818" s="23" t="s">
        <v>3519</v>
      </c>
      <c r="D1818" s="22" t="s">
        <v>3545</v>
      </c>
      <c r="E1818" s="24">
        <v>45261</v>
      </c>
      <c r="F1818" s="24">
        <v>45284</v>
      </c>
      <c r="G1818" s="22" t="s">
        <v>14</v>
      </c>
      <c r="H1818" s="25">
        <v>30486</v>
      </c>
      <c r="I1818" s="25">
        <v>904</v>
      </c>
      <c r="J1818" s="26">
        <v>1400.3</v>
      </c>
      <c r="K1818" s="25">
        <v>82</v>
      </c>
      <c r="L1818" s="21" t="s">
        <v>21</v>
      </c>
      <c r="M1818" s="22" t="s">
        <v>3537</v>
      </c>
      <c r="N1818" s="27">
        <f t="shared" si="224"/>
        <v>23</v>
      </c>
      <c r="O1818" s="28">
        <f t="shared" si="225"/>
        <v>2.9652955454962934E-2</v>
      </c>
      <c r="P1818" s="28">
        <f t="shared" si="226"/>
        <v>9.0707964601769914E-2</v>
      </c>
      <c r="Q1818" s="26">
        <f t="shared" si="227"/>
        <v>1.5490044247787611</v>
      </c>
      <c r="R1818" s="29">
        <f t="shared" si="228"/>
        <v>17.076829268292684</v>
      </c>
      <c r="S1818" s="30">
        <f t="shared" si="229"/>
        <v>12</v>
      </c>
      <c r="T1818" s="30">
        <f t="shared" si="230"/>
        <v>2023</v>
      </c>
      <c r="U1818" s="29" t="str">
        <f t="shared" si="231"/>
        <v>December</v>
      </c>
    </row>
    <row r="1819" spans="1:21" ht="17.399999999999999" x14ac:dyDescent="0.3">
      <c r="A1819" s="21" t="s">
        <v>2626</v>
      </c>
      <c r="B1819" s="21" t="s">
        <v>2627</v>
      </c>
      <c r="C1819" s="23" t="s">
        <v>3519</v>
      </c>
      <c r="D1819" s="21" t="s">
        <v>3520</v>
      </c>
      <c r="E1819" s="24">
        <v>45261</v>
      </c>
      <c r="F1819" s="24">
        <v>45283</v>
      </c>
      <c r="G1819" s="22" t="s">
        <v>31</v>
      </c>
      <c r="H1819" s="25">
        <v>92748</v>
      </c>
      <c r="I1819" s="25">
        <v>3760</v>
      </c>
      <c r="J1819" s="26">
        <v>6597.41</v>
      </c>
      <c r="K1819" s="25">
        <v>474</v>
      </c>
      <c r="L1819" s="21" t="s">
        <v>17</v>
      </c>
      <c r="M1819" s="22" t="s">
        <v>31</v>
      </c>
      <c r="N1819" s="27">
        <f t="shared" si="224"/>
        <v>22</v>
      </c>
      <c r="O1819" s="28">
        <f t="shared" si="225"/>
        <v>4.0539957734937682E-2</v>
      </c>
      <c r="P1819" s="28">
        <f t="shared" si="226"/>
        <v>0.12606382978723404</v>
      </c>
      <c r="Q1819" s="26">
        <f t="shared" si="227"/>
        <v>1.7546303191489361</v>
      </c>
      <c r="R1819" s="29">
        <f t="shared" si="228"/>
        <v>13.918586497890296</v>
      </c>
      <c r="S1819" s="30">
        <f t="shared" si="229"/>
        <v>12</v>
      </c>
      <c r="T1819" s="30">
        <f t="shared" si="230"/>
        <v>2023</v>
      </c>
      <c r="U1819" s="29" t="str">
        <f t="shared" si="231"/>
        <v>December</v>
      </c>
    </row>
    <row r="1820" spans="1:21" ht="17.399999999999999" x14ac:dyDescent="0.3">
      <c r="A1820" s="21" t="s">
        <v>1258</v>
      </c>
      <c r="B1820" s="21" t="s">
        <v>1259</v>
      </c>
      <c r="C1820" s="23" t="s">
        <v>3516</v>
      </c>
      <c r="D1820" s="21" t="s">
        <v>3521</v>
      </c>
      <c r="E1820" s="24">
        <v>45261</v>
      </c>
      <c r="F1820" s="24">
        <v>45285</v>
      </c>
      <c r="G1820" s="22" t="s">
        <v>14</v>
      </c>
      <c r="H1820" s="25">
        <v>14116</v>
      </c>
      <c r="I1820" s="25">
        <v>223</v>
      </c>
      <c r="J1820" s="26">
        <v>290.51</v>
      </c>
      <c r="K1820" s="25">
        <v>11</v>
      </c>
      <c r="L1820" s="21" t="s">
        <v>21</v>
      </c>
      <c r="M1820" s="22" t="s">
        <v>3537</v>
      </c>
      <c r="N1820" s="27">
        <f t="shared" si="224"/>
        <v>24</v>
      </c>
      <c r="O1820" s="28">
        <f t="shared" si="225"/>
        <v>1.5797676395579486E-2</v>
      </c>
      <c r="P1820" s="28">
        <f t="shared" si="226"/>
        <v>4.9327354260089683E-2</v>
      </c>
      <c r="Q1820" s="26">
        <f t="shared" si="227"/>
        <v>1.3027354260089685</v>
      </c>
      <c r="R1820" s="29">
        <f t="shared" si="228"/>
        <v>26.41</v>
      </c>
      <c r="S1820" s="30">
        <f t="shared" si="229"/>
        <v>12</v>
      </c>
      <c r="T1820" s="30">
        <f t="shared" si="230"/>
        <v>2023</v>
      </c>
      <c r="U1820" s="29" t="str">
        <f t="shared" si="231"/>
        <v>December</v>
      </c>
    </row>
    <row r="1821" spans="1:21" ht="17.399999999999999" x14ac:dyDescent="0.3">
      <c r="A1821" s="21" t="s">
        <v>288</v>
      </c>
      <c r="B1821" s="21" t="s">
        <v>289</v>
      </c>
      <c r="C1821" s="23" t="s">
        <v>3516</v>
      </c>
      <c r="D1821" s="21" t="s">
        <v>3520</v>
      </c>
      <c r="E1821" s="24">
        <v>45261</v>
      </c>
      <c r="F1821" s="24">
        <v>45266</v>
      </c>
      <c r="G1821" s="22" t="s">
        <v>11</v>
      </c>
      <c r="H1821" s="25">
        <v>82734</v>
      </c>
      <c r="I1821" s="25">
        <v>2912</v>
      </c>
      <c r="J1821" s="26">
        <v>4690.79</v>
      </c>
      <c r="K1821" s="25">
        <v>0</v>
      </c>
      <c r="L1821" s="21" t="s">
        <v>21</v>
      </c>
      <c r="M1821" s="22" t="s">
        <v>11</v>
      </c>
      <c r="N1821" s="27">
        <f t="shared" si="224"/>
        <v>5</v>
      </c>
      <c r="O1821" s="28">
        <f t="shared" si="225"/>
        <v>3.5197137815166681E-2</v>
      </c>
      <c r="P1821" s="28">
        <f t="shared" si="226"/>
        <v>0</v>
      </c>
      <c r="Q1821" s="26">
        <f t="shared" si="227"/>
        <v>1.6108482142857143</v>
      </c>
      <c r="R1821" s="29" t="str">
        <f t="shared" si="228"/>
        <v>0</v>
      </c>
      <c r="S1821" s="30">
        <f t="shared" si="229"/>
        <v>12</v>
      </c>
      <c r="T1821" s="30">
        <f t="shared" si="230"/>
        <v>2023</v>
      </c>
      <c r="U1821" s="29" t="str">
        <f t="shared" si="231"/>
        <v>December</v>
      </c>
    </row>
    <row r="1822" spans="1:21" ht="17.399999999999999" x14ac:dyDescent="0.3">
      <c r="A1822" s="21" t="s">
        <v>2367</v>
      </c>
      <c r="B1822" s="21" t="s">
        <v>2368</v>
      </c>
      <c r="C1822" s="23" t="s">
        <v>3516</v>
      </c>
      <c r="D1822" s="21" t="s">
        <v>3520</v>
      </c>
      <c r="E1822" s="24">
        <v>45261</v>
      </c>
      <c r="F1822" s="24">
        <v>45266</v>
      </c>
      <c r="G1822" s="22" t="s">
        <v>14</v>
      </c>
      <c r="H1822" s="25">
        <v>67358</v>
      </c>
      <c r="I1822" s="25">
        <v>1012</v>
      </c>
      <c r="J1822" s="26">
        <v>1217.6199999999999</v>
      </c>
      <c r="K1822" s="25">
        <v>110</v>
      </c>
      <c r="L1822" s="21" t="s">
        <v>17</v>
      </c>
      <c r="M1822" s="22" t="s">
        <v>3537</v>
      </c>
      <c r="N1822" s="27">
        <f t="shared" si="224"/>
        <v>5</v>
      </c>
      <c r="O1822" s="28">
        <f t="shared" si="225"/>
        <v>1.5024199055791443E-2</v>
      </c>
      <c r="P1822" s="28">
        <f t="shared" si="226"/>
        <v>0.10869565217391304</v>
      </c>
      <c r="Q1822" s="26">
        <f t="shared" si="227"/>
        <v>1.2031818181818181</v>
      </c>
      <c r="R1822" s="29">
        <f t="shared" si="228"/>
        <v>11.069272727272727</v>
      </c>
      <c r="S1822" s="30">
        <f t="shared" si="229"/>
        <v>12</v>
      </c>
      <c r="T1822" s="30">
        <f t="shared" si="230"/>
        <v>2023</v>
      </c>
      <c r="U1822" s="29" t="str">
        <f t="shared" si="231"/>
        <v>December</v>
      </c>
    </row>
    <row r="1823" spans="1:21" ht="17.399999999999999" x14ac:dyDescent="0.3">
      <c r="A1823" s="21" t="s">
        <v>64</v>
      </c>
      <c r="B1823" s="21" t="s">
        <v>65</v>
      </c>
      <c r="C1823" s="23" t="s">
        <v>3519</v>
      </c>
      <c r="D1823" s="21" t="s">
        <v>3521</v>
      </c>
      <c r="E1823" s="24">
        <v>45262</v>
      </c>
      <c r="F1823" s="24">
        <v>45268</v>
      </c>
      <c r="G1823" s="22" t="s">
        <v>24</v>
      </c>
      <c r="H1823" s="25">
        <v>3747</v>
      </c>
      <c r="I1823" s="25">
        <v>135</v>
      </c>
      <c r="J1823" s="26">
        <v>157.38</v>
      </c>
      <c r="K1823" s="25">
        <v>9</v>
      </c>
      <c r="L1823" s="21" t="s">
        <v>17</v>
      </c>
      <c r="M1823" s="22" t="s">
        <v>3536</v>
      </c>
      <c r="N1823" s="27">
        <f t="shared" si="224"/>
        <v>6</v>
      </c>
      <c r="O1823" s="28">
        <f t="shared" si="225"/>
        <v>3.6028823058446756E-2</v>
      </c>
      <c r="P1823" s="28">
        <f t="shared" si="226"/>
        <v>6.6666666666666666E-2</v>
      </c>
      <c r="Q1823" s="26">
        <f t="shared" si="227"/>
        <v>1.1657777777777778</v>
      </c>
      <c r="R1823" s="29">
        <f t="shared" si="228"/>
        <v>17.486666666666665</v>
      </c>
      <c r="S1823" s="30">
        <f t="shared" si="229"/>
        <v>12</v>
      </c>
      <c r="T1823" s="30">
        <f t="shared" si="230"/>
        <v>2023</v>
      </c>
      <c r="U1823" s="29" t="str">
        <f t="shared" si="231"/>
        <v>December</v>
      </c>
    </row>
    <row r="1824" spans="1:21" ht="17.399999999999999" x14ac:dyDescent="0.3">
      <c r="A1824" s="21" t="s">
        <v>2911</v>
      </c>
      <c r="B1824" s="21" t="s">
        <v>2912</v>
      </c>
      <c r="C1824" s="23" t="s">
        <v>3519</v>
      </c>
      <c r="D1824" s="21" t="s">
        <v>3520</v>
      </c>
      <c r="E1824" s="24">
        <v>45262</v>
      </c>
      <c r="F1824" s="24">
        <v>45278</v>
      </c>
      <c r="G1824" s="22" t="s">
        <v>11</v>
      </c>
      <c r="H1824" s="25">
        <v>67262</v>
      </c>
      <c r="I1824" s="25">
        <v>2176</v>
      </c>
      <c r="J1824" s="26">
        <v>2177.0700000000002</v>
      </c>
      <c r="K1824" s="25">
        <v>344</v>
      </c>
      <c r="L1824" s="21" t="s">
        <v>17</v>
      </c>
      <c r="M1824" s="22" t="s">
        <v>11</v>
      </c>
      <c r="N1824" s="27">
        <f t="shared" si="224"/>
        <v>16</v>
      </c>
      <c r="O1824" s="28">
        <f t="shared" si="225"/>
        <v>3.2351104635604054E-2</v>
      </c>
      <c r="P1824" s="28">
        <f t="shared" si="226"/>
        <v>0.15808823529411764</v>
      </c>
      <c r="Q1824" s="26">
        <f t="shared" si="227"/>
        <v>1.0004917279411765</v>
      </c>
      <c r="R1824" s="29">
        <f t="shared" si="228"/>
        <v>6.328691860465117</v>
      </c>
      <c r="S1824" s="30">
        <f t="shared" si="229"/>
        <v>12</v>
      </c>
      <c r="T1824" s="30">
        <f t="shared" si="230"/>
        <v>2023</v>
      </c>
      <c r="U1824" s="29" t="str">
        <f t="shared" si="231"/>
        <v>December</v>
      </c>
    </row>
    <row r="1825" spans="1:21" ht="17.399999999999999" x14ac:dyDescent="0.3">
      <c r="A1825" s="21" t="s">
        <v>899</v>
      </c>
      <c r="B1825" s="22" t="s">
        <v>4022</v>
      </c>
      <c r="C1825" s="23" t="s">
        <v>3518</v>
      </c>
      <c r="D1825" s="22" t="s">
        <v>3545</v>
      </c>
      <c r="E1825" s="24">
        <v>45262</v>
      </c>
      <c r="F1825" s="24">
        <v>45263</v>
      </c>
      <c r="G1825" s="22" t="s">
        <v>14</v>
      </c>
      <c r="H1825" s="25">
        <v>96981</v>
      </c>
      <c r="I1825" s="25">
        <v>2825</v>
      </c>
      <c r="J1825" s="26">
        <v>4949.08</v>
      </c>
      <c r="K1825" s="25">
        <v>460</v>
      </c>
      <c r="L1825" s="21" t="s">
        <v>21</v>
      </c>
      <c r="M1825" s="22" t="s">
        <v>3537</v>
      </c>
      <c r="N1825" s="27">
        <f t="shared" si="224"/>
        <v>1</v>
      </c>
      <c r="O1825" s="28">
        <f t="shared" si="225"/>
        <v>2.9129417102319012E-2</v>
      </c>
      <c r="P1825" s="28">
        <f t="shared" si="226"/>
        <v>0.16283185840707964</v>
      </c>
      <c r="Q1825" s="26">
        <f t="shared" si="227"/>
        <v>1.7518867256637167</v>
      </c>
      <c r="R1825" s="29">
        <f t="shared" si="228"/>
        <v>10.758869565217392</v>
      </c>
      <c r="S1825" s="30">
        <f t="shared" si="229"/>
        <v>12</v>
      </c>
      <c r="T1825" s="30">
        <f t="shared" si="230"/>
        <v>2023</v>
      </c>
      <c r="U1825" s="29" t="str">
        <f t="shared" si="231"/>
        <v>December</v>
      </c>
    </row>
    <row r="1826" spans="1:21" ht="17.399999999999999" x14ac:dyDescent="0.3">
      <c r="A1826" s="21" t="s">
        <v>1710</v>
      </c>
      <c r="B1826" s="22" t="s">
        <v>4023</v>
      </c>
      <c r="C1826" s="23" t="s">
        <v>3518</v>
      </c>
      <c r="D1826" s="22" t="s">
        <v>3545</v>
      </c>
      <c r="E1826" s="24">
        <v>45262</v>
      </c>
      <c r="F1826" s="24">
        <v>45278</v>
      </c>
      <c r="G1826" s="22" t="s">
        <v>14</v>
      </c>
      <c r="H1826" s="25">
        <v>47271</v>
      </c>
      <c r="I1826" s="25">
        <v>1360</v>
      </c>
      <c r="J1826" s="26">
        <v>1282.75</v>
      </c>
      <c r="K1826" s="25">
        <v>129</v>
      </c>
      <c r="L1826" s="21" t="s">
        <v>17</v>
      </c>
      <c r="M1826" s="22" t="s">
        <v>3537</v>
      </c>
      <c r="N1826" s="27">
        <f t="shared" si="224"/>
        <v>16</v>
      </c>
      <c r="O1826" s="28">
        <f t="shared" si="225"/>
        <v>2.877028199107275E-2</v>
      </c>
      <c r="P1826" s="28">
        <f t="shared" si="226"/>
        <v>9.4852941176470584E-2</v>
      </c>
      <c r="Q1826" s="26">
        <f t="shared" si="227"/>
        <v>0.94319852941176474</v>
      </c>
      <c r="R1826" s="29">
        <f t="shared" si="228"/>
        <v>9.9437984496124034</v>
      </c>
      <c r="S1826" s="30">
        <f t="shared" si="229"/>
        <v>12</v>
      </c>
      <c r="T1826" s="30">
        <f t="shared" si="230"/>
        <v>2023</v>
      </c>
      <c r="U1826" s="29" t="str">
        <f t="shared" si="231"/>
        <v>December</v>
      </c>
    </row>
    <row r="1827" spans="1:21" ht="17.399999999999999" x14ac:dyDescent="0.3">
      <c r="A1827" s="21" t="s">
        <v>1862</v>
      </c>
      <c r="B1827" s="21" t="s">
        <v>1863</v>
      </c>
      <c r="C1827" s="23" t="s">
        <v>3516</v>
      </c>
      <c r="D1827" s="21" t="s">
        <v>3521</v>
      </c>
      <c r="E1827" s="24">
        <v>45262</v>
      </c>
      <c r="F1827" s="24">
        <v>45275</v>
      </c>
      <c r="G1827" s="22" t="s">
        <v>11</v>
      </c>
      <c r="H1827" s="25">
        <v>2917</v>
      </c>
      <c r="I1827" s="25">
        <v>92</v>
      </c>
      <c r="J1827" s="26">
        <v>167.93</v>
      </c>
      <c r="K1827" s="25">
        <v>14</v>
      </c>
      <c r="L1827" s="21" t="s">
        <v>21</v>
      </c>
      <c r="M1827" s="22" t="s">
        <v>11</v>
      </c>
      <c r="N1827" s="27">
        <f t="shared" si="224"/>
        <v>13</v>
      </c>
      <c r="O1827" s="28">
        <f t="shared" si="225"/>
        <v>3.1539252656839219E-2</v>
      </c>
      <c r="P1827" s="28">
        <f t="shared" si="226"/>
        <v>0.15217391304347827</v>
      </c>
      <c r="Q1827" s="26">
        <f t="shared" si="227"/>
        <v>1.8253260869565218</v>
      </c>
      <c r="R1827" s="29">
        <f t="shared" si="228"/>
        <v>11.995000000000001</v>
      </c>
      <c r="S1827" s="30">
        <f t="shared" si="229"/>
        <v>12</v>
      </c>
      <c r="T1827" s="30">
        <f t="shared" si="230"/>
        <v>2023</v>
      </c>
      <c r="U1827" s="29" t="str">
        <f t="shared" si="231"/>
        <v>December</v>
      </c>
    </row>
    <row r="1828" spans="1:21" ht="17.399999999999999" x14ac:dyDescent="0.3">
      <c r="A1828" s="21" t="s">
        <v>2357</v>
      </c>
      <c r="B1828" s="21" t="s">
        <v>2358</v>
      </c>
      <c r="C1828" s="23" t="s">
        <v>3516</v>
      </c>
      <c r="D1828" s="21" t="s">
        <v>3517</v>
      </c>
      <c r="E1828" s="24">
        <v>45262</v>
      </c>
      <c r="F1828" s="24">
        <v>45282</v>
      </c>
      <c r="G1828" s="22" t="s">
        <v>16</v>
      </c>
      <c r="H1828" s="25">
        <v>76039</v>
      </c>
      <c r="I1828" s="25">
        <v>2730</v>
      </c>
      <c r="J1828" s="26">
        <v>3319.13</v>
      </c>
      <c r="K1828" s="25">
        <v>467</v>
      </c>
      <c r="L1828" s="21" t="s">
        <v>17</v>
      </c>
      <c r="M1828" s="22" t="s">
        <v>16</v>
      </c>
      <c r="N1828" s="27">
        <f t="shared" si="224"/>
        <v>20</v>
      </c>
      <c r="O1828" s="28">
        <f t="shared" si="225"/>
        <v>3.5902628914109863E-2</v>
      </c>
      <c r="P1828" s="28">
        <f t="shared" si="226"/>
        <v>0.17106227106227107</v>
      </c>
      <c r="Q1828" s="26">
        <f t="shared" si="227"/>
        <v>1.2157985347985349</v>
      </c>
      <c r="R1828" s="29">
        <f t="shared" si="228"/>
        <v>7.1073447537473236</v>
      </c>
      <c r="S1828" s="30">
        <f t="shared" si="229"/>
        <v>12</v>
      </c>
      <c r="T1828" s="30">
        <f t="shared" si="230"/>
        <v>2023</v>
      </c>
      <c r="U1828" s="29" t="str">
        <f t="shared" si="231"/>
        <v>December</v>
      </c>
    </row>
    <row r="1829" spans="1:21" ht="17.399999999999999" x14ac:dyDescent="0.3">
      <c r="A1829" s="21" t="s">
        <v>2134</v>
      </c>
      <c r="B1829" s="21" t="s">
        <v>2135</v>
      </c>
      <c r="C1829" s="23" t="s">
        <v>3515</v>
      </c>
      <c r="D1829" s="21" t="s">
        <v>3521</v>
      </c>
      <c r="E1829" s="24">
        <v>45262</v>
      </c>
      <c r="F1829" s="24">
        <v>45278</v>
      </c>
      <c r="G1829" s="22" t="s">
        <v>16</v>
      </c>
      <c r="H1829" s="25">
        <v>56176</v>
      </c>
      <c r="I1829" s="25">
        <v>566</v>
      </c>
      <c r="J1829" s="26">
        <v>609.64</v>
      </c>
      <c r="K1829" s="25">
        <v>55</v>
      </c>
      <c r="L1829" s="21" t="s">
        <v>17</v>
      </c>
      <c r="M1829" s="22" t="s">
        <v>16</v>
      </c>
      <c r="N1829" s="27">
        <f t="shared" si="224"/>
        <v>16</v>
      </c>
      <c r="O1829" s="28">
        <f t="shared" si="225"/>
        <v>1.0075477072059242E-2</v>
      </c>
      <c r="P1829" s="28">
        <f t="shared" si="226"/>
        <v>9.7173144876325085E-2</v>
      </c>
      <c r="Q1829" s="26">
        <f t="shared" si="227"/>
        <v>1.0771024734982333</v>
      </c>
      <c r="R1829" s="29">
        <f t="shared" si="228"/>
        <v>11.084363636363635</v>
      </c>
      <c r="S1829" s="30">
        <f t="shared" si="229"/>
        <v>12</v>
      </c>
      <c r="T1829" s="30">
        <f t="shared" si="230"/>
        <v>2023</v>
      </c>
      <c r="U1829" s="29" t="str">
        <f t="shared" si="231"/>
        <v>December</v>
      </c>
    </row>
    <row r="1830" spans="1:21" ht="17.399999999999999" x14ac:dyDescent="0.3">
      <c r="A1830" s="21" t="s">
        <v>2753</v>
      </c>
      <c r="B1830" s="21" t="s">
        <v>2754</v>
      </c>
      <c r="C1830" s="23" t="s">
        <v>3515</v>
      </c>
      <c r="D1830" s="21" t="s">
        <v>3520</v>
      </c>
      <c r="E1830" s="24">
        <v>45262</v>
      </c>
      <c r="F1830" s="24">
        <v>45285</v>
      </c>
      <c r="G1830" s="22" t="s">
        <v>14</v>
      </c>
      <c r="H1830" s="25">
        <v>55620</v>
      </c>
      <c r="I1830" s="25">
        <v>1340</v>
      </c>
      <c r="J1830" s="26">
        <v>1394.39</v>
      </c>
      <c r="K1830" s="25">
        <v>234</v>
      </c>
      <c r="L1830" s="21" t="s">
        <v>17</v>
      </c>
      <c r="M1830" s="22" t="s">
        <v>3537</v>
      </c>
      <c r="N1830" s="27">
        <f t="shared" si="224"/>
        <v>23</v>
      </c>
      <c r="O1830" s="28">
        <f t="shared" si="225"/>
        <v>2.409205321826681E-2</v>
      </c>
      <c r="P1830" s="28">
        <f t="shared" si="226"/>
        <v>0.17462686567164179</v>
      </c>
      <c r="Q1830" s="26">
        <f t="shared" si="227"/>
        <v>1.040589552238806</v>
      </c>
      <c r="R1830" s="29">
        <f t="shared" si="228"/>
        <v>5.9589316239316243</v>
      </c>
      <c r="S1830" s="30">
        <f t="shared" si="229"/>
        <v>12</v>
      </c>
      <c r="T1830" s="30">
        <f t="shared" si="230"/>
        <v>2023</v>
      </c>
      <c r="U1830" s="29" t="str">
        <f t="shared" si="231"/>
        <v>December</v>
      </c>
    </row>
    <row r="1831" spans="1:21" ht="17.399999999999999" x14ac:dyDescent="0.3">
      <c r="A1831" s="21" t="s">
        <v>894</v>
      </c>
      <c r="B1831" s="21" t="s">
        <v>895</v>
      </c>
      <c r="C1831" s="23" t="s">
        <v>3519</v>
      </c>
      <c r="D1831" s="21" t="s">
        <v>3521</v>
      </c>
      <c r="E1831" s="24">
        <v>45263</v>
      </c>
      <c r="F1831" s="24">
        <v>45292</v>
      </c>
      <c r="G1831" s="22" t="s">
        <v>16</v>
      </c>
      <c r="H1831" s="25">
        <v>45078</v>
      </c>
      <c r="I1831" s="25">
        <v>920</v>
      </c>
      <c r="J1831" s="26">
        <v>531.46</v>
      </c>
      <c r="K1831" s="25">
        <v>130</v>
      </c>
      <c r="L1831" s="21" t="s">
        <v>17</v>
      </c>
      <c r="M1831" s="22" t="s">
        <v>16</v>
      </c>
      <c r="N1831" s="27">
        <f t="shared" si="224"/>
        <v>29</v>
      </c>
      <c r="O1831" s="28">
        <f t="shared" si="225"/>
        <v>2.0409068725320556E-2</v>
      </c>
      <c r="P1831" s="28">
        <f t="shared" si="226"/>
        <v>0.14130434782608695</v>
      </c>
      <c r="Q1831" s="26">
        <f t="shared" si="227"/>
        <v>0.57767391304347826</v>
      </c>
      <c r="R1831" s="29">
        <f t="shared" si="228"/>
        <v>4.0881538461538467</v>
      </c>
      <c r="S1831" s="30">
        <f t="shared" si="229"/>
        <v>12</v>
      </c>
      <c r="T1831" s="30">
        <f t="shared" si="230"/>
        <v>2023</v>
      </c>
      <c r="U1831" s="29" t="str">
        <f t="shared" si="231"/>
        <v>December</v>
      </c>
    </row>
    <row r="1832" spans="1:21" ht="17.399999999999999" x14ac:dyDescent="0.3">
      <c r="A1832" s="21" t="s">
        <v>2224</v>
      </c>
      <c r="B1832" s="21" t="s">
        <v>2225</v>
      </c>
      <c r="C1832" s="23" t="s">
        <v>3519</v>
      </c>
      <c r="D1832" s="21" t="s">
        <v>3517</v>
      </c>
      <c r="E1832" s="24">
        <v>45263</v>
      </c>
      <c r="F1832" s="24">
        <v>45273</v>
      </c>
      <c r="G1832" s="22" t="s">
        <v>11</v>
      </c>
      <c r="H1832" s="25">
        <v>17241</v>
      </c>
      <c r="I1832" s="25">
        <v>738</v>
      </c>
      <c r="J1832" s="26">
        <v>537.14</v>
      </c>
      <c r="K1832" s="25">
        <v>0</v>
      </c>
      <c r="L1832" s="21" t="s">
        <v>17</v>
      </c>
      <c r="M1832" s="22" t="s">
        <v>11</v>
      </c>
      <c r="N1832" s="27">
        <f t="shared" si="224"/>
        <v>10</v>
      </c>
      <c r="O1832" s="28">
        <f t="shared" si="225"/>
        <v>4.2804941708717591E-2</v>
      </c>
      <c r="P1832" s="28">
        <f t="shared" si="226"/>
        <v>0</v>
      </c>
      <c r="Q1832" s="26">
        <f t="shared" si="227"/>
        <v>0.72783197831978319</v>
      </c>
      <c r="R1832" s="29" t="str">
        <f t="shared" si="228"/>
        <v>0</v>
      </c>
      <c r="S1832" s="30">
        <f t="shared" si="229"/>
        <v>12</v>
      </c>
      <c r="T1832" s="30">
        <f t="shared" si="230"/>
        <v>2023</v>
      </c>
      <c r="U1832" s="29" t="str">
        <f t="shared" si="231"/>
        <v>December</v>
      </c>
    </row>
    <row r="1833" spans="1:21" ht="17.399999999999999" x14ac:dyDescent="0.3">
      <c r="A1833" s="21" t="s">
        <v>1833</v>
      </c>
      <c r="B1833" s="21" t="s">
        <v>1834</v>
      </c>
      <c r="C1833" s="23" t="s">
        <v>3515</v>
      </c>
      <c r="D1833" s="21" t="s">
        <v>3517</v>
      </c>
      <c r="E1833" s="24">
        <v>45263</v>
      </c>
      <c r="F1833" s="24">
        <v>45266</v>
      </c>
      <c r="G1833" s="22" t="s">
        <v>14</v>
      </c>
      <c r="H1833" s="25">
        <v>47514</v>
      </c>
      <c r="I1833" s="25">
        <v>2033</v>
      </c>
      <c r="J1833" s="26">
        <v>3515.9</v>
      </c>
      <c r="K1833" s="25">
        <v>165</v>
      </c>
      <c r="L1833" s="21" t="s">
        <v>21</v>
      </c>
      <c r="M1833" s="22" t="s">
        <v>3537</v>
      </c>
      <c r="N1833" s="27">
        <f t="shared" si="224"/>
        <v>3</v>
      </c>
      <c r="O1833" s="28">
        <f t="shared" si="225"/>
        <v>4.2787388980090081E-2</v>
      </c>
      <c r="P1833" s="28">
        <f t="shared" si="226"/>
        <v>8.1160846040334481E-2</v>
      </c>
      <c r="Q1833" s="26">
        <f t="shared" si="227"/>
        <v>1.7294146581406789</v>
      </c>
      <c r="R1833" s="29">
        <f t="shared" si="228"/>
        <v>21.308484848484849</v>
      </c>
      <c r="S1833" s="30">
        <f t="shared" si="229"/>
        <v>12</v>
      </c>
      <c r="T1833" s="30">
        <f t="shared" si="230"/>
        <v>2023</v>
      </c>
      <c r="U1833" s="29" t="str">
        <f t="shared" si="231"/>
        <v>December</v>
      </c>
    </row>
    <row r="1834" spans="1:21" ht="17.399999999999999" x14ac:dyDescent="0.3">
      <c r="A1834" s="21" t="s">
        <v>1971</v>
      </c>
      <c r="B1834" s="22" t="s">
        <v>4024</v>
      </c>
      <c r="C1834" s="23" t="s">
        <v>3515</v>
      </c>
      <c r="D1834" s="22" t="s">
        <v>3545</v>
      </c>
      <c r="E1834" s="24">
        <v>45263</v>
      </c>
      <c r="F1834" s="24">
        <v>45265</v>
      </c>
      <c r="G1834" s="22" t="s">
        <v>31</v>
      </c>
      <c r="H1834" s="25">
        <v>88062</v>
      </c>
      <c r="I1834" s="25">
        <v>1473</v>
      </c>
      <c r="J1834" s="26">
        <v>2349.9699999999998</v>
      </c>
      <c r="K1834" s="25">
        <v>129</v>
      </c>
      <c r="L1834" s="21" t="s">
        <v>17</v>
      </c>
      <c r="M1834" s="22" t="s">
        <v>31</v>
      </c>
      <c r="N1834" s="27">
        <f t="shared" si="224"/>
        <v>2</v>
      </c>
      <c r="O1834" s="28">
        <f t="shared" si="225"/>
        <v>1.6726851536417522E-2</v>
      </c>
      <c r="P1834" s="28">
        <f t="shared" si="226"/>
        <v>8.7576374745417518E-2</v>
      </c>
      <c r="Q1834" s="26">
        <f t="shared" si="227"/>
        <v>1.5953632043448742</v>
      </c>
      <c r="R1834" s="29">
        <f t="shared" si="228"/>
        <v>18.216821705426355</v>
      </c>
      <c r="S1834" s="30">
        <f t="shared" si="229"/>
        <v>12</v>
      </c>
      <c r="T1834" s="30">
        <f t="shared" si="230"/>
        <v>2023</v>
      </c>
      <c r="U1834" s="29" t="str">
        <f t="shared" si="231"/>
        <v>December</v>
      </c>
    </row>
    <row r="1835" spans="1:21" ht="17.399999999999999" x14ac:dyDescent="0.3">
      <c r="A1835" s="21" t="s">
        <v>3216</v>
      </c>
      <c r="B1835" s="21" t="s">
        <v>3217</v>
      </c>
      <c r="C1835" s="23" t="s">
        <v>3515</v>
      </c>
      <c r="D1835" s="21" t="s">
        <v>3520</v>
      </c>
      <c r="E1835" s="24">
        <v>45263</v>
      </c>
      <c r="F1835" s="24">
        <v>45274</v>
      </c>
      <c r="G1835" s="22" t="s">
        <v>11</v>
      </c>
      <c r="H1835" s="25">
        <v>53307</v>
      </c>
      <c r="I1835" s="25">
        <v>2207</v>
      </c>
      <c r="J1835" s="26">
        <v>3406.93</v>
      </c>
      <c r="K1835" s="25">
        <v>354</v>
      </c>
      <c r="L1835" s="21" t="s">
        <v>17</v>
      </c>
      <c r="M1835" s="22" t="s">
        <v>11</v>
      </c>
      <c r="N1835" s="27">
        <f t="shared" si="224"/>
        <v>11</v>
      </c>
      <c r="O1835" s="28">
        <f t="shared" si="225"/>
        <v>4.14016920854672E-2</v>
      </c>
      <c r="P1835" s="28">
        <f t="shared" si="226"/>
        <v>0.16039873130946986</v>
      </c>
      <c r="Q1835" s="26">
        <f t="shared" si="227"/>
        <v>1.5436927956502038</v>
      </c>
      <c r="R1835" s="29">
        <f t="shared" si="228"/>
        <v>9.6240960451977404</v>
      </c>
      <c r="S1835" s="30">
        <f t="shared" si="229"/>
        <v>12</v>
      </c>
      <c r="T1835" s="30">
        <f t="shared" si="230"/>
        <v>2023</v>
      </c>
      <c r="U1835" s="29" t="str">
        <f t="shared" si="231"/>
        <v>December</v>
      </c>
    </row>
    <row r="1836" spans="1:21" ht="17.399999999999999" x14ac:dyDescent="0.3">
      <c r="A1836" s="21" t="s">
        <v>3191</v>
      </c>
      <c r="B1836" s="21" t="s">
        <v>3192</v>
      </c>
      <c r="C1836" s="23" t="s">
        <v>3519</v>
      </c>
      <c r="D1836" s="21" t="s">
        <v>3520</v>
      </c>
      <c r="E1836" s="24">
        <v>45264</v>
      </c>
      <c r="F1836" s="24">
        <v>45269</v>
      </c>
      <c r="G1836" s="22" t="s">
        <v>11</v>
      </c>
      <c r="H1836" s="25">
        <v>27029</v>
      </c>
      <c r="I1836" s="25">
        <v>1205</v>
      </c>
      <c r="J1836" s="26">
        <v>892.77</v>
      </c>
      <c r="K1836" s="25">
        <v>173</v>
      </c>
      <c r="L1836" s="21" t="s">
        <v>21</v>
      </c>
      <c r="M1836" s="22" t="s">
        <v>11</v>
      </c>
      <c r="N1836" s="27">
        <f t="shared" si="224"/>
        <v>5</v>
      </c>
      <c r="O1836" s="28">
        <f t="shared" si="225"/>
        <v>4.4581745532576121E-2</v>
      </c>
      <c r="P1836" s="28">
        <f t="shared" si="226"/>
        <v>0.14356846473029045</v>
      </c>
      <c r="Q1836" s="26">
        <f t="shared" si="227"/>
        <v>0.74088796680497926</v>
      </c>
      <c r="R1836" s="29">
        <f t="shared" si="228"/>
        <v>5.1605202312138729</v>
      </c>
      <c r="S1836" s="30">
        <f t="shared" si="229"/>
        <v>12</v>
      </c>
      <c r="T1836" s="30">
        <f t="shared" si="230"/>
        <v>2023</v>
      </c>
      <c r="U1836" s="29" t="str">
        <f t="shared" si="231"/>
        <v>December</v>
      </c>
    </row>
    <row r="1837" spans="1:21" ht="17.399999999999999" x14ac:dyDescent="0.3">
      <c r="A1837" s="21" t="s">
        <v>551</v>
      </c>
      <c r="B1837" s="21" t="s">
        <v>552</v>
      </c>
      <c r="C1837" s="23" t="s">
        <v>3518</v>
      </c>
      <c r="D1837" s="21" t="s">
        <v>3521</v>
      </c>
      <c r="E1837" s="24">
        <v>45264</v>
      </c>
      <c r="F1837" s="24">
        <v>45266</v>
      </c>
      <c r="G1837" s="22" t="s">
        <v>31</v>
      </c>
      <c r="H1837" s="25">
        <v>3200</v>
      </c>
      <c r="I1837" s="25">
        <v>92</v>
      </c>
      <c r="J1837" s="26">
        <v>73.53</v>
      </c>
      <c r="K1837" s="25">
        <v>7</v>
      </c>
      <c r="L1837" s="21" t="s">
        <v>21</v>
      </c>
      <c r="M1837" s="22" t="s">
        <v>31</v>
      </c>
      <c r="N1837" s="27">
        <f t="shared" si="224"/>
        <v>2</v>
      </c>
      <c r="O1837" s="28">
        <f t="shared" si="225"/>
        <v>2.8750000000000001E-2</v>
      </c>
      <c r="P1837" s="28">
        <f t="shared" si="226"/>
        <v>7.6086956521739135E-2</v>
      </c>
      <c r="Q1837" s="26">
        <f t="shared" si="227"/>
        <v>0.79923913043478267</v>
      </c>
      <c r="R1837" s="29">
        <f t="shared" si="228"/>
        <v>10.504285714285714</v>
      </c>
      <c r="S1837" s="30">
        <f t="shared" si="229"/>
        <v>12</v>
      </c>
      <c r="T1837" s="30">
        <f t="shared" si="230"/>
        <v>2023</v>
      </c>
      <c r="U1837" s="29" t="str">
        <f t="shared" si="231"/>
        <v>December</v>
      </c>
    </row>
    <row r="1838" spans="1:21" ht="17.399999999999999" x14ac:dyDescent="0.3">
      <c r="A1838" s="21" t="s">
        <v>724</v>
      </c>
      <c r="B1838" s="21" t="s">
        <v>725</v>
      </c>
      <c r="C1838" s="23" t="s">
        <v>3516</v>
      </c>
      <c r="D1838" s="21" t="s">
        <v>3520</v>
      </c>
      <c r="E1838" s="24">
        <v>45264</v>
      </c>
      <c r="F1838" s="24">
        <v>45291</v>
      </c>
      <c r="G1838" s="22" t="s">
        <v>16</v>
      </c>
      <c r="H1838" s="25">
        <v>9716</v>
      </c>
      <c r="I1838" s="25">
        <v>182</v>
      </c>
      <c r="J1838" s="26">
        <v>165.52</v>
      </c>
      <c r="K1838" s="25">
        <v>0</v>
      </c>
      <c r="L1838" s="21" t="s">
        <v>21</v>
      </c>
      <c r="M1838" s="22" t="s">
        <v>16</v>
      </c>
      <c r="N1838" s="27">
        <f t="shared" si="224"/>
        <v>27</v>
      </c>
      <c r="O1838" s="28">
        <f t="shared" si="225"/>
        <v>1.8731988472622477E-2</v>
      </c>
      <c r="P1838" s="28">
        <f t="shared" si="226"/>
        <v>0</v>
      </c>
      <c r="Q1838" s="26">
        <f t="shared" si="227"/>
        <v>0.90945054945054948</v>
      </c>
      <c r="R1838" s="29" t="str">
        <f t="shared" si="228"/>
        <v>0</v>
      </c>
      <c r="S1838" s="30">
        <f t="shared" si="229"/>
        <v>12</v>
      </c>
      <c r="T1838" s="30">
        <f t="shared" si="230"/>
        <v>2023</v>
      </c>
      <c r="U1838" s="29" t="str">
        <f t="shared" si="231"/>
        <v>December</v>
      </c>
    </row>
    <row r="1839" spans="1:21" ht="17.399999999999999" x14ac:dyDescent="0.3">
      <c r="A1839" s="21" t="s">
        <v>2398</v>
      </c>
      <c r="B1839" s="21" t="s">
        <v>2399</v>
      </c>
      <c r="C1839" s="23" t="s">
        <v>3516</v>
      </c>
      <c r="D1839" s="21" t="s">
        <v>3517</v>
      </c>
      <c r="E1839" s="24">
        <v>45264</v>
      </c>
      <c r="F1839" s="24">
        <v>45294</v>
      </c>
      <c r="G1839" s="22" t="s">
        <v>11</v>
      </c>
      <c r="H1839" s="25">
        <v>86514</v>
      </c>
      <c r="I1839" s="25">
        <v>4148</v>
      </c>
      <c r="J1839" s="26">
        <v>8267.84</v>
      </c>
      <c r="K1839" s="25">
        <v>0</v>
      </c>
      <c r="L1839" s="21" t="s">
        <v>17</v>
      </c>
      <c r="M1839" s="22" t="s">
        <v>11</v>
      </c>
      <c r="N1839" s="27">
        <f t="shared" si="224"/>
        <v>30</v>
      </c>
      <c r="O1839" s="28">
        <f t="shared" si="225"/>
        <v>4.7945997179647225E-2</v>
      </c>
      <c r="P1839" s="28">
        <f t="shared" si="226"/>
        <v>0</v>
      </c>
      <c r="Q1839" s="26">
        <f t="shared" si="227"/>
        <v>1.9932111861137898</v>
      </c>
      <c r="R1839" s="29" t="str">
        <f t="shared" si="228"/>
        <v>0</v>
      </c>
      <c r="S1839" s="30">
        <f t="shared" si="229"/>
        <v>12</v>
      </c>
      <c r="T1839" s="30">
        <f t="shared" si="230"/>
        <v>2023</v>
      </c>
      <c r="U1839" s="29" t="str">
        <f t="shared" si="231"/>
        <v>December</v>
      </c>
    </row>
    <row r="1840" spans="1:21" ht="17.399999999999999" x14ac:dyDescent="0.3">
      <c r="A1840" s="21" t="s">
        <v>636</v>
      </c>
      <c r="B1840" s="22" t="s">
        <v>4025</v>
      </c>
      <c r="C1840" s="23" t="s">
        <v>3515</v>
      </c>
      <c r="D1840" s="22" t="s">
        <v>3545</v>
      </c>
      <c r="E1840" s="24">
        <v>45264</v>
      </c>
      <c r="F1840" s="24">
        <v>45289</v>
      </c>
      <c r="G1840" s="22" t="s">
        <v>31</v>
      </c>
      <c r="H1840" s="25">
        <v>46714</v>
      </c>
      <c r="I1840" s="25">
        <v>754</v>
      </c>
      <c r="J1840" s="26">
        <v>603.02</v>
      </c>
      <c r="K1840" s="25">
        <v>125</v>
      </c>
      <c r="L1840" s="21" t="s">
        <v>17</v>
      </c>
      <c r="M1840" s="22" t="s">
        <v>31</v>
      </c>
      <c r="N1840" s="27">
        <f t="shared" si="224"/>
        <v>25</v>
      </c>
      <c r="O1840" s="28">
        <f t="shared" si="225"/>
        <v>1.6140771503189624E-2</v>
      </c>
      <c r="P1840" s="28">
        <f t="shared" si="226"/>
        <v>0.16578249336870027</v>
      </c>
      <c r="Q1840" s="26">
        <f t="shared" si="227"/>
        <v>0.79976127320954904</v>
      </c>
      <c r="R1840" s="29">
        <f t="shared" si="228"/>
        <v>4.82416</v>
      </c>
      <c r="S1840" s="30">
        <f t="shared" si="229"/>
        <v>12</v>
      </c>
      <c r="T1840" s="30">
        <f t="shared" si="230"/>
        <v>2023</v>
      </c>
      <c r="U1840" s="29" t="str">
        <f t="shared" si="231"/>
        <v>December</v>
      </c>
    </row>
    <row r="1841" spans="1:21" ht="17.399999999999999" x14ac:dyDescent="0.3">
      <c r="A1841" s="21" t="s">
        <v>3039</v>
      </c>
      <c r="B1841" s="22" t="s">
        <v>4026</v>
      </c>
      <c r="C1841" s="23" t="s">
        <v>3515</v>
      </c>
      <c r="D1841" s="22" t="s">
        <v>3545</v>
      </c>
      <c r="E1841" s="24">
        <v>45264</v>
      </c>
      <c r="F1841" s="24">
        <v>45293</v>
      </c>
      <c r="G1841" s="22" t="s">
        <v>14</v>
      </c>
      <c r="H1841" s="25">
        <v>98624</v>
      </c>
      <c r="I1841" s="25">
        <v>1554</v>
      </c>
      <c r="J1841" s="26">
        <v>2772.34</v>
      </c>
      <c r="K1841" s="25">
        <v>284</v>
      </c>
      <c r="L1841" s="21" t="s">
        <v>17</v>
      </c>
      <c r="M1841" s="22" t="s">
        <v>3537</v>
      </c>
      <c r="N1841" s="27">
        <f t="shared" si="224"/>
        <v>29</v>
      </c>
      <c r="O1841" s="28">
        <f t="shared" si="225"/>
        <v>1.5756813757300453E-2</v>
      </c>
      <c r="P1841" s="28">
        <f t="shared" si="226"/>
        <v>0.18275418275418276</v>
      </c>
      <c r="Q1841" s="26">
        <f t="shared" si="227"/>
        <v>1.784002574002574</v>
      </c>
      <c r="R1841" s="29">
        <f t="shared" si="228"/>
        <v>9.7617605633802818</v>
      </c>
      <c r="S1841" s="30">
        <f t="shared" si="229"/>
        <v>12</v>
      </c>
      <c r="T1841" s="30">
        <f t="shared" si="230"/>
        <v>2023</v>
      </c>
      <c r="U1841" s="29" t="str">
        <f t="shared" si="231"/>
        <v>December</v>
      </c>
    </row>
    <row r="1842" spans="1:21" ht="17.399999999999999" x14ac:dyDescent="0.3">
      <c r="A1842" s="21" t="s">
        <v>2074</v>
      </c>
      <c r="B1842" s="21" t="s">
        <v>2075</v>
      </c>
      <c r="C1842" s="23" t="s">
        <v>3518</v>
      </c>
      <c r="D1842" s="21" t="s">
        <v>3521</v>
      </c>
      <c r="E1842" s="24">
        <v>45265</v>
      </c>
      <c r="F1842" s="24">
        <v>45278</v>
      </c>
      <c r="G1842" s="22" t="s">
        <v>14</v>
      </c>
      <c r="H1842" s="25">
        <v>4756</v>
      </c>
      <c r="I1842" s="25">
        <v>134</v>
      </c>
      <c r="J1842" s="26">
        <v>250.3</v>
      </c>
      <c r="K1842" s="25">
        <v>17</v>
      </c>
      <c r="L1842" s="21" t="s">
        <v>17</v>
      </c>
      <c r="M1842" s="22" t="s">
        <v>3537</v>
      </c>
      <c r="N1842" s="27">
        <f t="shared" si="224"/>
        <v>13</v>
      </c>
      <c r="O1842" s="28">
        <f t="shared" si="225"/>
        <v>2.8174936921783012E-2</v>
      </c>
      <c r="P1842" s="28">
        <f t="shared" si="226"/>
        <v>0.12686567164179105</v>
      </c>
      <c r="Q1842" s="26">
        <f t="shared" si="227"/>
        <v>1.8679104477611941</v>
      </c>
      <c r="R1842" s="29">
        <f t="shared" si="228"/>
        <v>14.723529411764707</v>
      </c>
      <c r="S1842" s="30">
        <f t="shared" si="229"/>
        <v>12</v>
      </c>
      <c r="T1842" s="30">
        <f t="shared" si="230"/>
        <v>2023</v>
      </c>
      <c r="U1842" s="29" t="str">
        <f t="shared" si="231"/>
        <v>December</v>
      </c>
    </row>
    <row r="1843" spans="1:21" ht="17.399999999999999" x14ac:dyDescent="0.3">
      <c r="A1843" s="21" t="s">
        <v>1367</v>
      </c>
      <c r="B1843" s="21" t="s">
        <v>1368</v>
      </c>
      <c r="C1843" s="23" t="s">
        <v>3516</v>
      </c>
      <c r="D1843" s="21" t="s">
        <v>3520</v>
      </c>
      <c r="E1843" s="24">
        <v>45265</v>
      </c>
      <c r="F1843" s="24">
        <v>45292</v>
      </c>
      <c r="G1843" s="22" t="s">
        <v>31</v>
      </c>
      <c r="H1843" s="25">
        <v>28532</v>
      </c>
      <c r="I1843" s="25">
        <v>788</v>
      </c>
      <c r="J1843" s="26">
        <v>1572.35</v>
      </c>
      <c r="K1843" s="25">
        <v>97</v>
      </c>
      <c r="L1843" s="21" t="s">
        <v>17</v>
      </c>
      <c r="M1843" s="22" t="s">
        <v>31</v>
      </c>
      <c r="N1843" s="27">
        <f t="shared" si="224"/>
        <v>27</v>
      </c>
      <c r="O1843" s="28">
        <f t="shared" si="225"/>
        <v>2.7618112995934391E-2</v>
      </c>
      <c r="P1843" s="28">
        <f t="shared" si="226"/>
        <v>0.12309644670050761</v>
      </c>
      <c r="Q1843" s="26">
        <f t="shared" si="227"/>
        <v>1.9953680203045685</v>
      </c>
      <c r="R1843" s="29">
        <f t="shared" si="228"/>
        <v>16.209793814432988</v>
      </c>
      <c r="S1843" s="30">
        <f t="shared" si="229"/>
        <v>12</v>
      </c>
      <c r="T1843" s="30">
        <f t="shared" si="230"/>
        <v>2023</v>
      </c>
      <c r="U1843" s="29" t="str">
        <f t="shared" si="231"/>
        <v>December</v>
      </c>
    </row>
    <row r="1844" spans="1:21" ht="17.399999999999999" x14ac:dyDescent="0.3">
      <c r="A1844" s="21" t="s">
        <v>1523</v>
      </c>
      <c r="B1844" s="22" t="s">
        <v>4027</v>
      </c>
      <c r="C1844" s="23" t="s">
        <v>3516</v>
      </c>
      <c r="D1844" s="22" t="s">
        <v>3545</v>
      </c>
      <c r="E1844" s="24">
        <v>45265</v>
      </c>
      <c r="F1844" s="24">
        <v>45266</v>
      </c>
      <c r="G1844" s="22" t="s">
        <v>16</v>
      </c>
      <c r="H1844" s="25">
        <v>54682</v>
      </c>
      <c r="I1844" s="25">
        <v>696</v>
      </c>
      <c r="J1844" s="26">
        <v>1245.3800000000001</v>
      </c>
      <c r="K1844" s="25">
        <v>86</v>
      </c>
      <c r="L1844" s="21" t="s">
        <v>17</v>
      </c>
      <c r="M1844" s="22" t="s">
        <v>16</v>
      </c>
      <c r="N1844" s="27">
        <f t="shared" si="224"/>
        <v>1</v>
      </c>
      <c r="O1844" s="28">
        <f t="shared" si="225"/>
        <v>1.2728137229801397E-2</v>
      </c>
      <c r="P1844" s="28">
        <f t="shared" si="226"/>
        <v>0.1235632183908046</v>
      </c>
      <c r="Q1844" s="26">
        <f t="shared" si="227"/>
        <v>1.7893390804597702</v>
      </c>
      <c r="R1844" s="29">
        <f t="shared" si="228"/>
        <v>14.481162790697676</v>
      </c>
      <c r="S1844" s="30">
        <f t="shared" si="229"/>
        <v>12</v>
      </c>
      <c r="T1844" s="30">
        <f t="shared" si="230"/>
        <v>2023</v>
      </c>
      <c r="U1844" s="29" t="str">
        <f t="shared" si="231"/>
        <v>December</v>
      </c>
    </row>
    <row r="1845" spans="1:21" ht="17.399999999999999" x14ac:dyDescent="0.3">
      <c r="A1845" s="21" t="s">
        <v>3189</v>
      </c>
      <c r="B1845" s="21" t="s">
        <v>3190</v>
      </c>
      <c r="C1845" s="23" t="s">
        <v>3516</v>
      </c>
      <c r="D1845" s="21" t="s">
        <v>3520</v>
      </c>
      <c r="E1845" s="24">
        <v>45265</v>
      </c>
      <c r="F1845" s="24">
        <v>45269</v>
      </c>
      <c r="G1845" s="22" t="s">
        <v>31</v>
      </c>
      <c r="H1845" s="25">
        <v>12745</v>
      </c>
      <c r="I1845" s="25">
        <v>297</v>
      </c>
      <c r="J1845" s="26">
        <v>505.81</v>
      </c>
      <c r="K1845" s="25">
        <v>16</v>
      </c>
      <c r="L1845" s="21" t="s">
        <v>21</v>
      </c>
      <c r="M1845" s="22" t="s">
        <v>31</v>
      </c>
      <c r="N1845" s="27">
        <f t="shared" si="224"/>
        <v>4</v>
      </c>
      <c r="O1845" s="28">
        <f t="shared" si="225"/>
        <v>2.3303256178893682E-2</v>
      </c>
      <c r="P1845" s="28">
        <f t="shared" si="226"/>
        <v>5.387205387205387E-2</v>
      </c>
      <c r="Q1845" s="26">
        <f t="shared" si="227"/>
        <v>1.7030639730639732</v>
      </c>
      <c r="R1845" s="29">
        <f t="shared" si="228"/>
        <v>31.613125</v>
      </c>
      <c r="S1845" s="30">
        <f t="shared" si="229"/>
        <v>12</v>
      </c>
      <c r="T1845" s="30">
        <f t="shared" si="230"/>
        <v>2023</v>
      </c>
      <c r="U1845" s="29" t="str">
        <f t="shared" si="231"/>
        <v>December</v>
      </c>
    </row>
    <row r="1846" spans="1:21" ht="17.399999999999999" x14ac:dyDescent="0.3">
      <c r="A1846" s="21" t="s">
        <v>1032</v>
      </c>
      <c r="B1846" s="21" t="s">
        <v>1033</v>
      </c>
      <c r="C1846" s="23" t="s">
        <v>3515</v>
      </c>
      <c r="D1846" s="21" t="s">
        <v>3517</v>
      </c>
      <c r="E1846" s="24">
        <v>45265</v>
      </c>
      <c r="F1846" s="24">
        <v>45270</v>
      </c>
      <c r="G1846" s="22" t="s">
        <v>3535</v>
      </c>
      <c r="H1846" s="25">
        <v>8543</v>
      </c>
      <c r="I1846" s="25">
        <v>375</v>
      </c>
      <c r="J1846" s="26">
        <v>619.57000000000005</v>
      </c>
      <c r="K1846" s="25">
        <v>69</v>
      </c>
      <c r="L1846" s="21" t="s">
        <v>17</v>
      </c>
      <c r="M1846" s="22" t="s">
        <v>3535</v>
      </c>
      <c r="N1846" s="27">
        <f t="shared" si="224"/>
        <v>5</v>
      </c>
      <c r="O1846" s="28">
        <f t="shared" si="225"/>
        <v>4.3895587030317221E-2</v>
      </c>
      <c r="P1846" s="28">
        <f t="shared" si="226"/>
        <v>0.184</v>
      </c>
      <c r="Q1846" s="26">
        <f t="shared" si="227"/>
        <v>1.6521866666666667</v>
      </c>
      <c r="R1846" s="29">
        <f t="shared" si="228"/>
        <v>8.979275362318841</v>
      </c>
      <c r="S1846" s="30">
        <f t="shared" si="229"/>
        <v>12</v>
      </c>
      <c r="T1846" s="30">
        <f t="shared" si="230"/>
        <v>2023</v>
      </c>
      <c r="U1846" s="29" t="str">
        <f t="shared" si="231"/>
        <v>December</v>
      </c>
    </row>
    <row r="1847" spans="1:21" ht="17.399999999999999" x14ac:dyDescent="0.3">
      <c r="A1847" s="21" t="s">
        <v>1351</v>
      </c>
      <c r="B1847" s="21" t="s">
        <v>1352</v>
      </c>
      <c r="C1847" s="23" t="s">
        <v>3515</v>
      </c>
      <c r="D1847" s="21" t="s">
        <v>3520</v>
      </c>
      <c r="E1847" s="24">
        <v>45265</v>
      </c>
      <c r="F1847" s="24">
        <v>45279</v>
      </c>
      <c r="G1847" s="22" t="s">
        <v>3535</v>
      </c>
      <c r="H1847" s="25">
        <v>21159</v>
      </c>
      <c r="I1847" s="25">
        <v>291</v>
      </c>
      <c r="J1847" s="26">
        <v>286.85000000000002</v>
      </c>
      <c r="K1847" s="25">
        <v>28</v>
      </c>
      <c r="L1847" s="21" t="s">
        <v>21</v>
      </c>
      <c r="M1847" s="22" t="s">
        <v>3535</v>
      </c>
      <c r="N1847" s="27">
        <f t="shared" si="224"/>
        <v>14</v>
      </c>
      <c r="O1847" s="28">
        <f t="shared" si="225"/>
        <v>1.3753012902311073E-2</v>
      </c>
      <c r="P1847" s="28">
        <f t="shared" si="226"/>
        <v>9.6219931271477668E-2</v>
      </c>
      <c r="Q1847" s="26">
        <f t="shared" si="227"/>
        <v>0.98573883161512033</v>
      </c>
      <c r="R1847" s="29">
        <f t="shared" si="228"/>
        <v>10.244642857142859</v>
      </c>
      <c r="S1847" s="30">
        <f t="shared" si="229"/>
        <v>12</v>
      </c>
      <c r="T1847" s="30">
        <f t="shared" si="230"/>
        <v>2023</v>
      </c>
      <c r="U1847" s="29" t="str">
        <f t="shared" si="231"/>
        <v>December</v>
      </c>
    </row>
    <row r="1848" spans="1:21" ht="17.399999999999999" x14ac:dyDescent="0.3">
      <c r="A1848" s="21" t="s">
        <v>1384</v>
      </c>
      <c r="B1848" s="21" t="s">
        <v>1385</v>
      </c>
      <c r="C1848" s="23" t="s">
        <v>3515</v>
      </c>
      <c r="D1848" s="21" t="s">
        <v>3517</v>
      </c>
      <c r="E1848" s="24">
        <v>45265</v>
      </c>
      <c r="F1848" s="24">
        <v>45291</v>
      </c>
      <c r="G1848" s="22" t="s">
        <v>16</v>
      </c>
      <c r="H1848" s="25">
        <v>85791</v>
      </c>
      <c r="I1848" s="25">
        <v>3935</v>
      </c>
      <c r="J1848" s="26">
        <v>6556.43</v>
      </c>
      <c r="K1848" s="25">
        <v>681</v>
      </c>
      <c r="L1848" s="21" t="s">
        <v>21</v>
      </c>
      <c r="M1848" s="22" t="s">
        <v>16</v>
      </c>
      <c r="N1848" s="27">
        <f t="shared" si="224"/>
        <v>26</v>
      </c>
      <c r="O1848" s="28">
        <f t="shared" si="225"/>
        <v>4.586728211583966E-2</v>
      </c>
      <c r="P1848" s="28">
        <f t="shared" si="226"/>
        <v>0.17306226175349429</v>
      </c>
      <c r="Q1848" s="26">
        <f t="shared" si="227"/>
        <v>1.6661829733163915</v>
      </c>
      <c r="R1848" s="29">
        <f t="shared" si="228"/>
        <v>9.6276505139500745</v>
      </c>
      <c r="S1848" s="30">
        <f t="shared" si="229"/>
        <v>12</v>
      </c>
      <c r="T1848" s="30">
        <f t="shared" si="230"/>
        <v>2023</v>
      </c>
      <c r="U1848" s="29" t="str">
        <f t="shared" si="231"/>
        <v>December</v>
      </c>
    </row>
    <row r="1849" spans="1:21" ht="17.399999999999999" x14ac:dyDescent="0.3">
      <c r="A1849" s="21" t="s">
        <v>2365</v>
      </c>
      <c r="B1849" s="21" t="s">
        <v>2366</v>
      </c>
      <c r="C1849" s="23" t="s">
        <v>3515</v>
      </c>
      <c r="D1849" s="21" t="s">
        <v>3521</v>
      </c>
      <c r="E1849" s="24">
        <v>45265</v>
      </c>
      <c r="F1849" s="24">
        <v>45276</v>
      </c>
      <c r="G1849" s="22" t="s">
        <v>14</v>
      </c>
      <c r="H1849" s="25">
        <v>87925</v>
      </c>
      <c r="I1849" s="25">
        <v>4152</v>
      </c>
      <c r="J1849" s="26">
        <v>4581.05</v>
      </c>
      <c r="K1849" s="25">
        <v>788</v>
      </c>
      <c r="L1849" s="21" t="s">
        <v>21</v>
      </c>
      <c r="M1849" s="22" t="s">
        <v>3537</v>
      </c>
      <c r="N1849" s="27">
        <f t="shared" si="224"/>
        <v>11</v>
      </c>
      <c r="O1849" s="28">
        <f t="shared" si="225"/>
        <v>4.7222064259311913E-2</v>
      </c>
      <c r="P1849" s="28">
        <f t="shared" si="226"/>
        <v>0.18978805394990367</v>
      </c>
      <c r="Q1849" s="26">
        <f t="shared" si="227"/>
        <v>1.1033357418111753</v>
      </c>
      <c r="R1849" s="29">
        <f t="shared" si="228"/>
        <v>5.8135152284263958</v>
      </c>
      <c r="S1849" s="30">
        <f t="shared" si="229"/>
        <v>12</v>
      </c>
      <c r="T1849" s="30">
        <f t="shared" si="230"/>
        <v>2023</v>
      </c>
      <c r="U1849" s="29" t="str">
        <f t="shared" si="231"/>
        <v>December</v>
      </c>
    </row>
    <row r="1850" spans="1:21" ht="17.399999999999999" x14ac:dyDescent="0.3">
      <c r="A1850" s="21" t="s">
        <v>2684</v>
      </c>
      <c r="B1850" s="21" t="s">
        <v>2685</v>
      </c>
      <c r="C1850" s="23" t="s">
        <v>3515</v>
      </c>
      <c r="D1850" s="21" t="s">
        <v>3520</v>
      </c>
      <c r="E1850" s="24">
        <v>45265</v>
      </c>
      <c r="F1850" s="24">
        <v>45277</v>
      </c>
      <c r="G1850" s="22" t="s">
        <v>16</v>
      </c>
      <c r="H1850" s="25">
        <v>20541</v>
      </c>
      <c r="I1850" s="25">
        <v>546</v>
      </c>
      <c r="J1850" s="26">
        <v>689.17</v>
      </c>
      <c r="K1850" s="25">
        <v>97</v>
      </c>
      <c r="L1850" s="21" t="s">
        <v>17</v>
      </c>
      <c r="M1850" s="22" t="s">
        <v>16</v>
      </c>
      <c r="N1850" s="27">
        <f t="shared" si="224"/>
        <v>12</v>
      </c>
      <c r="O1850" s="28">
        <f t="shared" si="225"/>
        <v>2.658098437271798E-2</v>
      </c>
      <c r="P1850" s="28">
        <f t="shared" si="226"/>
        <v>0.17765567765567766</v>
      </c>
      <c r="Q1850" s="26">
        <f t="shared" si="227"/>
        <v>1.262216117216117</v>
      </c>
      <c r="R1850" s="29">
        <f t="shared" si="228"/>
        <v>7.1048453608247417</v>
      </c>
      <c r="S1850" s="30">
        <f t="shared" si="229"/>
        <v>12</v>
      </c>
      <c r="T1850" s="30">
        <f t="shared" si="230"/>
        <v>2023</v>
      </c>
      <c r="U1850" s="29" t="str">
        <f t="shared" si="231"/>
        <v>December</v>
      </c>
    </row>
    <row r="1851" spans="1:21" ht="17.399999999999999" x14ac:dyDescent="0.3">
      <c r="A1851" s="21" t="s">
        <v>507</v>
      </c>
      <c r="B1851" s="21" t="s">
        <v>508</v>
      </c>
      <c r="C1851" s="23" t="s">
        <v>3515</v>
      </c>
      <c r="D1851" s="21" t="s">
        <v>3521</v>
      </c>
      <c r="E1851" s="24">
        <v>45265</v>
      </c>
      <c r="F1851" s="24">
        <v>45270</v>
      </c>
      <c r="G1851" s="22" t="s">
        <v>16</v>
      </c>
      <c r="H1851" s="25">
        <v>32616</v>
      </c>
      <c r="I1851" s="25">
        <v>1161</v>
      </c>
      <c r="J1851" s="26">
        <v>1584.67</v>
      </c>
      <c r="K1851" s="25">
        <v>229</v>
      </c>
      <c r="L1851" s="21" t="s">
        <v>21</v>
      </c>
      <c r="M1851" s="22" t="s">
        <v>16</v>
      </c>
      <c r="N1851" s="27">
        <f t="shared" si="224"/>
        <v>5</v>
      </c>
      <c r="O1851" s="28">
        <f t="shared" si="225"/>
        <v>3.5596026490066227E-2</v>
      </c>
      <c r="P1851" s="28">
        <f t="shared" si="226"/>
        <v>0.19724375538329025</v>
      </c>
      <c r="Q1851" s="26">
        <f t="shared" si="227"/>
        <v>1.3649181739879415</v>
      </c>
      <c r="R1851" s="29">
        <f t="shared" si="228"/>
        <v>6.9199563318777297</v>
      </c>
      <c r="S1851" s="30">
        <f t="shared" si="229"/>
        <v>12</v>
      </c>
      <c r="T1851" s="30">
        <f t="shared" si="230"/>
        <v>2023</v>
      </c>
      <c r="U1851" s="29" t="str">
        <f t="shared" si="231"/>
        <v>December</v>
      </c>
    </row>
    <row r="1852" spans="1:21" ht="17.399999999999999" x14ac:dyDescent="0.3">
      <c r="A1852" s="21" t="s">
        <v>1903</v>
      </c>
      <c r="B1852" s="22" t="s">
        <v>4028</v>
      </c>
      <c r="C1852" s="23" t="s">
        <v>3519</v>
      </c>
      <c r="D1852" s="22" t="s">
        <v>3545</v>
      </c>
      <c r="E1852" s="24">
        <v>45266</v>
      </c>
      <c r="F1852" s="24">
        <v>45292</v>
      </c>
      <c r="G1852" s="22" t="s">
        <v>14</v>
      </c>
      <c r="H1852" s="25">
        <v>94789</v>
      </c>
      <c r="I1852" s="25">
        <v>2384</v>
      </c>
      <c r="J1852" s="26">
        <v>4710.8999999999996</v>
      </c>
      <c r="K1852" s="25">
        <v>447</v>
      </c>
      <c r="L1852" s="21" t="s">
        <v>21</v>
      </c>
      <c r="M1852" s="22" t="s">
        <v>3537</v>
      </c>
      <c r="N1852" s="27">
        <f t="shared" si="224"/>
        <v>26</v>
      </c>
      <c r="O1852" s="28">
        <f t="shared" si="225"/>
        <v>2.5150597643186445E-2</v>
      </c>
      <c r="P1852" s="28">
        <f t="shared" si="226"/>
        <v>0.1875</v>
      </c>
      <c r="Q1852" s="26">
        <f t="shared" si="227"/>
        <v>1.9760486577181207</v>
      </c>
      <c r="R1852" s="29">
        <f t="shared" si="228"/>
        <v>10.538926174496643</v>
      </c>
      <c r="S1852" s="30">
        <f t="shared" si="229"/>
        <v>12</v>
      </c>
      <c r="T1852" s="30">
        <f t="shared" si="230"/>
        <v>2023</v>
      </c>
      <c r="U1852" s="29" t="str">
        <f t="shared" si="231"/>
        <v>December</v>
      </c>
    </row>
    <row r="1853" spans="1:21" ht="17.399999999999999" x14ac:dyDescent="0.3">
      <c r="A1853" s="21" t="s">
        <v>2197</v>
      </c>
      <c r="B1853" s="22" t="s">
        <v>4029</v>
      </c>
      <c r="C1853" s="23" t="s">
        <v>3519</v>
      </c>
      <c r="D1853" s="22" t="s">
        <v>3545</v>
      </c>
      <c r="E1853" s="24">
        <v>45266</v>
      </c>
      <c r="F1853" s="24">
        <v>45275</v>
      </c>
      <c r="G1853" s="22" t="s">
        <v>31</v>
      </c>
      <c r="H1853" s="25">
        <v>7783</v>
      </c>
      <c r="I1853" s="25">
        <v>125</v>
      </c>
      <c r="J1853" s="26">
        <v>101.77</v>
      </c>
      <c r="K1853" s="25">
        <v>20</v>
      </c>
      <c r="L1853" s="21" t="s">
        <v>17</v>
      </c>
      <c r="M1853" s="22" t="s">
        <v>31</v>
      </c>
      <c r="N1853" s="27">
        <f t="shared" si="224"/>
        <v>9</v>
      </c>
      <c r="O1853" s="28">
        <f t="shared" si="225"/>
        <v>1.6060644995503019E-2</v>
      </c>
      <c r="P1853" s="28">
        <f t="shared" si="226"/>
        <v>0.16</v>
      </c>
      <c r="Q1853" s="26">
        <f t="shared" si="227"/>
        <v>0.81415999999999999</v>
      </c>
      <c r="R1853" s="29">
        <f t="shared" si="228"/>
        <v>5.0884999999999998</v>
      </c>
      <c r="S1853" s="30">
        <f t="shared" si="229"/>
        <v>12</v>
      </c>
      <c r="T1853" s="30">
        <f t="shared" si="230"/>
        <v>2023</v>
      </c>
      <c r="U1853" s="29" t="str">
        <f t="shared" si="231"/>
        <v>December</v>
      </c>
    </row>
    <row r="1854" spans="1:21" ht="17.399999999999999" x14ac:dyDescent="0.3">
      <c r="A1854" s="21" t="s">
        <v>419</v>
      </c>
      <c r="B1854" s="21" t="s">
        <v>420</v>
      </c>
      <c r="C1854" s="23" t="s">
        <v>3518</v>
      </c>
      <c r="D1854" s="21" t="s">
        <v>3521</v>
      </c>
      <c r="E1854" s="24">
        <v>45266</v>
      </c>
      <c r="F1854" s="24">
        <v>45275</v>
      </c>
      <c r="G1854" s="22" t="s">
        <v>3535</v>
      </c>
      <c r="H1854" s="25">
        <v>26342</v>
      </c>
      <c r="I1854" s="25">
        <v>1074</v>
      </c>
      <c r="J1854" s="26">
        <v>2122.6</v>
      </c>
      <c r="K1854" s="25">
        <v>81</v>
      </c>
      <c r="L1854" s="21" t="s">
        <v>21</v>
      </c>
      <c r="M1854" s="22" t="s">
        <v>3535</v>
      </c>
      <c r="N1854" s="27">
        <f t="shared" si="224"/>
        <v>9</v>
      </c>
      <c r="O1854" s="28">
        <f t="shared" si="225"/>
        <v>4.0771391693872901E-2</v>
      </c>
      <c r="P1854" s="28">
        <f t="shared" si="226"/>
        <v>7.5418994413407825E-2</v>
      </c>
      <c r="Q1854" s="26">
        <f t="shared" si="227"/>
        <v>1.9763500931098696</v>
      </c>
      <c r="R1854" s="29">
        <f t="shared" si="228"/>
        <v>26.204938271604938</v>
      </c>
      <c r="S1854" s="30">
        <f t="shared" si="229"/>
        <v>12</v>
      </c>
      <c r="T1854" s="30">
        <f t="shared" si="230"/>
        <v>2023</v>
      </c>
      <c r="U1854" s="29" t="str">
        <f t="shared" si="231"/>
        <v>December</v>
      </c>
    </row>
    <row r="1855" spans="1:21" ht="17.399999999999999" x14ac:dyDescent="0.3">
      <c r="A1855" s="21" t="s">
        <v>2632</v>
      </c>
      <c r="B1855" s="21" t="s">
        <v>2633</v>
      </c>
      <c r="C1855" s="23" t="s">
        <v>3518</v>
      </c>
      <c r="D1855" s="21" t="s">
        <v>3521</v>
      </c>
      <c r="E1855" s="24">
        <v>45266</v>
      </c>
      <c r="F1855" s="24">
        <v>45279</v>
      </c>
      <c r="G1855" s="22" t="s">
        <v>24</v>
      </c>
      <c r="H1855" s="25">
        <v>22520</v>
      </c>
      <c r="I1855" s="25">
        <v>931</v>
      </c>
      <c r="J1855" s="26">
        <v>1835.18</v>
      </c>
      <c r="K1855" s="25">
        <v>130</v>
      </c>
      <c r="L1855" s="21" t="s">
        <v>17</v>
      </c>
      <c r="M1855" s="22" t="s">
        <v>3536</v>
      </c>
      <c r="N1855" s="27">
        <f t="shared" si="224"/>
        <v>13</v>
      </c>
      <c r="O1855" s="28">
        <f t="shared" si="225"/>
        <v>4.1341030195381885E-2</v>
      </c>
      <c r="P1855" s="28">
        <f t="shared" si="226"/>
        <v>0.13963480128893663</v>
      </c>
      <c r="Q1855" s="26">
        <f t="shared" si="227"/>
        <v>1.9711922663802364</v>
      </c>
      <c r="R1855" s="29">
        <f t="shared" si="228"/>
        <v>14.116769230769231</v>
      </c>
      <c r="S1855" s="30">
        <f t="shared" si="229"/>
        <v>12</v>
      </c>
      <c r="T1855" s="30">
        <f t="shared" si="230"/>
        <v>2023</v>
      </c>
      <c r="U1855" s="29" t="str">
        <f t="shared" si="231"/>
        <v>December</v>
      </c>
    </row>
    <row r="1856" spans="1:21" ht="17.399999999999999" x14ac:dyDescent="0.3">
      <c r="A1856" s="21" t="s">
        <v>267</v>
      </c>
      <c r="B1856" s="21" t="s">
        <v>268</v>
      </c>
      <c r="C1856" s="23" t="s">
        <v>3516</v>
      </c>
      <c r="D1856" s="21" t="s">
        <v>3520</v>
      </c>
      <c r="E1856" s="24">
        <v>45266</v>
      </c>
      <c r="F1856" s="24">
        <v>45292</v>
      </c>
      <c r="G1856" s="22" t="s">
        <v>31</v>
      </c>
      <c r="H1856" s="25">
        <v>51015</v>
      </c>
      <c r="I1856" s="25">
        <v>2071</v>
      </c>
      <c r="J1856" s="26">
        <v>2444.54</v>
      </c>
      <c r="K1856" s="25">
        <v>0</v>
      </c>
      <c r="L1856" s="21" t="s">
        <v>17</v>
      </c>
      <c r="M1856" s="22" t="s">
        <v>31</v>
      </c>
      <c r="N1856" s="27">
        <f t="shared" si="224"/>
        <v>26</v>
      </c>
      <c r="O1856" s="28">
        <f t="shared" si="225"/>
        <v>4.0595903165735567E-2</v>
      </c>
      <c r="P1856" s="28">
        <f t="shared" si="226"/>
        <v>0</v>
      </c>
      <c r="Q1856" s="26">
        <f t="shared" si="227"/>
        <v>1.1803669724770642</v>
      </c>
      <c r="R1856" s="29" t="str">
        <f t="shared" si="228"/>
        <v>0</v>
      </c>
      <c r="S1856" s="30">
        <f t="shared" si="229"/>
        <v>12</v>
      </c>
      <c r="T1856" s="30">
        <f t="shared" si="230"/>
        <v>2023</v>
      </c>
      <c r="U1856" s="29" t="str">
        <f t="shared" si="231"/>
        <v>December</v>
      </c>
    </row>
    <row r="1857" spans="1:21" ht="17.399999999999999" x14ac:dyDescent="0.3">
      <c r="A1857" s="21" t="s">
        <v>2919</v>
      </c>
      <c r="B1857" s="21" t="s">
        <v>2920</v>
      </c>
      <c r="C1857" s="23" t="s">
        <v>3515</v>
      </c>
      <c r="D1857" s="21" t="s">
        <v>3517</v>
      </c>
      <c r="E1857" s="24">
        <v>45266</v>
      </c>
      <c r="F1857" s="24">
        <v>45274</v>
      </c>
      <c r="G1857" s="22" t="s">
        <v>14</v>
      </c>
      <c r="H1857" s="25">
        <v>19297</v>
      </c>
      <c r="I1857" s="25">
        <v>610</v>
      </c>
      <c r="J1857" s="26">
        <v>1089.1199999999999</v>
      </c>
      <c r="K1857" s="25">
        <v>0</v>
      </c>
      <c r="L1857" s="21" t="s">
        <v>17</v>
      </c>
      <c r="M1857" s="22" t="s">
        <v>3537</v>
      </c>
      <c r="N1857" s="27">
        <f t="shared" si="224"/>
        <v>8</v>
      </c>
      <c r="O1857" s="28">
        <f t="shared" si="225"/>
        <v>3.1611131263927034E-2</v>
      </c>
      <c r="P1857" s="28">
        <f t="shared" si="226"/>
        <v>0</v>
      </c>
      <c r="Q1857" s="26">
        <f t="shared" si="227"/>
        <v>1.7854426229508196</v>
      </c>
      <c r="R1857" s="29" t="str">
        <f t="shared" si="228"/>
        <v>0</v>
      </c>
      <c r="S1857" s="30">
        <f t="shared" si="229"/>
        <v>12</v>
      </c>
      <c r="T1857" s="30">
        <f t="shared" si="230"/>
        <v>2023</v>
      </c>
      <c r="U1857" s="29" t="str">
        <f t="shared" si="231"/>
        <v>December</v>
      </c>
    </row>
    <row r="1858" spans="1:21" ht="17.399999999999999" x14ac:dyDescent="0.3">
      <c r="A1858" s="21" t="s">
        <v>3498</v>
      </c>
      <c r="B1858" s="22" t="s">
        <v>4030</v>
      </c>
      <c r="C1858" s="23" t="s">
        <v>3515</v>
      </c>
      <c r="D1858" s="22" t="s">
        <v>3545</v>
      </c>
      <c r="E1858" s="24">
        <v>45266</v>
      </c>
      <c r="F1858" s="24">
        <v>45278</v>
      </c>
      <c r="G1858" s="22" t="s">
        <v>14</v>
      </c>
      <c r="H1858" s="25">
        <v>84847</v>
      </c>
      <c r="I1858" s="25">
        <v>2616</v>
      </c>
      <c r="J1858" s="26">
        <v>4528</v>
      </c>
      <c r="K1858" s="25">
        <v>449</v>
      </c>
      <c r="L1858" s="21" t="s">
        <v>17</v>
      </c>
      <c r="M1858" s="22" t="s">
        <v>3537</v>
      </c>
      <c r="N1858" s="27">
        <f t="shared" ref="N1858:N1921" si="232">F1858-E1858</f>
        <v>12</v>
      </c>
      <c r="O1858" s="28">
        <f t="shared" ref="O1858:O1921" si="233">I1858/H1858</f>
        <v>3.0831968130870861E-2</v>
      </c>
      <c r="P1858" s="28">
        <f t="shared" ref="P1858:P1921" si="234">K1858/I1858</f>
        <v>0.17163608562691132</v>
      </c>
      <c r="Q1858" s="26">
        <f t="shared" ref="Q1858:Q1921" si="235">J1858/I1858</f>
        <v>1.7308868501529051</v>
      </c>
      <c r="R1858" s="29">
        <f t="shared" ref="R1858:R1921" si="236">IFERROR(J1858/K1858,"0")</f>
        <v>10.084632516703786</v>
      </c>
      <c r="S1858" s="30">
        <f t="shared" ref="S1858:S1921" si="237">MONTH(E1858)</f>
        <v>12</v>
      </c>
      <c r="T1858" s="30">
        <f t="shared" ref="T1858:T1921" si="238">YEAR(E1858)</f>
        <v>2023</v>
      </c>
      <c r="U1858" s="29" t="str">
        <f t="shared" ref="U1858:U1921" si="239">TEXT(E1858,"mmmm")</f>
        <v>December</v>
      </c>
    </row>
    <row r="1859" spans="1:21" ht="17.399999999999999" x14ac:dyDescent="0.3">
      <c r="A1859" s="21" t="s">
        <v>265</v>
      </c>
      <c r="B1859" s="21" t="s">
        <v>266</v>
      </c>
      <c r="C1859" s="23" t="s">
        <v>3518</v>
      </c>
      <c r="D1859" s="21" t="s">
        <v>3521</v>
      </c>
      <c r="E1859" s="24">
        <v>45267</v>
      </c>
      <c r="F1859" s="24">
        <v>45274</v>
      </c>
      <c r="G1859" s="22" t="s">
        <v>14</v>
      </c>
      <c r="H1859" s="25">
        <v>51636</v>
      </c>
      <c r="I1859" s="25">
        <v>1859</v>
      </c>
      <c r="J1859" s="26">
        <v>1407.54</v>
      </c>
      <c r="K1859" s="25">
        <v>270</v>
      </c>
      <c r="L1859" s="21" t="s">
        <v>21</v>
      </c>
      <c r="M1859" s="22" t="s">
        <v>3537</v>
      </c>
      <c r="N1859" s="27">
        <f t="shared" si="232"/>
        <v>7</v>
      </c>
      <c r="O1859" s="28">
        <f t="shared" si="233"/>
        <v>3.6002014098690839E-2</v>
      </c>
      <c r="P1859" s="28">
        <f t="shared" si="234"/>
        <v>0.14523937600860679</v>
      </c>
      <c r="Q1859" s="26">
        <f t="shared" si="235"/>
        <v>0.75714900484131253</v>
      </c>
      <c r="R1859" s="29">
        <f t="shared" si="236"/>
        <v>5.213111111111111</v>
      </c>
      <c r="S1859" s="30">
        <f t="shared" si="237"/>
        <v>12</v>
      </c>
      <c r="T1859" s="30">
        <f t="shared" si="238"/>
        <v>2023</v>
      </c>
      <c r="U1859" s="29" t="str">
        <f t="shared" si="239"/>
        <v>December</v>
      </c>
    </row>
    <row r="1860" spans="1:21" ht="17.399999999999999" x14ac:dyDescent="0.3">
      <c r="A1860" s="21" t="s">
        <v>1728</v>
      </c>
      <c r="B1860" s="21" t="s">
        <v>1729</v>
      </c>
      <c r="C1860" s="23" t="s">
        <v>3516</v>
      </c>
      <c r="D1860" s="21" t="s">
        <v>3517</v>
      </c>
      <c r="E1860" s="24">
        <v>45267</v>
      </c>
      <c r="F1860" s="24">
        <v>45272</v>
      </c>
      <c r="G1860" s="22" t="s">
        <v>14</v>
      </c>
      <c r="H1860" s="25">
        <v>48915</v>
      </c>
      <c r="I1860" s="25">
        <v>1394</v>
      </c>
      <c r="J1860" s="26">
        <v>1981.71</v>
      </c>
      <c r="K1860" s="25">
        <v>73</v>
      </c>
      <c r="L1860" s="21" t="s">
        <v>17</v>
      </c>
      <c r="M1860" s="22" t="s">
        <v>3537</v>
      </c>
      <c r="N1860" s="27">
        <f t="shared" si="232"/>
        <v>5</v>
      </c>
      <c r="O1860" s="28">
        <f t="shared" si="233"/>
        <v>2.8498415618930798E-2</v>
      </c>
      <c r="P1860" s="28">
        <f t="shared" si="234"/>
        <v>5.2367288378766141E-2</v>
      </c>
      <c r="Q1860" s="26">
        <f t="shared" si="235"/>
        <v>1.4215997130559541</v>
      </c>
      <c r="R1860" s="29">
        <f t="shared" si="236"/>
        <v>27.146712328767123</v>
      </c>
      <c r="S1860" s="30">
        <f t="shared" si="237"/>
        <v>12</v>
      </c>
      <c r="T1860" s="30">
        <f t="shared" si="238"/>
        <v>2023</v>
      </c>
      <c r="U1860" s="29" t="str">
        <f t="shared" si="239"/>
        <v>December</v>
      </c>
    </row>
    <row r="1861" spans="1:21" ht="17.399999999999999" x14ac:dyDescent="0.3">
      <c r="A1861" s="21" t="s">
        <v>2451</v>
      </c>
      <c r="B1861" s="21" t="s">
        <v>2452</v>
      </c>
      <c r="C1861" s="23" t="s">
        <v>3518</v>
      </c>
      <c r="D1861" s="21" t="s">
        <v>3521</v>
      </c>
      <c r="E1861" s="24">
        <v>45268</v>
      </c>
      <c r="F1861" s="24">
        <v>45295</v>
      </c>
      <c r="G1861" s="22" t="s">
        <v>3535</v>
      </c>
      <c r="H1861" s="25">
        <v>56029</v>
      </c>
      <c r="I1861" s="25">
        <v>2046</v>
      </c>
      <c r="J1861" s="26">
        <v>3313.59</v>
      </c>
      <c r="K1861" s="25">
        <v>149</v>
      </c>
      <c r="L1861" s="21" t="s">
        <v>21</v>
      </c>
      <c r="M1861" s="22" t="s">
        <v>3535</v>
      </c>
      <c r="N1861" s="27">
        <f t="shared" si="232"/>
        <v>27</v>
      </c>
      <c r="O1861" s="28">
        <f t="shared" si="233"/>
        <v>3.6516803798033161E-2</v>
      </c>
      <c r="P1861" s="28">
        <f t="shared" si="234"/>
        <v>7.2825024437927668E-2</v>
      </c>
      <c r="Q1861" s="26">
        <f t="shared" si="235"/>
        <v>1.6195454545454546</v>
      </c>
      <c r="R1861" s="29">
        <f t="shared" si="236"/>
        <v>22.238859060402685</v>
      </c>
      <c r="S1861" s="30">
        <f t="shared" si="237"/>
        <v>12</v>
      </c>
      <c r="T1861" s="30">
        <f t="shared" si="238"/>
        <v>2023</v>
      </c>
      <c r="U1861" s="29" t="str">
        <f t="shared" si="239"/>
        <v>December</v>
      </c>
    </row>
    <row r="1862" spans="1:21" ht="17.399999999999999" x14ac:dyDescent="0.3">
      <c r="A1862" s="21" t="s">
        <v>1301</v>
      </c>
      <c r="B1862" s="21" t="s">
        <v>1302</v>
      </c>
      <c r="C1862" s="23" t="s">
        <v>3515</v>
      </c>
      <c r="D1862" s="21" t="s">
        <v>3520</v>
      </c>
      <c r="E1862" s="24">
        <v>45268</v>
      </c>
      <c r="F1862" s="24">
        <v>45277</v>
      </c>
      <c r="G1862" s="22" t="s">
        <v>11</v>
      </c>
      <c r="H1862" s="25">
        <v>31354</v>
      </c>
      <c r="I1862" s="25">
        <v>490</v>
      </c>
      <c r="J1862" s="26">
        <v>339.94</v>
      </c>
      <c r="K1862" s="25">
        <v>63</v>
      </c>
      <c r="L1862" s="21" t="s">
        <v>17</v>
      </c>
      <c r="M1862" s="22" t="s">
        <v>11</v>
      </c>
      <c r="N1862" s="27">
        <f t="shared" si="232"/>
        <v>9</v>
      </c>
      <c r="O1862" s="28">
        <f t="shared" si="233"/>
        <v>1.5627990049116539E-2</v>
      </c>
      <c r="P1862" s="28">
        <f t="shared" si="234"/>
        <v>0.12857142857142856</v>
      </c>
      <c r="Q1862" s="26">
        <f t="shared" si="235"/>
        <v>0.69375510204081636</v>
      </c>
      <c r="R1862" s="29">
        <f t="shared" si="236"/>
        <v>5.3958730158730157</v>
      </c>
      <c r="S1862" s="30">
        <f t="shared" si="237"/>
        <v>12</v>
      </c>
      <c r="T1862" s="30">
        <f t="shared" si="238"/>
        <v>2023</v>
      </c>
      <c r="U1862" s="29" t="str">
        <f t="shared" si="239"/>
        <v>December</v>
      </c>
    </row>
    <row r="1863" spans="1:21" ht="17.399999999999999" x14ac:dyDescent="0.3">
      <c r="A1863" s="21" t="s">
        <v>233</v>
      </c>
      <c r="B1863" s="21" t="s">
        <v>234</v>
      </c>
      <c r="C1863" s="23" t="s">
        <v>3519</v>
      </c>
      <c r="D1863" s="21" t="s">
        <v>3520</v>
      </c>
      <c r="E1863" s="24">
        <v>45269</v>
      </c>
      <c r="F1863" s="24">
        <v>45282</v>
      </c>
      <c r="G1863" s="22" t="s">
        <v>24</v>
      </c>
      <c r="H1863" s="25">
        <v>85651</v>
      </c>
      <c r="I1863" s="25">
        <v>1244</v>
      </c>
      <c r="J1863" s="26">
        <v>2348.14</v>
      </c>
      <c r="K1863" s="25">
        <v>63</v>
      </c>
      <c r="L1863" s="21" t="s">
        <v>17</v>
      </c>
      <c r="M1863" s="22" t="s">
        <v>3536</v>
      </c>
      <c r="N1863" s="27">
        <f t="shared" si="232"/>
        <v>13</v>
      </c>
      <c r="O1863" s="28">
        <f t="shared" si="233"/>
        <v>1.4524056928699023E-2</v>
      </c>
      <c r="P1863" s="28">
        <f t="shared" si="234"/>
        <v>5.0643086816720258E-2</v>
      </c>
      <c r="Q1863" s="26">
        <f t="shared" si="235"/>
        <v>1.8875723472668808</v>
      </c>
      <c r="R1863" s="29">
        <f t="shared" si="236"/>
        <v>37.272063492063488</v>
      </c>
      <c r="S1863" s="30">
        <f t="shared" si="237"/>
        <v>12</v>
      </c>
      <c r="T1863" s="30">
        <f t="shared" si="238"/>
        <v>2023</v>
      </c>
      <c r="U1863" s="29" t="str">
        <f t="shared" si="239"/>
        <v>December</v>
      </c>
    </row>
    <row r="1864" spans="1:21" ht="17.399999999999999" x14ac:dyDescent="0.3">
      <c r="A1864" s="21" t="s">
        <v>982</v>
      </c>
      <c r="B1864" s="21" t="s">
        <v>983</v>
      </c>
      <c r="C1864" s="23" t="s">
        <v>3519</v>
      </c>
      <c r="D1864" s="21" t="s">
        <v>3521</v>
      </c>
      <c r="E1864" s="24">
        <v>45269</v>
      </c>
      <c r="F1864" s="24">
        <v>45291</v>
      </c>
      <c r="G1864" s="22" t="s">
        <v>14</v>
      </c>
      <c r="H1864" s="25">
        <v>70449</v>
      </c>
      <c r="I1864" s="25">
        <v>1669</v>
      </c>
      <c r="J1864" s="26">
        <v>3105.8</v>
      </c>
      <c r="K1864" s="25">
        <v>228</v>
      </c>
      <c r="L1864" s="21" t="s">
        <v>21</v>
      </c>
      <c r="M1864" s="22" t="s">
        <v>3537</v>
      </c>
      <c r="N1864" s="27">
        <f t="shared" si="232"/>
        <v>22</v>
      </c>
      <c r="O1864" s="28">
        <f t="shared" si="233"/>
        <v>2.3690896960922084E-2</v>
      </c>
      <c r="P1864" s="28">
        <f t="shared" si="234"/>
        <v>0.1366087477531456</v>
      </c>
      <c r="Q1864" s="26">
        <f t="shared" si="235"/>
        <v>1.8608747753145598</v>
      </c>
      <c r="R1864" s="29">
        <f t="shared" si="236"/>
        <v>13.621929824561404</v>
      </c>
      <c r="S1864" s="30">
        <f t="shared" si="237"/>
        <v>12</v>
      </c>
      <c r="T1864" s="30">
        <f t="shared" si="238"/>
        <v>2023</v>
      </c>
      <c r="U1864" s="29" t="str">
        <f t="shared" si="239"/>
        <v>December</v>
      </c>
    </row>
    <row r="1865" spans="1:21" ht="17.399999999999999" x14ac:dyDescent="0.3">
      <c r="A1865" s="21" t="s">
        <v>1290</v>
      </c>
      <c r="B1865" s="22" t="s">
        <v>4031</v>
      </c>
      <c r="C1865" s="23" t="s">
        <v>3516</v>
      </c>
      <c r="D1865" s="22" t="s">
        <v>3545</v>
      </c>
      <c r="E1865" s="24">
        <v>45269</v>
      </c>
      <c r="F1865" s="24">
        <v>45287</v>
      </c>
      <c r="G1865" s="22" t="s">
        <v>24</v>
      </c>
      <c r="H1865" s="25">
        <v>94045</v>
      </c>
      <c r="I1865" s="25">
        <v>3918</v>
      </c>
      <c r="J1865" s="26">
        <v>5869.35</v>
      </c>
      <c r="K1865" s="25">
        <v>537</v>
      </c>
      <c r="L1865" s="21" t="s">
        <v>21</v>
      </c>
      <c r="M1865" s="22" t="s">
        <v>3536</v>
      </c>
      <c r="N1865" s="27">
        <f t="shared" si="232"/>
        <v>18</v>
      </c>
      <c r="O1865" s="28">
        <f t="shared" si="233"/>
        <v>4.1660907012600348E-2</v>
      </c>
      <c r="P1865" s="28">
        <f t="shared" si="234"/>
        <v>0.13705972434915772</v>
      </c>
      <c r="Q1865" s="26">
        <f t="shared" si="235"/>
        <v>1.4980474732006126</v>
      </c>
      <c r="R1865" s="29">
        <f t="shared" si="236"/>
        <v>10.929888268156425</v>
      </c>
      <c r="S1865" s="30">
        <f t="shared" si="237"/>
        <v>12</v>
      </c>
      <c r="T1865" s="30">
        <f t="shared" si="238"/>
        <v>2023</v>
      </c>
      <c r="U1865" s="29" t="str">
        <f t="shared" si="239"/>
        <v>December</v>
      </c>
    </row>
    <row r="1866" spans="1:21" ht="17.399999999999999" x14ac:dyDescent="0.3">
      <c r="A1866" s="21" t="s">
        <v>2517</v>
      </c>
      <c r="B1866" s="21" t="s">
        <v>2518</v>
      </c>
      <c r="C1866" s="23" t="s">
        <v>3515</v>
      </c>
      <c r="D1866" s="21" t="s">
        <v>3521</v>
      </c>
      <c r="E1866" s="24">
        <v>45269</v>
      </c>
      <c r="F1866" s="24">
        <v>45275</v>
      </c>
      <c r="G1866" s="22" t="s">
        <v>3535</v>
      </c>
      <c r="H1866" s="25">
        <v>36737</v>
      </c>
      <c r="I1866" s="25">
        <v>1311</v>
      </c>
      <c r="J1866" s="26">
        <v>2005.53</v>
      </c>
      <c r="K1866" s="25">
        <v>167</v>
      </c>
      <c r="L1866" s="21" t="s">
        <v>21</v>
      </c>
      <c r="M1866" s="22" t="s">
        <v>3535</v>
      </c>
      <c r="N1866" s="27">
        <f t="shared" si="232"/>
        <v>6</v>
      </c>
      <c r="O1866" s="28">
        <f t="shared" si="233"/>
        <v>3.5686093039714727E-2</v>
      </c>
      <c r="P1866" s="28">
        <f t="shared" si="234"/>
        <v>0.12738367658276126</v>
      </c>
      <c r="Q1866" s="26">
        <f t="shared" si="235"/>
        <v>1.5297711670480549</v>
      </c>
      <c r="R1866" s="29">
        <f t="shared" si="236"/>
        <v>12.009161676646707</v>
      </c>
      <c r="S1866" s="30">
        <f t="shared" si="237"/>
        <v>12</v>
      </c>
      <c r="T1866" s="30">
        <f t="shared" si="238"/>
        <v>2023</v>
      </c>
      <c r="U1866" s="29" t="str">
        <f t="shared" si="239"/>
        <v>December</v>
      </c>
    </row>
    <row r="1867" spans="1:21" ht="17.399999999999999" x14ac:dyDescent="0.3">
      <c r="A1867" s="21" t="s">
        <v>907</v>
      </c>
      <c r="B1867" s="22" t="s">
        <v>4032</v>
      </c>
      <c r="C1867" s="23" t="s">
        <v>3519</v>
      </c>
      <c r="D1867" s="22" t="s">
        <v>3545</v>
      </c>
      <c r="E1867" s="24">
        <v>45270</v>
      </c>
      <c r="F1867" s="24">
        <v>45279</v>
      </c>
      <c r="G1867" s="22" t="s">
        <v>14</v>
      </c>
      <c r="H1867" s="25">
        <v>44919</v>
      </c>
      <c r="I1867" s="25">
        <v>653</v>
      </c>
      <c r="J1867" s="26">
        <v>463.24</v>
      </c>
      <c r="K1867" s="25">
        <v>0</v>
      </c>
      <c r="L1867" s="21" t="s">
        <v>21</v>
      </c>
      <c r="M1867" s="22" t="s">
        <v>3537</v>
      </c>
      <c r="N1867" s="27">
        <f t="shared" si="232"/>
        <v>9</v>
      </c>
      <c r="O1867" s="28">
        <f t="shared" si="233"/>
        <v>1.4537278211892518E-2</v>
      </c>
      <c r="P1867" s="28">
        <f t="shared" si="234"/>
        <v>0</v>
      </c>
      <c r="Q1867" s="26">
        <f t="shared" si="235"/>
        <v>0.70940275650842266</v>
      </c>
      <c r="R1867" s="29" t="str">
        <f t="shared" si="236"/>
        <v>0</v>
      </c>
      <c r="S1867" s="30">
        <f t="shared" si="237"/>
        <v>12</v>
      </c>
      <c r="T1867" s="30">
        <f t="shared" si="238"/>
        <v>2023</v>
      </c>
      <c r="U1867" s="29" t="str">
        <f t="shared" si="239"/>
        <v>December</v>
      </c>
    </row>
    <row r="1868" spans="1:21" ht="17.399999999999999" x14ac:dyDescent="0.3">
      <c r="A1868" s="21" t="s">
        <v>263</v>
      </c>
      <c r="B1868" s="21" t="s">
        <v>264</v>
      </c>
      <c r="C1868" s="23" t="s">
        <v>3518</v>
      </c>
      <c r="D1868" s="21" t="s">
        <v>3521</v>
      </c>
      <c r="E1868" s="24">
        <v>45270</v>
      </c>
      <c r="F1868" s="24">
        <v>45295</v>
      </c>
      <c r="G1868" s="22" t="s">
        <v>31</v>
      </c>
      <c r="H1868" s="25">
        <v>24419</v>
      </c>
      <c r="I1868" s="25">
        <v>350</v>
      </c>
      <c r="J1868" s="26">
        <v>188.11</v>
      </c>
      <c r="K1868" s="25">
        <v>29</v>
      </c>
      <c r="L1868" s="21" t="s">
        <v>17</v>
      </c>
      <c r="M1868" s="22" t="s">
        <v>31</v>
      </c>
      <c r="N1868" s="27">
        <f t="shared" si="232"/>
        <v>25</v>
      </c>
      <c r="O1868" s="28">
        <f t="shared" si="233"/>
        <v>1.4333101273598428E-2</v>
      </c>
      <c r="P1868" s="28">
        <f t="shared" si="234"/>
        <v>8.2857142857142851E-2</v>
      </c>
      <c r="Q1868" s="26">
        <f t="shared" si="235"/>
        <v>0.53745714285714286</v>
      </c>
      <c r="R1868" s="29">
        <f t="shared" si="236"/>
        <v>6.4865517241379314</v>
      </c>
      <c r="S1868" s="30">
        <f t="shared" si="237"/>
        <v>12</v>
      </c>
      <c r="T1868" s="30">
        <f t="shared" si="238"/>
        <v>2023</v>
      </c>
      <c r="U1868" s="29" t="str">
        <f t="shared" si="239"/>
        <v>December</v>
      </c>
    </row>
    <row r="1869" spans="1:21" ht="17.399999999999999" x14ac:dyDescent="0.3">
      <c r="A1869" s="21" t="s">
        <v>1414</v>
      </c>
      <c r="B1869" s="21" t="s">
        <v>1415</v>
      </c>
      <c r="C1869" s="23" t="s">
        <v>3518</v>
      </c>
      <c r="D1869" s="21" t="s">
        <v>3521</v>
      </c>
      <c r="E1869" s="24">
        <v>45270</v>
      </c>
      <c r="F1869" s="24">
        <v>45297</v>
      </c>
      <c r="G1869" s="22" t="s">
        <v>14</v>
      </c>
      <c r="H1869" s="25">
        <v>87704</v>
      </c>
      <c r="I1869" s="25">
        <v>4272</v>
      </c>
      <c r="J1869" s="26">
        <v>500000</v>
      </c>
      <c r="K1869" s="25">
        <v>237</v>
      </c>
      <c r="L1869" s="21" t="s">
        <v>17</v>
      </c>
      <c r="M1869" s="22" t="s">
        <v>3537</v>
      </c>
      <c r="N1869" s="27">
        <f t="shared" si="232"/>
        <v>27</v>
      </c>
      <c r="O1869" s="28">
        <f t="shared" si="233"/>
        <v>4.8709294901030736E-2</v>
      </c>
      <c r="P1869" s="28">
        <f t="shared" si="234"/>
        <v>5.5477528089887637E-2</v>
      </c>
      <c r="Q1869" s="26">
        <f t="shared" si="235"/>
        <v>117.04119850187266</v>
      </c>
      <c r="R1869" s="29">
        <f t="shared" si="236"/>
        <v>2109.7046413502107</v>
      </c>
      <c r="S1869" s="30">
        <f t="shared" si="237"/>
        <v>12</v>
      </c>
      <c r="T1869" s="30">
        <f t="shared" si="238"/>
        <v>2023</v>
      </c>
      <c r="U1869" s="29" t="str">
        <f t="shared" si="239"/>
        <v>December</v>
      </c>
    </row>
    <row r="1870" spans="1:21" ht="17.399999999999999" x14ac:dyDescent="0.3">
      <c r="A1870" s="21" t="s">
        <v>2317</v>
      </c>
      <c r="B1870" s="22" t="s">
        <v>4033</v>
      </c>
      <c r="C1870" s="23" t="s">
        <v>3518</v>
      </c>
      <c r="D1870" s="22" t="s">
        <v>3545</v>
      </c>
      <c r="E1870" s="24">
        <v>45270</v>
      </c>
      <c r="F1870" s="24">
        <v>45283</v>
      </c>
      <c r="G1870" s="22" t="s">
        <v>11</v>
      </c>
      <c r="H1870" s="25">
        <v>82974</v>
      </c>
      <c r="I1870" s="25">
        <v>1259</v>
      </c>
      <c r="J1870" s="26">
        <v>1074.47</v>
      </c>
      <c r="K1870" s="25">
        <v>111</v>
      </c>
      <c r="L1870" s="21" t="s">
        <v>17</v>
      </c>
      <c r="M1870" s="22" t="s">
        <v>11</v>
      </c>
      <c r="N1870" s="27">
        <f t="shared" si="232"/>
        <v>13</v>
      </c>
      <c r="O1870" s="28">
        <f t="shared" si="233"/>
        <v>1.5173427820763131E-2</v>
      </c>
      <c r="P1870" s="28">
        <f t="shared" si="234"/>
        <v>8.8165210484511522E-2</v>
      </c>
      <c r="Q1870" s="26">
        <f t="shared" si="235"/>
        <v>0.85343129467831613</v>
      </c>
      <c r="R1870" s="29">
        <f t="shared" si="236"/>
        <v>9.6799099099099095</v>
      </c>
      <c r="S1870" s="30">
        <f t="shared" si="237"/>
        <v>12</v>
      </c>
      <c r="T1870" s="30">
        <f t="shared" si="238"/>
        <v>2023</v>
      </c>
      <c r="U1870" s="29" t="str">
        <f t="shared" si="239"/>
        <v>December</v>
      </c>
    </row>
    <row r="1871" spans="1:21" ht="17.399999999999999" x14ac:dyDescent="0.3">
      <c r="A1871" s="21" t="s">
        <v>114</v>
      </c>
      <c r="B1871" s="21" t="s">
        <v>115</v>
      </c>
      <c r="C1871" s="23" t="s">
        <v>3516</v>
      </c>
      <c r="D1871" s="21" t="s">
        <v>3520</v>
      </c>
      <c r="E1871" s="24">
        <v>45270</v>
      </c>
      <c r="F1871" s="24">
        <v>45284</v>
      </c>
      <c r="G1871" s="22" t="s">
        <v>14</v>
      </c>
      <c r="H1871" s="25">
        <v>68121</v>
      </c>
      <c r="I1871" s="25">
        <v>2312</v>
      </c>
      <c r="J1871" s="26">
        <v>4014.77</v>
      </c>
      <c r="K1871" s="25">
        <v>408</v>
      </c>
      <c r="L1871" s="21" t="s">
        <v>21</v>
      </c>
      <c r="M1871" s="22" t="s">
        <v>3537</v>
      </c>
      <c r="N1871" s="27">
        <f t="shared" si="232"/>
        <v>14</v>
      </c>
      <c r="O1871" s="28">
        <f t="shared" si="233"/>
        <v>3.3939607463190496E-2</v>
      </c>
      <c r="P1871" s="28">
        <f t="shared" si="234"/>
        <v>0.17647058823529413</v>
      </c>
      <c r="Q1871" s="26">
        <f t="shared" si="235"/>
        <v>1.7364922145328721</v>
      </c>
      <c r="R1871" s="29">
        <f t="shared" si="236"/>
        <v>9.8401225490196076</v>
      </c>
      <c r="S1871" s="30">
        <f t="shared" si="237"/>
        <v>12</v>
      </c>
      <c r="T1871" s="30">
        <f t="shared" si="238"/>
        <v>2023</v>
      </c>
      <c r="U1871" s="29" t="str">
        <f t="shared" si="239"/>
        <v>December</v>
      </c>
    </row>
    <row r="1872" spans="1:21" ht="17.399999999999999" x14ac:dyDescent="0.3">
      <c r="A1872" s="21" t="s">
        <v>178</v>
      </c>
      <c r="B1872" s="21" t="s">
        <v>179</v>
      </c>
      <c r="C1872" s="23" t="s">
        <v>3516</v>
      </c>
      <c r="D1872" s="21" t="s">
        <v>3521</v>
      </c>
      <c r="E1872" s="24">
        <v>45270</v>
      </c>
      <c r="F1872" s="24">
        <v>45281</v>
      </c>
      <c r="G1872" s="22" t="s">
        <v>16</v>
      </c>
      <c r="H1872" s="25">
        <v>62228</v>
      </c>
      <c r="I1872" s="25">
        <v>1816</v>
      </c>
      <c r="J1872" s="26">
        <v>2301.6999999999998</v>
      </c>
      <c r="K1872" s="25">
        <v>233</v>
      </c>
      <c r="L1872" s="21" t="s">
        <v>17</v>
      </c>
      <c r="M1872" s="22" t="s">
        <v>16</v>
      </c>
      <c r="N1872" s="27">
        <f t="shared" si="232"/>
        <v>11</v>
      </c>
      <c r="O1872" s="28">
        <f t="shared" si="233"/>
        <v>2.9183004435302435E-2</v>
      </c>
      <c r="P1872" s="28">
        <f t="shared" si="234"/>
        <v>0.12830396475770925</v>
      </c>
      <c r="Q1872" s="26">
        <f t="shared" si="235"/>
        <v>1.2674559471365638</v>
      </c>
      <c r="R1872" s="29">
        <f t="shared" si="236"/>
        <v>9.8785407725321885</v>
      </c>
      <c r="S1872" s="30">
        <f t="shared" si="237"/>
        <v>12</v>
      </c>
      <c r="T1872" s="30">
        <f t="shared" si="238"/>
        <v>2023</v>
      </c>
      <c r="U1872" s="29" t="str">
        <f t="shared" si="239"/>
        <v>December</v>
      </c>
    </row>
    <row r="1873" spans="1:21" ht="17.399999999999999" x14ac:dyDescent="0.3">
      <c r="A1873" s="21" t="s">
        <v>1393</v>
      </c>
      <c r="B1873" s="21" t="s">
        <v>1394</v>
      </c>
      <c r="C1873" s="23" t="s">
        <v>3516</v>
      </c>
      <c r="D1873" s="21" t="s">
        <v>3517</v>
      </c>
      <c r="E1873" s="24">
        <v>45270</v>
      </c>
      <c r="F1873" s="24">
        <v>45273</v>
      </c>
      <c r="G1873" s="22" t="s">
        <v>16</v>
      </c>
      <c r="H1873" s="25">
        <v>38892</v>
      </c>
      <c r="I1873" s="25">
        <v>1343</v>
      </c>
      <c r="J1873" s="26">
        <v>2294.23</v>
      </c>
      <c r="K1873" s="25">
        <v>0</v>
      </c>
      <c r="L1873" s="21" t="s">
        <v>17</v>
      </c>
      <c r="M1873" s="22" t="s">
        <v>16</v>
      </c>
      <c r="N1873" s="27">
        <f t="shared" si="232"/>
        <v>3</v>
      </c>
      <c r="O1873" s="28">
        <f t="shared" si="233"/>
        <v>3.4531523192430323E-2</v>
      </c>
      <c r="P1873" s="28">
        <f t="shared" si="234"/>
        <v>0</v>
      </c>
      <c r="Q1873" s="26">
        <f t="shared" si="235"/>
        <v>1.7082874162323156</v>
      </c>
      <c r="R1873" s="29" t="str">
        <f t="shared" si="236"/>
        <v>0</v>
      </c>
      <c r="S1873" s="30">
        <f t="shared" si="237"/>
        <v>12</v>
      </c>
      <c r="T1873" s="30">
        <f t="shared" si="238"/>
        <v>2023</v>
      </c>
      <c r="U1873" s="29" t="str">
        <f t="shared" si="239"/>
        <v>December</v>
      </c>
    </row>
    <row r="1874" spans="1:21" ht="17.399999999999999" x14ac:dyDescent="0.3">
      <c r="A1874" s="21" t="s">
        <v>135</v>
      </c>
      <c r="B1874" s="21" t="s">
        <v>136</v>
      </c>
      <c r="C1874" s="23" t="s">
        <v>3519</v>
      </c>
      <c r="D1874" s="21" t="s">
        <v>3520</v>
      </c>
      <c r="E1874" s="24">
        <v>45271</v>
      </c>
      <c r="F1874" s="24">
        <v>45299</v>
      </c>
      <c r="G1874" s="22" t="s">
        <v>11</v>
      </c>
      <c r="H1874" s="25">
        <v>72211</v>
      </c>
      <c r="I1874" s="25">
        <v>3462</v>
      </c>
      <c r="J1874" s="26">
        <v>5951.42</v>
      </c>
      <c r="K1874" s="25">
        <v>474</v>
      </c>
      <c r="L1874" s="21" t="s">
        <v>21</v>
      </c>
      <c r="M1874" s="22" t="s">
        <v>11</v>
      </c>
      <c r="N1874" s="27">
        <f t="shared" si="232"/>
        <v>28</v>
      </c>
      <c r="O1874" s="28">
        <f t="shared" si="233"/>
        <v>4.7942834194236332E-2</v>
      </c>
      <c r="P1874" s="28">
        <f t="shared" si="234"/>
        <v>0.1369150779896014</v>
      </c>
      <c r="Q1874" s="26">
        <f t="shared" si="235"/>
        <v>1.7190699017908724</v>
      </c>
      <c r="R1874" s="29">
        <f t="shared" si="236"/>
        <v>12.555738396624474</v>
      </c>
      <c r="S1874" s="30">
        <f t="shared" si="237"/>
        <v>12</v>
      </c>
      <c r="T1874" s="30">
        <f t="shared" si="238"/>
        <v>2023</v>
      </c>
      <c r="U1874" s="29" t="str">
        <f t="shared" si="239"/>
        <v>December</v>
      </c>
    </row>
    <row r="1875" spans="1:21" ht="17.399999999999999" x14ac:dyDescent="0.3">
      <c r="A1875" s="21" t="s">
        <v>2443</v>
      </c>
      <c r="B1875" s="21" t="s">
        <v>2444</v>
      </c>
      <c r="C1875" s="23" t="s">
        <v>3519</v>
      </c>
      <c r="D1875" s="21" t="s">
        <v>3517</v>
      </c>
      <c r="E1875" s="24">
        <v>45271</v>
      </c>
      <c r="F1875" s="24">
        <v>45280</v>
      </c>
      <c r="G1875" s="22" t="s">
        <v>11</v>
      </c>
      <c r="H1875" s="25">
        <v>79344</v>
      </c>
      <c r="I1875" s="25">
        <v>1502</v>
      </c>
      <c r="J1875" s="26">
        <v>1374.79</v>
      </c>
      <c r="K1875" s="25">
        <v>173</v>
      </c>
      <c r="L1875" s="21" t="s">
        <v>17</v>
      </c>
      <c r="M1875" s="22" t="s">
        <v>11</v>
      </c>
      <c r="N1875" s="27">
        <f t="shared" si="232"/>
        <v>9</v>
      </c>
      <c r="O1875" s="28">
        <f t="shared" si="233"/>
        <v>1.893022786852188E-2</v>
      </c>
      <c r="P1875" s="28">
        <f t="shared" si="234"/>
        <v>0.1151797603195739</v>
      </c>
      <c r="Q1875" s="26">
        <f t="shared" si="235"/>
        <v>0.915306258322237</v>
      </c>
      <c r="R1875" s="29">
        <f t="shared" si="236"/>
        <v>7.9467630057803467</v>
      </c>
      <c r="S1875" s="30">
        <f t="shared" si="237"/>
        <v>12</v>
      </c>
      <c r="T1875" s="30">
        <f t="shared" si="238"/>
        <v>2023</v>
      </c>
      <c r="U1875" s="29" t="str">
        <f t="shared" si="239"/>
        <v>December</v>
      </c>
    </row>
    <row r="1876" spans="1:21" ht="17.399999999999999" x14ac:dyDescent="0.3">
      <c r="A1876" s="21" t="s">
        <v>497</v>
      </c>
      <c r="B1876" s="21" t="s">
        <v>498</v>
      </c>
      <c r="C1876" s="23" t="s">
        <v>3516</v>
      </c>
      <c r="D1876" s="21" t="s">
        <v>3517</v>
      </c>
      <c r="E1876" s="24">
        <v>45271</v>
      </c>
      <c r="F1876" s="24">
        <v>45288</v>
      </c>
      <c r="G1876" s="22" t="s">
        <v>16</v>
      </c>
      <c r="H1876" s="25">
        <v>97601</v>
      </c>
      <c r="I1876" s="25">
        <v>3385</v>
      </c>
      <c r="J1876" s="26">
        <v>6030.01</v>
      </c>
      <c r="K1876" s="25">
        <v>221</v>
      </c>
      <c r="L1876" s="21" t="s">
        <v>21</v>
      </c>
      <c r="M1876" s="22" t="s">
        <v>16</v>
      </c>
      <c r="N1876" s="27">
        <f t="shared" si="232"/>
        <v>17</v>
      </c>
      <c r="O1876" s="28">
        <f t="shared" si="233"/>
        <v>3.4682021700597331E-2</v>
      </c>
      <c r="P1876" s="28">
        <f t="shared" si="234"/>
        <v>6.5288035450516993E-2</v>
      </c>
      <c r="Q1876" s="26">
        <f t="shared" si="235"/>
        <v>1.7813914327917282</v>
      </c>
      <c r="R1876" s="29">
        <f t="shared" si="236"/>
        <v>27.285113122171946</v>
      </c>
      <c r="S1876" s="30">
        <f t="shared" si="237"/>
        <v>12</v>
      </c>
      <c r="T1876" s="30">
        <f t="shared" si="238"/>
        <v>2023</v>
      </c>
      <c r="U1876" s="29" t="str">
        <f t="shared" si="239"/>
        <v>December</v>
      </c>
    </row>
    <row r="1877" spans="1:21" ht="17.399999999999999" x14ac:dyDescent="0.3">
      <c r="A1877" s="21" t="s">
        <v>1651</v>
      </c>
      <c r="B1877" s="21" t="s">
        <v>1652</v>
      </c>
      <c r="C1877" s="23" t="s">
        <v>3516</v>
      </c>
      <c r="D1877" s="21" t="s">
        <v>3517</v>
      </c>
      <c r="E1877" s="24">
        <v>45271</v>
      </c>
      <c r="F1877" s="24">
        <v>45277</v>
      </c>
      <c r="G1877" s="22" t="s">
        <v>31</v>
      </c>
      <c r="H1877" s="25">
        <v>11478</v>
      </c>
      <c r="I1877" s="25">
        <v>126</v>
      </c>
      <c r="J1877" s="26">
        <v>157.37</v>
      </c>
      <c r="K1877" s="25">
        <v>7</v>
      </c>
      <c r="L1877" s="21" t="s">
        <v>17</v>
      </c>
      <c r="M1877" s="22" t="s">
        <v>31</v>
      </c>
      <c r="N1877" s="27">
        <f t="shared" si="232"/>
        <v>6</v>
      </c>
      <c r="O1877" s="28">
        <f t="shared" si="233"/>
        <v>1.097752221641401E-2</v>
      </c>
      <c r="P1877" s="28">
        <f t="shared" si="234"/>
        <v>5.5555555555555552E-2</v>
      </c>
      <c r="Q1877" s="26">
        <f t="shared" si="235"/>
        <v>1.2489682539682541</v>
      </c>
      <c r="R1877" s="29">
        <f t="shared" si="236"/>
        <v>22.481428571428573</v>
      </c>
      <c r="S1877" s="30">
        <f t="shared" si="237"/>
        <v>12</v>
      </c>
      <c r="T1877" s="30">
        <f t="shared" si="238"/>
        <v>2023</v>
      </c>
      <c r="U1877" s="29" t="str">
        <f t="shared" si="239"/>
        <v>December</v>
      </c>
    </row>
    <row r="1878" spans="1:21" ht="17.399999999999999" x14ac:dyDescent="0.3">
      <c r="A1878" s="21" t="s">
        <v>1868</v>
      </c>
      <c r="B1878" s="21" t="s">
        <v>1869</v>
      </c>
      <c r="C1878" s="23" t="s">
        <v>3516</v>
      </c>
      <c r="D1878" s="21" t="s">
        <v>3521</v>
      </c>
      <c r="E1878" s="24">
        <v>45271</v>
      </c>
      <c r="F1878" s="24">
        <v>45273</v>
      </c>
      <c r="G1878" s="22" t="s">
        <v>16</v>
      </c>
      <c r="H1878" s="25">
        <v>48362</v>
      </c>
      <c r="I1878" s="25">
        <v>921</v>
      </c>
      <c r="J1878" s="26">
        <v>1115.93</v>
      </c>
      <c r="K1878" s="25">
        <v>53</v>
      </c>
      <c r="L1878" s="21" t="s">
        <v>21</v>
      </c>
      <c r="M1878" s="22" t="s">
        <v>16</v>
      </c>
      <c r="N1878" s="27">
        <f t="shared" si="232"/>
        <v>2</v>
      </c>
      <c r="O1878" s="28">
        <f t="shared" si="233"/>
        <v>1.9043877424424135E-2</v>
      </c>
      <c r="P1878" s="28">
        <f t="shared" si="234"/>
        <v>5.7546145494028228E-2</v>
      </c>
      <c r="Q1878" s="26">
        <f t="shared" si="235"/>
        <v>1.2116503800217155</v>
      </c>
      <c r="R1878" s="29">
        <f t="shared" si="236"/>
        <v>21.055283018867925</v>
      </c>
      <c r="S1878" s="30">
        <f t="shared" si="237"/>
        <v>12</v>
      </c>
      <c r="T1878" s="30">
        <f t="shared" si="238"/>
        <v>2023</v>
      </c>
      <c r="U1878" s="29" t="str">
        <f t="shared" si="239"/>
        <v>December</v>
      </c>
    </row>
    <row r="1879" spans="1:21" ht="17.399999999999999" x14ac:dyDescent="0.3">
      <c r="A1879" s="21" t="s">
        <v>2805</v>
      </c>
      <c r="B1879" s="21" t="s">
        <v>2806</v>
      </c>
      <c r="C1879" s="23" t="s">
        <v>3516</v>
      </c>
      <c r="D1879" s="21" t="s">
        <v>3521</v>
      </c>
      <c r="E1879" s="24">
        <v>45271</v>
      </c>
      <c r="F1879" s="24">
        <v>45273</v>
      </c>
      <c r="G1879" s="22" t="s">
        <v>24</v>
      </c>
      <c r="H1879" s="25">
        <v>34039</v>
      </c>
      <c r="I1879" s="25">
        <v>1454</v>
      </c>
      <c r="J1879" s="26">
        <v>1821.88</v>
      </c>
      <c r="K1879" s="25">
        <v>261</v>
      </c>
      <c r="L1879" s="21" t="s">
        <v>21</v>
      </c>
      <c r="M1879" s="22" t="s">
        <v>3536</v>
      </c>
      <c r="N1879" s="27">
        <f t="shared" si="232"/>
        <v>2</v>
      </c>
      <c r="O1879" s="28">
        <f t="shared" si="233"/>
        <v>4.2715708452069685E-2</v>
      </c>
      <c r="P1879" s="28">
        <f t="shared" si="234"/>
        <v>0.17950481430536452</v>
      </c>
      <c r="Q1879" s="26">
        <f t="shared" si="235"/>
        <v>1.253012379642366</v>
      </c>
      <c r="R1879" s="29">
        <f t="shared" si="236"/>
        <v>6.9803831417624522</v>
      </c>
      <c r="S1879" s="30">
        <f t="shared" si="237"/>
        <v>12</v>
      </c>
      <c r="T1879" s="30">
        <f t="shared" si="238"/>
        <v>2023</v>
      </c>
      <c r="U1879" s="29" t="str">
        <f t="shared" si="239"/>
        <v>December</v>
      </c>
    </row>
    <row r="1880" spans="1:21" ht="17.399999999999999" x14ac:dyDescent="0.3">
      <c r="A1880" s="21" t="s">
        <v>3332</v>
      </c>
      <c r="B1880" s="21" t="s">
        <v>3333</v>
      </c>
      <c r="C1880" s="23" t="s">
        <v>3516</v>
      </c>
      <c r="D1880" s="21" t="s">
        <v>3521</v>
      </c>
      <c r="E1880" s="24">
        <v>45271</v>
      </c>
      <c r="F1880" s="24">
        <v>45278</v>
      </c>
      <c r="G1880" s="22" t="s">
        <v>24</v>
      </c>
      <c r="H1880" s="25">
        <v>84309</v>
      </c>
      <c r="I1880" s="25">
        <v>1891</v>
      </c>
      <c r="J1880" s="26">
        <v>1165.28</v>
      </c>
      <c r="K1880" s="25">
        <v>311</v>
      </c>
      <c r="L1880" s="21" t="s">
        <v>17</v>
      </c>
      <c r="M1880" s="22" t="s">
        <v>3536</v>
      </c>
      <c r="N1880" s="27">
        <f t="shared" si="232"/>
        <v>7</v>
      </c>
      <c r="O1880" s="28">
        <f t="shared" si="233"/>
        <v>2.2429396624322431E-2</v>
      </c>
      <c r="P1880" s="28">
        <f t="shared" si="234"/>
        <v>0.1644632469592808</v>
      </c>
      <c r="Q1880" s="26">
        <f t="shared" si="235"/>
        <v>0.61622421998942356</v>
      </c>
      <c r="R1880" s="29">
        <f t="shared" si="236"/>
        <v>3.7468810289389065</v>
      </c>
      <c r="S1880" s="30">
        <f t="shared" si="237"/>
        <v>12</v>
      </c>
      <c r="T1880" s="30">
        <f t="shared" si="238"/>
        <v>2023</v>
      </c>
      <c r="U1880" s="29" t="str">
        <f t="shared" si="239"/>
        <v>December</v>
      </c>
    </row>
    <row r="1881" spans="1:21" ht="17.399999999999999" x14ac:dyDescent="0.3">
      <c r="A1881" s="21" t="s">
        <v>3386</v>
      </c>
      <c r="B1881" s="21" t="s">
        <v>3387</v>
      </c>
      <c r="C1881" s="23" t="s">
        <v>3516</v>
      </c>
      <c r="D1881" s="21" t="s">
        <v>3517</v>
      </c>
      <c r="E1881" s="24">
        <v>45271</v>
      </c>
      <c r="F1881" s="24">
        <v>45287</v>
      </c>
      <c r="G1881" s="22" t="s">
        <v>14</v>
      </c>
      <c r="H1881" s="25">
        <v>64483</v>
      </c>
      <c r="I1881" s="25">
        <v>2638</v>
      </c>
      <c r="J1881" s="26">
        <v>2192.36</v>
      </c>
      <c r="K1881" s="25">
        <v>260</v>
      </c>
      <c r="L1881" s="21" t="s">
        <v>21</v>
      </c>
      <c r="M1881" s="22" t="s">
        <v>3537</v>
      </c>
      <c r="N1881" s="27">
        <f t="shared" si="232"/>
        <v>16</v>
      </c>
      <c r="O1881" s="28">
        <f t="shared" si="233"/>
        <v>4.0910007288742771E-2</v>
      </c>
      <c r="P1881" s="28">
        <f t="shared" si="234"/>
        <v>9.8559514783927216E-2</v>
      </c>
      <c r="Q1881" s="26">
        <f t="shared" si="235"/>
        <v>0.83106899166034875</v>
      </c>
      <c r="R1881" s="29">
        <f t="shared" si="236"/>
        <v>8.432153846153847</v>
      </c>
      <c r="S1881" s="30">
        <f t="shared" si="237"/>
        <v>12</v>
      </c>
      <c r="T1881" s="30">
        <f t="shared" si="238"/>
        <v>2023</v>
      </c>
      <c r="U1881" s="29" t="str">
        <f t="shared" si="239"/>
        <v>December</v>
      </c>
    </row>
    <row r="1882" spans="1:21" ht="17.399999999999999" x14ac:dyDescent="0.3">
      <c r="A1882" s="21" t="s">
        <v>798</v>
      </c>
      <c r="B1882" s="21" t="s">
        <v>799</v>
      </c>
      <c r="C1882" s="23" t="s">
        <v>3518</v>
      </c>
      <c r="D1882" s="21" t="s">
        <v>3520</v>
      </c>
      <c r="E1882" s="24">
        <v>45272</v>
      </c>
      <c r="F1882" s="24">
        <v>45295</v>
      </c>
      <c r="G1882" s="22" t="s">
        <v>16</v>
      </c>
      <c r="H1882" s="25">
        <v>57179</v>
      </c>
      <c r="I1882" s="25">
        <v>1469</v>
      </c>
      <c r="J1882" s="26">
        <v>1517.03</v>
      </c>
      <c r="K1882" s="25">
        <v>109</v>
      </c>
      <c r="L1882" s="21" t="s">
        <v>21</v>
      </c>
      <c r="M1882" s="22" t="s">
        <v>16</v>
      </c>
      <c r="N1882" s="27">
        <f t="shared" si="232"/>
        <v>23</v>
      </c>
      <c r="O1882" s="28">
        <f t="shared" si="233"/>
        <v>2.5691250284195246E-2</v>
      </c>
      <c r="P1882" s="28">
        <f t="shared" si="234"/>
        <v>7.4200136147038798E-2</v>
      </c>
      <c r="Q1882" s="26">
        <f t="shared" si="235"/>
        <v>1.0326957113682778</v>
      </c>
      <c r="R1882" s="29">
        <f t="shared" si="236"/>
        <v>13.917706422018348</v>
      </c>
      <c r="S1882" s="30">
        <f t="shared" si="237"/>
        <v>12</v>
      </c>
      <c r="T1882" s="30">
        <f t="shared" si="238"/>
        <v>2023</v>
      </c>
      <c r="U1882" s="29" t="str">
        <f t="shared" si="239"/>
        <v>December</v>
      </c>
    </row>
    <row r="1883" spans="1:21" ht="17.399999999999999" x14ac:dyDescent="0.3">
      <c r="A1883" s="21" t="s">
        <v>2466</v>
      </c>
      <c r="B1883" s="21" t="s">
        <v>2467</v>
      </c>
      <c r="C1883" s="23" t="s">
        <v>3516</v>
      </c>
      <c r="D1883" s="21" t="s">
        <v>3520</v>
      </c>
      <c r="E1883" s="24">
        <v>45272</v>
      </c>
      <c r="F1883" s="24">
        <v>45278</v>
      </c>
      <c r="G1883" s="22" t="s">
        <v>16</v>
      </c>
      <c r="H1883" s="25">
        <v>62268</v>
      </c>
      <c r="I1883" s="25">
        <v>1002</v>
      </c>
      <c r="J1883" s="26">
        <v>659.42</v>
      </c>
      <c r="K1883" s="25">
        <v>136</v>
      </c>
      <c r="L1883" s="21" t="s">
        <v>21</v>
      </c>
      <c r="M1883" s="22" t="s">
        <v>16</v>
      </c>
      <c r="N1883" s="27">
        <f t="shared" si="232"/>
        <v>6</v>
      </c>
      <c r="O1883" s="28">
        <f t="shared" si="233"/>
        <v>1.6091732511081133E-2</v>
      </c>
      <c r="P1883" s="28">
        <f t="shared" si="234"/>
        <v>0.13572854291417166</v>
      </c>
      <c r="Q1883" s="26">
        <f t="shared" si="235"/>
        <v>0.65810379241516959</v>
      </c>
      <c r="R1883" s="29">
        <f t="shared" si="236"/>
        <v>4.8486764705882353</v>
      </c>
      <c r="S1883" s="30">
        <f t="shared" si="237"/>
        <v>12</v>
      </c>
      <c r="T1883" s="30">
        <f t="shared" si="238"/>
        <v>2023</v>
      </c>
      <c r="U1883" s="29" t="str">
        <f t="shared" si="239"/>
        <v>December</v>
      </c>
    </row>
    <row r="1884" spans="1:21" ht="17.399999999999999" x14ac:dyDescent="0.3">
      <c r="A1884" s="21" t="s">
        <v>3081</v>
      </c>
      <c r="B1884" s="21" t="s">
        <v>3082</v>
      </c>
      <c r="C1884" s="23" t="s">
        <v>3516</v>
      </c>
      <c r="D1884" s="21" t="s">
        <v>3521</v>
      </c>
      <c r="E1884" s="24">
        <v>45272</v>
      </c>
      <c r="F1884" s="24">
        <v>45296</v>
      </c>
      <c r="G1884" s="22" t="s">
        <v>31</v>
      </c>
      <c r="H1884" s="25">
        <v>49845</v>
      </c>
      <c r="I1884" s="25">
        <v>1719</v>
      </c>
      <c r="J1884" s="26">
        <v>2085.2800000000002</v>
      </c>
      <c r="K1884" s="25">
        <v>0</v>
      </c>
      <c r="L1884" s="21" t="s">
        <v>21</v>
      </c>
      <c r="M1884" s="22" t="s">
        <v>31</v>
      </c>
      <c r="N1884" s="27">
        <f t="shared" si="232"/>
        <v>24</v>
      </c>
      <c r="O1884" s="28">
        <f t="shared" si="233"/>
        <v>3.4486909419199518E-2</v>
      </c>
      <c r="P1884" s="28">
        <f t="shared" si="234"/>
        <v>0</v>
      </c>
      <c r="Q1884" s="26">
        <f t="shared" si="235"/>
        <v>1.2130773705642817</v>
      </c>
      <c r="R1884" s="29" t="str">
        <f t="shared" si="236"/>
        <v>0</v>
      </c>
      <c r="S1884" s="30">
        <f t="shared" si="237"/>
        <v>12</v>
      </c>
      <c r="T1884" s="30">
        <f t="shared" si="238"/>
        <v>2023</v>
      </c>
      <c r="U1884" s="29" t="str">
        <f t="shared" si="239"/>
        <v>December</v>
      </c>
    </row>
    <row r="1885" spans="1:21" ht="17.399999999999999" x14ac:dyDescent="0.3">
      <c r="A1885" s="21" t="s">
        <v>3426</v>
      </c>
      <c r="B1885" s="21" t="s">
        <v>3427</v>
      </c>
      <c r="C1885" s="23" t="s">
        <v>3519</v>
      </c>
      <c r="D1885" s="21" t="s">
        <v>3520</v>
      </c>
      <c r="E1885" s="24">
        <v>45273</v>
      </c>
      <c r="F1885" s="24">
        <v>45282</v>
      </c>
      <c r="G1885" s="22" t="s">
        <v>24</v>
      </c>
      <c r="H1885" s="25">
        <v>72626</v>
      </c>
      <c r="I1885" s="25">
        <v>1901</v>
      </c>
      <c r="J1885" s="26">
        <v>1100.1500000000001</v>
      </c>
      <c r="K1885" s="25">
        <v>346</v>
      </c>
      <c r="L1885" s="21" t="s">
        <v>21</v>
      </c>
      <c r="M1885" s="22" t="s">
        <v>3536</v>
      </c>
      <c r="N1885" s="27">
        <f t="shared" si="232"/>
        <v>9</v>
      </c>
      <c r="O1885" s="28">
        <f t="shared" si="233"/>
        <v>2.6175198964558149E-2</v>
      </c>
      <c r="P1885" s="28">
        <f t="shared" si="234"/>
        <v>0.18200946870068385</v>
      </c>
      <c r="Q1885" s="26">
        <f t="shared" si="235"/>
        <v>0.57872172540768019</v>
      </c>
      <c r="R1885" s="29">
        <f t="shared" si="236"/>
        <v>3.1796242774566474</v>
      </c>
      <c r="S1885" s="30">
        <f t="shared" si="237"/>
        <v>12</v>
      </c>
      <c r="T1885" s="30">
        <f t="shared" si="238"/>
        <v>2023</v>
      </c>
      <c r="U1885" s="29" t="str">
        <f t="shared" si="239"/>
        <v>December</v>
      </c>
    </row>
    <row r="1886" spans="1:21" ht="17.399999999999999" x14ac:dyDescent="0.3">
      <c r="A1886" s="21" t="s">
        <v>654</v>
      </c>
      <c r="B1886" s="21" t="s">
        <v>655</v>
      </c>
      <c r="C1886" s="23" t="s">
        <v>3518</v>
      </c>
      <c r="D1886" s="21" t="s">
        <v>3517</v>
      </c>
      <c r="E1886" s="24">
        <v>45273</v>
      </c>
      <c r="F1886" s="24">
        <v>45296</v>
      </c>
      <c r="G1886" s="22" t="s">
        <v>31</v>
      </c>
      <c r="H1886" s="25">
        <v>64208</v>
      </c>
      <c r="I1886" s="25">
        <v>2772</v>
      </c>
      <c r="J1886" s="26">
        <v>4502.1099999999997</v>
      </c>
      <c r="K1886" s="25">
        <v>0</v>
      </c>
      <c r="L1886" s="21" t="s">
        <v>17</v>
      </c>
      <c r="M1886" s="22" t="s">
        <v>31</v>
      </c>
      <c r="N1886" s="27">
        <f t="shared" si="232"/>
        <v>23</v>
      </c>
      <c r="O1886" s="28">
        <f t="shared" si="233"/>
        <v>4.3172190381260904E-2</v>
      </c>
      <c r="P1886" s="28">
        <f t="shared" si="234"/>
        <v>0</v>
      </c>
      <c r="Q1886" s="26">
        <f t="shared" si="235"/>
        <v>1.6241378066378065</v>
      </c>
      <c r="R1886" s="29" t="str">
        <f t="shared" si="236"/>
        <v>0</v>
      </c>
      <c r="S1886" s="30">
        <f t="shared" si="237"/>
        <v>12</v>
      </c>
      <c r="T1886" s="30">
        <f t="shared" si="238"/>
        <v>2023</v>
      </c>
      <c r="U1886" s="29" t="str">
        <f t="shared" si="239"/>
        <v>December</v>
      </c>
    </row>
    <row r="1887" spans="1:21" ht="17.399999999999999" x14ac:dyDescent="0.3">
      <c r="A1887" s="21" t="s">
        <v>15</v>
      </c>
      <c r="B1887" s="22" t="s">
        <v>4034</v>
      </c>
      <c r="C1887" s="23" t="s">
        <v>3516</v>
      </c>
      <c r="D1887" s="22" t="s">
        <v>3545</v>
      </c>
      <c r="E1887" s="24">
        <v>45273</v>
      </c>
      <c r="F1887" s="24">
        <v>45280</v>
      </c>
      <c r="G1887" s="22" t="s">
        <v>16</v>
      </c>
      <c r="H1887" s="25">
        <v>77820</v>
      </c>
      <c r="I1887" s="25">
        <v>843</v>
      </c>
      <c r="J1887" s="26">
        <v>1323.39</v>
      </c>
      <c r="K1887" s="25">
        <v>51</v>
      </c>
      <c r="L1887" s="21" t="s">
        <v>17</v>
      </c>
      <c r="M1887" s="22" t="s">
        <v>16</v>
      </c>
      <c r="N1887" s="27">
        <f t="shared" si="232"/>
        <v>7</v>
      </c>
      <c r="O1887" s="28">
        <f t="shared" si="233"/>
        <v>1.0832690824980725E-2</v>
      </c>
      <c r="P1887" s="28">
        <f t="shared" si="234"/>
        <v>6.0498220640569395E-2</v>
      </c>
      <c r="Q1887" s="26">
        <f t="shared" si="235"/>
        <v>1.5698576512455518</v>
      </c>
      <c r="R1887" s="29">
        <f t="shared" si="236"/>
        <v>25.948823529411765</v>
      </c>
      <c r="S1887" s="30">
        <f t="shared" si="237"/>
        <v>12</v>
      </c>
      <c r="T1887" s="30">
        <f t="shared" si="238"/>
        <v>2023</v>
      </c>
      <c r="U1887" s="29" t="str">
        <f t="shared" si="239"/>
        <v>December</v>
      </c>
    </row>
    <row r="1888" spans="1:21" ht="17.399999999999999" x14ac:dyDescent="0.3">
      <c r="A1888" s="21" t="s">
        <v>2566</v>
      </c>
      <c r="B1888" s="21" t="s">
        <v>2567</v>
      </c>
      <c r="C1888" s="23" t="s">
        <v>3515</v>
      </c>
      <c r="D1888" s="21" t="s">
        <v>3517</v>
      </c>
      <c r="E1888" s="24">
        <v>45273</v>
      </c>
      <c r="F1888" s="24">
        <v>45293</v>
      </c>
      <c r="G1888" s="22" t="s">
        <v>24</v>
      </c>
      <c r="H1888" s="25">
        <v>75478</v>
      </c>
      <c r="I1888" s="25">
        <v>1168</v>
      </c>
      <c r="J1888" s="26">
        <v>1334.13</v>
      </c>
      <c r="K1888" s="25">
        <v>155</v>
      </c>
      <c r="L1888" s="21" t="s">
        <v>21</v>
      </c>
      <c r="M1888" s="22" t="s">
        <v>3536</v>
      </c>
      <c r="N1888" s="27">
        <f t="shared" si="232"/>
        <v>20</v>
      </c>
      <c r="O1888" s="28">
        <f t="shared" si="233"/>
        <v>1.5474707861893531E-2</v>
      </c>
      <c r="P1888" s="28">
        <f t="shared" si="234"/>
        <v>0.1327054794520548</v>
      </c>
      <c r="Q1888" s="26">
        <f t="shared" si="235"/>
        <v>1.1422345890410961</v>
      </c>
      <c r="R1888" s="29">
        <f t="shared" si="236"/>
        <v>8.6072903225806456</v>
      </c>
      <c r="S1888" s="30">
        <f t="shared" si="237"/>
        <v>12</v>
      </c>
      <c r="T1888" s="30">
        <f t="shared" si="238"/>
        <v>2023</v>
      </c>
      <c r="U1888" s="29" t="str">
        <f t="shared" si="239"/>
        <v>December</v>
      </c>
    </row>
    <row r="1889" spans="1:21" ht="17.399999999999999" x14ac:dyDescent="0.3">
      <c r="A1889" s="21" t="s">
        <v>888</v>
      </c>
      <c r="B1889" s="21" t="s">
        <v>889</v>
      </c>
      <c r="C1889" s="23" t="s">
        <v>3519</v>
      </c>
      <c r="D1889" s="21" t="s">
        <v>3517</v>
      </c>
      <c r="E1889" s="24">
        <v>45274</v>
      </c>
      <c r="F1889" s="24">
        <v>45277</v>
      </c>
      <c r="G1889" s="22" t="s">
        <v>24</v>
      </c>
      <c r="H1889" s="25">
        <v>62389</v>
      </c>
      <c r="I1889" s="25">
        <v>2289</v>
      </c>
      <c r="J1889" s="26">
        <v>4220.5200000000004</v>
      </c>
      <c r="K1889" s="25">
        <v>219</v>
      </c>
      <c r="L1889" s="21" t="s">
        <v>17</v>
      </c>
      <c r="M1889" s="22" t="s">
        <v>3536</v>
      </c>
      <c r="N1889" s="27">
        <f t="shared" si="232"/>
        <v>3</v>
      </c>
      <c r="O1889" s="28">
        <f t="shared" si="233"/>
        <v>3.6689159948067769E-2</v>
      </c>
      <c r="P1889" s="28">
        <f t="shared" si="234"/>
        <v>9.5674967234600256E-2</v>
      </c>
      <c r="Q1889" s="26">
        <f t="shared" si="235"/>
        <v>1.8438269986893843</v>
      </c>
      <c r="R1889" s="29">
        <f t="shared" si="236"/>
        <v>19.271780821917812</v>
      </c>
      <c r="S1889" s="30">
        <f t="shared" si="237"/>
        <v>12</v>
      </c>
      <c r="T1889" s="30">
        <f t="shared" si="238"/>
        <v>2023</v>
      </c>
      <c r="U1889" s="29" t="str">
        <f t="shared" si="239"/>
        <v>December</v>
      </c>
    </row>
    <row r="1890" spans="1:21" ht="17.399999999999999" x14ac:dyDescent="0.3">
      <c r="A1890" s="21" t="s">
        <v>2713</v>
      </c>
      <c r="B1890" s="21" t="s">
        <v>2714</v>
      </c>
      <c r="C1890" s="23" t="s">
        <v>3519</v>
      </c>
      <c r="D1890" s="21" t="s">
        <v>3521</v>
      </c>
      <c r="E1890" s="24">
        <v>45274</v>
      </c>
      <c r="F1890" s="24">
        <v>45286</v>
      </c>
      <c r="G1890" s="22" t="s">
        <v>24</v>
      </c>
      <c r="H1890" s="25">
        <v>37062</v>
      </c>
      <c r="I1890" s="25">
        <v>1205</v>
      </c>
      <c r="J1890" s="26">
        <v>1816.07</v>
      </c>
      <c r="K1890" s="25">
        <v>96</v>
      </c>
      <c r="L1890" s="21" t="s">
        <v>21</v>
      </c>
      <c r="M1890" s="22" t="s">
        <v>3536</v>
      </c>
      <c r="N1890" s="27">
        <f t="shared" si="232"/>
        <v>12</v>
      </c>
      <c r="O1890" s="28">
        <f t="shared" si="233"/>
        <v>3.2513086179914739E-2</v>
      </c>
      <c r="P1890" s="28">
        <f t="shared" si="234"/>
        <v>7.9668049792531115E-2</v>
      </c>
      <c r="Q1890" s="26">
        <f t="shared" si="235"/>
        <v>1.5071120331950207</v>
      </c>
      <c r="R1890" s="29">
        <f t="shared" si="236"/>
        <v>18.917395833333334</v>
      </c>
      <c r="S1890" s="30">
        <f t="shared" si="237"/>
        <v>12</v>
      </c>
      <c r="T1890" s="30">
        <f t="shared" si="238"/>
        <v>2023</v>
      </c>
      <c r="U1890" s="29" t="str">
        <f t="shared" si="239"/>
        <v>December</v>
      </c>
    </row>
    <row r="1891" spans="1:21" ht="17.399999999999999" x14ac:dyDescent="0.3">
      <c r="A1891" s="21" t="s">
        <v>3396</v>
      </c>
      <c r="B1891" s="21" t="s">
        <v>3397</v>
      </c>
      <c r="C1891" s="23" t="s">
        <v>3519</v>
      </c>
      <c r="D1891" s="21" t="s">
        <v>3521</v>
      </c>
      <c r="E1891" s="24">
        <v>45274</v>
      </c>
      <c r="F1891" s="24">
        <v>45303</v>
      </c>
      <c r="G1891" s="22" t="s">
        <v>11</v>
      </c>
      <c r="H1891" s="25">
        <v>84869</v>
      </c>
      <c r="I1891" s="25">
        <v>3134</v>
      </c>
      <c r="J1891" s="26">
        <v>3455.38</v>
      </c>
      <c r="K1891" s="25">
        <v>194</v>
      </c>
      <c r="L1891" s="21" t="s">
        <v>17</v>
      </c>
      <c r="M1891" s="22" t="s">
        <v>11</v>
      </c>
      <c r="N1891" s="27">
        <f t="shared" si="232"/>
        <v>29</v>
      </c>
      <c r="O1891" s="28">
        <f t="shared" si="233"/>
        <v>3.6927500029457161E-2</v>
      </c>
      <c r="P1891" s="28">
        <f t="shared" si="234"/>
        <v>6.1901723037651561E-2</v>
      </c>
      <c r="Q1891" s="26">
        <f t="shared" si="235"/>
        <v>1.1025462667517549</v>
      </c>
      <c r="R1891" s="29">
        <f t="shared" si="236"/>
        <v>17.811237113402061</v>
      </c>
      <c r="S1891" s="30">
        <f t="shared" si="237"/>
        <v>12</v>
      </c>
      <c r="T1891" s="30">
        <f t="shared" si="238"/>
        <v>2023</v>
      </c>
      <c r="U1891" s="29" t="str">
        <f t="shared" si="239"/>
        <v>December</v>
      </c>
    </row>
    <row r="1892" spans="1:21" ht="17.399999999999999" x14ac:dyDescent="0.3">
      <c r="A1892" s="21" t="s">
        <v>248</v>
      </c>
      <c r="B1892" s="21" t="s">
        <v>249</v>
      </c>
      <c r="C1892" s="23" t="s">
        <v>3518</v>
      </c>
      <c r="D1892" s="21" t="s">
        <v>3520</v>
      </c>
      <c r="E1892" s="24">
        <v>45274</v>
      </c>
      <c r="F1892" s="24">
        <v>45289</v>
      </c>
      <c r="G1892" s="22" t="s">
        <v>31</v>
      </c>
      <c r="H1892" s="25">
        <v>28266</v>
      </c>
      <c r="I1892" s="25">
        <v>676</v>
      </c>
      <c r="J1892" s="26">
        <v>1159.5999999999999</v>
      </c>
      <c r="K1892" s="25">
        <v>0</v>
      </c>
      <c r="L1892" s="21" t="s">
        <v>21</v>
      </c>
      <c r="M1892" s="22" t="s">
        <v>31</v>
      </c>
      <c r="N1892" s="27">
        <f t="shared" si="232"/>
        <v>15</v>
      </c>
      <c r="O1892" s="28">
        <f t="shared" si="233"/>
        <v>2.3915658388169531E-2</v>
      </c>
      <c r="P1892" s="28">
        <f t="shared" si="234"/>
        <v>0</v>
      </c>
      <c r="Q1892" s="26">
        <f t="shared" si="235"/>
        <v>1.7153846153846153</v>
      </c>
      <c r="R1892" s="29" t="str">
        <f t="shared" si="236"/>
        <v>0</v>
      </c>
      <c r="S1892" s="30">
        <f t="shared" si="237"/>
        <v>12</v>
      </c>
      <c r="T1892" s="30">
        <f t="shared" si="238"/>
        <v>2023</v>
      </c>
      <c r="U1892" s="29" t="str">
        <f t="shared" si="239"/>
        <v>December</v>
      </c>
    </row>
    <row r="1893" spans="1:21" ht="17.399999999999999" x14ac:dyDescent="0.3">
      <c r="A1893" s="21" t="s">
        <v>2359</v>
      </c>
      <c r="B1893" s="22" t="s">
        <v>4035</v>
      </c>
      <c r="C1893" s="23" t="s">
        <v>3516</v>
      </c>
      <c r="D1893" s="22" t="s">
        <v>3545</v>
      </c>
      <c r="E1893" s="24">
        <v>45274</v>
      </c>
      <c r="F1893" s="24">
        <v>45278</v>
      </c>
      <c r="G1893" s="22" t="s">
        <v>24</v>
      </c>
      <c r="H1893" s="25">
        <v>61535</v>
      </c>
      <c r="I1893" s="25">
        <v>2575</v>
      </c>
      <c r="J1893" s="26">
        <v>4350.71</v>
      </c>
      <c r="K1893" s="25">
        <v>278</v>
      </c>
      <c r="L1893" s="21" t="s">
        <v>21</v>
      </c>
      <c r="M1893" s="22" t="s">
        <v>3536</v>
      </c>
      <c r="N1893" s="27">
        <f t="shared" si="232"/>
        <v>4</v>
      </c>
      <c r="O1893" s="28">
        <f t="shared" si="233"/>
        <v>4.1846103843341191E-2</v>
      </c>
      <c r="P1893" s="28">
        <f t="shared" si="234"/>
        <v>0.10796116504854369</v>
      </c>
      <c r="Q1893" s="26">
        <f t="shared" si="235"/>
        <v>1.6895961165048543</v>
      </c>
      <c r="R1893" s="29">
        <f t="shared" si="236"/>
        <v>15.650035971223021</v>
      </c>
      <c r="S1893" s="30">
        <f t="shared" si="237"/>
        <v>12</v>
      </c>
      <c r="T1893" s="30">
        <f t="shared" si="238"/>
        <v>2023</v>
      </c>
      <c r="U1893" s="29" t="str">
        <f t="shared" si="239"/>
        <v>December</v>
      </c>
    </row>
    <row r="1894" spans="1:21" ht="17.399999999999999" x14ac:dyDescent="0.3">
      <c r="A1894" s="21" t="s">
        <v>932</v>
      </c>
      <c r="B1894" s="21" t="s">
        <v>933</v>
      </c>
      <c r="C1894" s="23" t="s">
        <v>3515</v>
      </c>
      <c r="D1894" s="21" t="s">
        <v>3517</v>
      </c>
      <c r="E1894" s="24">
        <v>45274</v>
      </c>
      <c r="F1894" s="24">
        <v>45288</v>
      </c>
      <c r="G1894" s="22" t="s">
        <v>14</v>
      </c>
      <c r="H1894" s="25">
        <v>24289</v>
      </c>
      <c r="I1894" s="25">
        <v>1144</v>
      </c>
      <c r="J1894" s="26">
        <v>1634.61</v>
      </c>
      <c r="K1894" s="25">
        <v>134</v>
      </c>
      <c r="L1894" s="21" t="s">
        <v>17</v>
      </c>
      <c r="M1894" s="22" t="s">
        <v>3537</v>
      </c>
      <c r="N1894" s="27">
        <f t="shared" si="232"/>
        <v>14</v>
      </c>
      <c r="O1894" s="28">
        <f t="shared" si="233"/>
        <v>4.7099510066285148E-2</v>
      </c>
      <c r="P1894" s="28">
        <f t="shared" si="234"/>
        <v>0.11713286713286714</v>
      </c>
      <c r="Q1894" s="26">
        <f t="shared" si="235"/>
        <v>1.4288548951048949</v>
      </c>
      <c r="R1894" s="29">
        <f t="shared" si="236"/>
        <v>12.198582089552238</v>
      </c>
      <c r="S1894" s="30">
        <f t="shared" si="237"/>
        <v>12</v>
      </c>
      <c r="T1894" s="30">
        <f t="shared" si="238"/>
        <v>2023</v>
      </c>
      <c r="U1894" s="29" t="str">
        <f t="shared" si="239"/>
        <v>December</v>
      </c>
    </row>
    <row r="1895" spans="1:21" ht="17.399999999999999" x14ac:dyDescent="0.3">
      <c r="A1895" s="21" t="s">
        <v>1095</v>
      </c>
      <c r="B1895" s="22" t="s">
        <v>4036</v>
      </c>
      <c r="C1895" s="23" t="s">
        <v>3519</v>
      </c>
      <c r="D1895" s="22" t="s">
        <v>3545</v>
      </c>
      <c r="E1895" s="24">
        <v>45275</v>
      </c>
      <c r="F1895" s="24">
        <v>45283</v>
      </c>
      <c r="G1895" s="22" t="s">
        <v>16</v>
      </c>
      <c r="H1895" s="25">
        <v>67234</v>
      </c>
      <c r="I1895" s="25">
        <v>734</v>
      </c>
      <c r="J1895" s="26">
        <v>1221.7</v>
      </c>
      <c r="K1895" s="25">
        <v>124</v>
      </c>
      <c r="L1895" s="21" t="s">
        <v>21</v>
      </c>
      <c r="M1895" s="22" t="s">
        <v>16</v>
      </c>
      <c r="N1895" s="27">
        <f t="shared" si="232"/>
        <v>8</v>
      </c>
      <c r="O1895" s="28">
        <f t="shared" si="233"/>
        <v>1.0917095517149061E-2</v>
      </c>
      <c r="P1895" s="28">
        <f t="shared" si="234"/>
        <v>0.16893732970027248</v>
      </c>
      <c r="Q1895" s="26">
        <f t="shared" si="235"/>
        <v>1.6644414168937329</v>
      </c>
      <c r="R1895" s="29">
        <f t="shared" si="236"/>
        <v>9.8524193548387107</v>
      </c>
      <c r="S1895" s="30">
        <f t="shared" si="237"/>
        <v>12</v>
      </c>
      <c r="T1895" s="30">
        <f t="shared" si="238"/>
        <v>2023</v>
      </c>
      <c r="U1895" s="29" t="str">
        <f t="shared" si="239"/>
        <v>December</v>
      </c>
    </row>
    <row r="1896" spans="1:21" ht="17.399999999999999" x14ac:dyDescent="0.3">
      <c r="A1896" s="21" t="s">
        <v>2230</v>
      </c>
      <c r="B1896" s="22" t="s">
        <v>4037</v>
      </c>
      <c r="C1896" s="23" t="s">
        <v>3519</v>
      </c>
      <c r="D1896" s="22" t="s">
        <v>3545</v>
      </c>
      <c r="E1896" s="24">
        <v>45275</v>
      </c>
      <c r="F1896" s="24">
        <v>45297</v>
      </c>
      <c r="G1896" s="22" t="s">
        <v>16</v>
      </c>
      <c r="H1896" s="25">
        <v>47163</v>
      </c>
      <c r="I1896" s="25">
        <v>1464</v>
      </c>
      <c r="J1896" s="26">
        <v>1132.68</v>
      </c>
      <c r="K1896" s="25">
        <v>136</v>
      </c>
      <c r="L1896" s="21" t="s">
        <v>21</v>
      </c>
      <c r="M1896" s="22" t="s">
        <v>16</v>
      </c>
      <c r="N1896" s="27">
        <f t="shared" si="232"/>
        <v>22</v>
      </c>
      <c r="O1896" s="28">
        <f t="shared" si="233"/>
        <v>3.1041282361172953E-2</v>
      </c>
      <c r="P1896" s="28">
        <f t="shared" si="234"/>
        <v>9.2896174863387984E-2</v>
      </c>
      <c r="Q1896" s="26">
        <f t="shared" si="235"/>
        <v>0.77368852459016402</v>
      </c>
      <c r="R1896" s="29">
        <f t="shared" si="236"/>
        <v>8.3285294117647055</v>
      </c>
      <c r="S1896" s="30">
        <f t="shared" si="237"/>
        <v>12</v>
      </c>
      <c r="T1896" s="30">
        <f t="shared" si="238"/>
        <v>2023</v>
      </c>
      <c r="U1896" s="29" t="str">
        <f t="shared" si="239"/>
        <v>December</v>
      </c>
    </row>
    <row r="1897" spans="1:21" ht="17.399999999999999" x14ac:dyDescent="0.3">
      <c r="A1897" s="21" t="s">
        <v>78</v>
      </c>
      <c r="B1897" s="22" t="s">
        <v>4038</v>
      </c>
      <c r="C1897" s="23" t="s">
        <v>3518</v>
      </c>
      <c r="D1897" s="22" t="s">
        <v>3545</v>
      </c>
      <c r="E1897" s="24">
        <v>45275</v>
      </c>
      <c r="F1897" s="24">
        <v>45286</v>
      </c>
      <c r="G1897" s="22" t="s">
        <v>24</v>
      </c>
      <c r="H1897" s="25">
        <v>67803</v>
      </c>
      <c r="I1897" s="25">
        <v>1317</v>
      </c>
      <c r="J1897" s="26">
        <v>2136.63</v>
      </c>
      <c r="K1897" s="25">
        <v>83</v>
      </c>
      <c r="L1897" s="21" t="s">
        <v>21</v>
      </c>
      <c r="M1897" s="22" t="s">
        <v>3536</v>
      </c>
      <c r="N1897" s="27">
        <f t="shared" si="232"/>
        <v>11</v>
      </c>
      <c r="O1897" s="28">
        <f t="shared" si="233"/>
        <v>1.9423919295606388E-2</v>
      </c>
      <c r="P1897" s="28">
        <f t="shared" si="234"/>
        <v>6.3022019741837507E-2</v>
      </c>
      <c r="Q1897" s="26">
        <f t="shared" si="235"/>
        <v>1.6223462414578589</v>
      </c>
      <c r="R1897" s="29">
        <f t="shared" si="236"/>
        <v>25.742530120481931</v>
      </c>
      <c r="S1897" s="30">
        <f t="shared" si="237"/>
        <v>12</v>
      </c>
      <c r="T1897" s="30">
        <f t="shared" si="238"/>
        <v>2023</v>
      </c>
      <c r="U1897" s="29" t="str">
        <f t="shared" si="239"/>
        <v>December</v>
      </c>
    </row>
    <row r="1898" spans="1:21" ht="17.399999999999999" x14ac:dyDescent="0.3">
      <c r="A1898" s="21" t="s">
        <v>1203</v>
      </c>
      <c r="B1898" s="22" t="s">
        <v>4039</v>
      </c>
      <c r="C1898" s="23" t="s">
        <v>3518</v>
      </c>
      <c r="D1898" s="22" t="s">
        <v>3545</v>
      </c>
      <c r="E1898" s="24">
        <v>45275</v>
      </c>
      <c r="F1898" s="24">
        <v>45289</v>
      </c>
      <c r="G1898" s="22" t="s">
        <v>31</v>
      </c>
      <c r="H1898" s="25">
        <v>14807</v>
      </c>
      <c r="I1898" s="25">
        <v>174</v>
      </c>
      <c r="J1898" s="26">
        <v>231.27</v>
      </c>
      <c r="K1898" s="25">
        <v>17</v>
      </c>
      <c r="L1898" s="21" t="s">
        <v>17</v>
      </c>
      <c r="M1898" s="22" t="s">
        <v>31</v>
      </c>
      <c r="N1898" s="27">
        <f t="shared" si="232"/>
        <v>14</v>
      </c>
      <c r="O1898" s="28">
        <f t="shared" si="233"/>
        <v>1.1751198757344499E-2</v>
      </c>
      <c r="P1898" s="28">
        <f t="shared" si="234"/>
        <v>9.7701149425287362E-2</v>
      </c>
      <c r="Q1898" s="26">
        <f t="shared" si="235"/>
        <v>1.3291379310344829</v>
      </c>
      <c r="R1898" s="29">
        <f t="shared" si="236"/>
        <v>13.604117647058825</v>
      </c>
      <c r="S1898" s="30">
        <f t="shared" si="237"/>
        <v>12</v>
      </c>
      <c r="T1898" s="30">
        <f t="shared" si="238"/>
        <v>2023</v>
      </c>
      <c r="U1898" s="29" t="str">
        <f t="shared" si="239"/>
        <v>December</v>
      </c>
    </row>
    <row r="1899" spans="1:21" ht="17.399999999999999" x14ac:dyDescent="0.3">
      <c r="A1899" s="21" t="s">
        <v>1222</v>
      </c>
      <c r="B1899" s="21" t="s">
        <v>1223</v>
      </c>
      <c r="C1899" s="23" t="s">
        <v>3518</v>
      </c>
      <c r="D1899" s="21" t="s">
        <v>3520</v>
      </c>
      <c r="E1899" s="24">
        <v>45275</v>
      </c>
      <c r="F1899" s="24">
        <v>45290</v>
      </c>
      <c r="G1899" s="22" t="s">
        <v>31</v>
      </c>
      <c r="H1899" s="25">
        <v>36909</v>
      </c>
      <c r="I1899" s="25">
        <v>599</v>
      </c>
      <c r="J1899" s="26">
        <v>453.41</v>
      </c>
      <c r="K1899" s="25">
        <v>53</v>
      </c>
      <c r="L1899" s="21" t="s">
        <v>21</v>
      </c>
      <c r="M1899" s="22" t="s">
        <v>31</v>
      </c>
      <c r="N1899" s="27">
        <f t="shared" si="232"/>
        <v>15</v>
      </c>
      <c r="O1899" s="28">
        <f t="shared" si="233"/>
        <v>1.6229104012571459E-2</v>
      </c>
      <c r="P1899" s="28">
        <f t="shared" si="234"/>
        <v>8.8480801335559259E-2</v>
      </c>
      <c r="Q1899" s="26">
        <f t="shared" si="235"/>
        <v>0.75694490818030058</v>
      </c>
      <c r="R1899" s="29">
        <f t="shared" si="236"/>
        <v>8.5549056603773597</v>
      </c>
      <c r="S1899" s="30">
        <f t="shared" si="237"/>
        <v>12</v>
      </c>
      <c r="T1899" s="30">
        <f t="shared" si="238"/>
        <v>2023</v>
      </c>
      <c r="U1899" s="29" t="str">
        <f t="shared" si="239"/>
        <v>December</v>
      </c>
    </row>
    <row r="1900" spans="1:21" ht="17.399999999999999" x14ac:dyDescent="0.3">
      <c r="A1900" s="21" t="s">
        <v>2241</v>
      </c>
      <c r="B1900" s="21" t="s">
        <v>2242</v>
      </c>
      <c r="C1900" s="23" t="s">
        <v>3516</v>
      </c>
      <c r="D1900" s="21" t="s">
        <v>3521</v>
      </c>
      <c r="E1900" s="24">
        <v>45275</v>
      </c>
      <c r="F1900" s="24">
        <v>45301</v>
      </c>
      <c r="G1900" s="22" t="s">
        <v>16</v>
      </c>
      <c r="H1900" s="25">
        <v>76452</v>
      </c>
      <c r="I1900" s="25">
        <v>3568</v>
      </c>
      <c r="J1900" s="26">
        <v>2889.62</v>
      </c>
      <c r="K1900" s="25">
        <v>387</v>
      </c>
      <c r="L1900" s="21" t="s">
        <v>21</v>
      </c>
      <c r="M1900" s="22" t="s">
        <v>16</v>
      </c>
      <c r="N1900" s="27">
        <f t="shared" si="232"/>
        <v>26</v>
      </c>
      <c r="O1900" s="28">
        <f t="shared" si="233"/>
        <v>4.6669805891278185E-2</v>
      </c>
      <c r="P1900" s="28">
        <f t="shared" si="234"/>
        <v>0.10846412556053811</v>
      </c>
      <c r="Q1900" s="26">
        <f t="shared" si="235"/>
        <v>0.80987107623318377</v>
      </c>
      <c r="R1900" s="29">
        <f t="shared" si="236"/>
        <v>7.4667183462532298</v>
      </c>
      <c r="S1900" s="30">
        <f t="shared" si="237"/>
        <v>12</v>
      </c>
      <c r="T1900" s="30">
        <f t="shared" si="238"/>
        <v>2023</v>
      </c>
      <c r="U1900" s="29" t="str">
        <f t="shared" si="239"/>
        <v>December</v>
      </c>
    </row>
    <row r="1901" spans="1:21" ht="17.399999999999999" x14ac:dyDescent="0.3">
      <c r="A1901" s="21" t="s">
        <v>2185</v>
      </c>
      <c r="B1901" s="21" t="s">
        <v>2186</v>
      </c>
      <c r="C1901" s="23" t="s">
        <v>3519</v>
      </c>
      <c r="D1901" s="21" t="s">
        <v>3517</v>
      </c>
      <c r="E1901" s="24">
        <v>45276</v>
      </c>
      <c r="F1901" s="24">
        <v>45288</v>
      </c>
      <c r="G1901" s="22" t="s">
        <v>24</v>
      </c>
      <c r="H1901" s="25">
        <v>64731</v>
      </c>
      <c r="I1901" s="25">
        <v>1885</v>
      </c>
      <c r="J1901" s="26">
        <v>1318.35</v>
      </c>
      <c r="K1901" s="25">
        <v>266</v>
      </c>
      <c r="L1901" s="21" t="s">
        <v>21</v>
      </c>
      <c r="M1901" s="22" t="s">
        <v>3536</v>
      </c>
      <c r="N1901" s="27">
        <f t="shared" si="232"/>
        <v>12</v>
      </c>
      <c r="O1901" s="28">
        <f t="shared" si="233"/>
        <v>2.9120514127697703E-2</v>
      </c>
      <c r="P1901" s="28">
        <f t="shared" si="234"/>
        <v>0.14111405835543767</v>
      </c>
      <c r="Q1901" s="26">
        <f t="shared" si="235"/>
        <v>0.69938992042440318</v>
      </c>
      <c r="R1901" s="29">
        <f t="shared" si="236"/>
        <v>4.9562030075187966</v>
      </c>
      <c r="S1901" s="30">
        <f t="shared" si="237"/>
        <v>12</v>
      </c>
      <c r="T1901" s="30">
        <f t="shared" si="238"/>
        <v>2023</v>
      </c>
      <c r="U1901" s="29" t="str">
        <f t="shared" si="239"/>
        <v>December</v>
      </c>
    </row>
    <row r="1902" spans="1:21" ht="17.399999999999999" x14ac:dyDescent="0.3">
      <c r="A1902" s="21" t="s">
        <v>2485</v>
      </c>
      <c r="B1902" s="21" t="s">
        <v>2486</v>
      </c>
      <c r="C1902" s="23" t="s">
        <v>3519</v>
      </c>
      <c r="D1902" s="21" t="s">
        <v>3521</v>
      </c>
      <c r="E1902" s="24">
        <v>45276</v>
      </c>
      <c r="F1902" s="24">
        <v>45295</v>
      </c>
      <c r="G1902" s="22" t="s">
        <v>14</v>
      </c>
      <c r="H1902" s="25">
        <v>2622</v>
      </c>
      <c r="I1902" s="25">
        <v>51</v>
      </c>
      <c r="J1902" s="26">
        <v>79.48</v>
      </c>
      <c r="K1902" s="25">
        <v>7</v>
      </c>
      <c r="L1902" s="21" t="s">
        <v>21</v>
      </c>
      <c r="M1902" s="22" t="s">
        <v>3537</v>
      </c>
      <c r="N1902" s="27">
        <f t="shared" si="232"/>
        <v>19</v>
      </c>
      <c r="O1902" s="28">
        <f t="shared" si="233"/>
        <v>1.9450800915331808E-2</v>
      </c>
      <c r="P1902" s="28">
        <f t="shared" si="234"/>
        <v>0.13725490196078433</v>
      </c>
      <c r="Q1902" s="26">
        <f t="shared" si="235"/>
        <v>1.5584313725490198</v>
      </c>
      <c r="R1902" s="29">
        <f t="shared" si="236"/>
        <v>11.354285714285714</v>
      </c>
      <c r="S1902" s="30">
        <f t="shared" si="237"/>
        <v>12</v>
      </c>
      <c r="T1902" s="30">
        <f t="shared" si="238"/>
        <v>2023</v>
      </c>
      <c r="U1902" s="29" t="str">
        <f t="shared" si="239"/>
        <v>December</v>
      </c>
    </row>
    <row r="1903" spans="1:21" ht="17.399999999999999" x14ac:dyDescent="0.3">
      <c r="A1903" s="21" t="s">
        <v>1575</v>
      </c>
      <c r="B1903" s="21" t="s">
        <v>1576</v>
      </c>
      <c r="C1903" s="23" t="s">
        <v>3518</v>
      </c>
      <c r="D1903" s="21" t="s">
        <v>3521</v>
      </c>
      <c r="E1903" s="24">
        <v>45276</v>
      </c>
      <c r="F1903" s="24">
        <v>45301</v>
      </c>
      <c r="G1903" s="22" t="s">
        <v>11</v>
      </c>
      <c r="H1903" s="25">
        <v>74477</v>
      </c>
      <c r="I1903" s="25">
        <v>3245</v>
      </c>
      <c r="J1903" s="26">
        <v>3930.49</v>
      </c>
      <c r="K1903" s="25">
        <v>499</v>
      </c>
      <c r="L1903" s="21" t="s">
        <v>17</v>
      </c>
      <c r="M1903" s="22" t="s">
        <v>11</v>
      </c>
      <c r="N1903" s="27">
        <f t="shared" si="232"/>
        <v>25</v>
      </c>
      <c r="O1903" s="28">
        <f t="shared" si="233"/>
        <v>4.3570498274635119E-2</v>
      </c>
      <c r="P1903" s="28">
        <f t="shared" si="234"/>
        <v>0.15377503852080124</v>
      </c>
      <c r="Q1903" s="26">
        <f t="shared" si="235"/>
        <v>1.2112449922958397</v>
      </c>
      <c r="R1903" s="29">
        <f t="shared" si="236"/>
        <v>7.8767334669338673</v>
      </c>
      <c r="S1903" s="30">
        <f t="shared" si="237"/>
        <v>12</v>
      </c>
      <c r="T1903" s="30">
        <f t="shared" si="238"/>
        <v>2023</v>
      </c>
      <c r="U1903" s="29" t="str">
        <f t="shared" si="239"/>
        <v>December</v>
      </c>
    </row>
    <row r="1904" spans="1:21" ht="17.399999999999999" x14ac:dyDescent="0.3">
      <c r="A1904" s="21" t="s">
        <v>1736</v>
      </c>
      <c r="B1904" s="21" t="s">
        <v>1737</v>
      </c>
      <c r="C1904" s="23" t="s">
        <v>3515</v>
      </c>
      <c r="D1904" s="21" t="s">
        <v>3517</v>
      </c>
      <c r="E1904" s="24">
        <v>45276</v>
      </c>
      <c r="F1904" s="24">
        <v>45277</v>
      </c>
      <c r="G1904" s="22" t="s">
        <v>16</v>
      </c>
      <c r="H1904" s="25">
        <v>74794</v>
      </c>
      <c r="I1904" s="25">
        <v>1579</v>
      </c>
      <c r="J1904" s="26">
        <v>1265.03</v>
      </c>
      <c r="K1904" s="25">
        <v>212</v>
      </c>
      <c r="L1904" s="21" t="s">
        <v>17</v>
      </c>
      <c r="M1904" s="22" t="s">
        <v>16</v>
      </c>
      <c r="N1904" s="27">
        <f t="shared" si="232"/>
        <v>1</v>
      </c>
      <c r="O1904" s="28">
        <f t="shared" si="233"/>
        <v>2.1111319089766559E-2</v>
      </c>
      <c r="P1904" s="28">
        <f t="shared" si="234"/>
        <v>0.13426219126029132</v>
      </c>
      <c r="Q1904" s="26">
        <f t="shared" si="235"/>
        <v>0.80115896136795439</v>
      </c>
      <c r="R1904" s="29">
        <f t="shared" si="236"/>
        <v>5.9671226415094338</v>
      </c>
      <c r="S1904" s="30">
        <f t="shared" si="237"/>
        <v>12</v>
      </c>
      <c r="T1904" s="30">
        <f t="shared" si="238"/>
        <v>2023</v>
      </c>
      <c r="U1904" s="29" t="str">
        <f t="shared" si="239"/>
        <v>December</v>
      </c>
    </row>
    <row r="1905" spans="1:21" ht="17.399999999999999" x14ac:dyDescent="0.3">
      <c r="A1905" s="21" t="s">
        <v>386</v>
      </c>
      <c r="B1905" s="21" t="s">
        <v>387</v>
      </c>
      <c r="C1905" s="23" t="s">
        <v>3519</v>
      </c>
      <c r="D1905" s="21" t="s">
        <v>3520</v>
      </c>
      <c r="E1905" s="24">
        <v>45277</v>
      </c>
      <c r="F1905" s="24">
        <v>45302</v>
      </c>
      <c r="G1905" s="22" t="s">
        <v>11</v>
      </c>
      <c r="H1905" s="25">
        <v>24664</v>
      </c>
      <c r="I1905" s="25">
        <v>1035</v>
      </c>
      <c r="J1905" s="26">
        <v>987.1</v>
      </c>
      <c r="K1905" s="25">
        <v>155</v>
      </c>
      <c r="L1905" s="21" t="s">
        <v>21</v>
      </c>
      <c r="M1905" s="22" t="s">
        <v>11</v>
      </c>
      <c r="N1905" s="27">
        <f t="shared" si="232"/>
        <v>25</v>
      </c>
      <c r="O1905" s="28">
        <f t="shared" si="233"/>
        <v>4.1963996107687321E-2</v>
      </c>
      <c r="P1905" s="28">
        <f t="shared" si="234"/>
        <v>0.14975845410628019</v>
      </c>
      <c r="Q1905" s="26">
        <f t="shared" si="235"/>
        <v>0.95371980676328505</v>
      </c>
      <c r="R1905" s="29">
        <f t="shared" si="236"/>
        <v>6.3683870967741933</v>
      </c>
      <c r="S1905" s="30">
        <f t="shared" si="237"/>
        <v>12</v>
      </c>
      <c r="T1905" s="30">
        <f t="shared" si="238"/>
        <v>2023</v>
      </c>
      <c r="U1905" s="29" t="str">
        <f t="shared" si="239"/>
        <v>December</v>
      </c>
    </row>
    <row r="1906" spans="1:21" ht="17.399999999999999" x14ac:dyDescent="0.3">
      <c r="A1906" s="21" t="s">
        <v>905</v>
      </c>
      <c r="B1906" s="21" t="s">
        <v>906</v>
      </c>
      <c r="C1906" s="23" t="s">
        <v>3519</v>
      </c>
      <c r="D1906" s="21" t="s">
        <v>3521</v>
      </c>
      <c r="E1906" s="24">
        <v>45277</v>
      </c>
      <c r="F1906" s="24">
        <v>45278</v>
      </c>
      <c r="G1906" s="22" t="s">
        <v>31</v>
      </c>
      <c r="H1906" s="25">
        <v>96435</v>
      </c>
      <c r="I1906" s="25">
        <v>2794</v>
      </c>
      <c r="J1906" s="26">
        <v>2162.58</v>
      </c>
      <c r="K1906" s="25">
        <v>265</v>
      </c>
      <c r="L1906" s="21" t="s">
        <v>21</v>
      </c>
      <c r="M1906" s="22" t="s">
        <v>31</v>
      </c>
      <c r="N1906" s="27">
        <f t="shared" si="232"/>
        <v>1</v>
      </c>
      <c r="O1906" s="28">
        <f t="shared" si="233"/>
        <v>2.8972883289262199E-2</v>
      </c>
      <c r="P1906" s="28">
        <f t="shared" si="234"/>
        <v>9.4846098783106653E-2</v>
      </c>
      <c r="Q1906" s="26">
        <f t="shared" si="235"/>
        <v>0.77400858983536147</v>
      </c>
      <c r="R1906" s="29">
        <f t="shared" si="236"/>
        <v>8.1606792452830188</v>
      </c>
      <c r="S1906" s="30">
        <f t="shared" si="237"/>
        <v>12</v>
      </c>
      <c r="T1906" s="30">
        <f t="shared" si="238"/>
        <v>2023</v>
      </c>
      <c r="U1906" s="29" t="str">
        <f t="shared" si="239"/>
        <v>December</v>
      </c>
    </row>
    <row r="1907" spans="1:21" ht="17.399999999999999" x14ac:dyDescent="0.3">
      <c r="A1907" s="21" t="s">
        <v>2535</v>
      </c>
      <c r="B1907" s="21" t="s">
        <v>2536</v>
      </c>
      <c r="C1907" s="23" t="s">
        <v>3518</v>
      </c>
      <c r="D1907" s="21" t="s">
        <v>3517</v>
      </c>
      <c r="E1907" s="24">
        <v>45277</v>
      </c>
      <c r="F1907" s="24">
        <v>45305</v>
      </c>
      <c r="G1907" s="22" t="s">
        <v>16</v>
      </c>
      <c r="H1907" s="25">
        <v>79617</v>
      </c>
      <c r="I1907" s="25">
        <v>1529</v>
      </c>
      <c r="J1907" s="26">
        <v>1405.41</v>
      </c>
      <c r="K1907" s="25">
        <v>91</v>
      </c>
      <c r="L1907" s="21" t="s">
        <v>17</v>
      </c>
      <c r="M1907" s="22" t="s">
        <v>16</v>
      </c>
      <c r="N1907" s="27">
        <f t="shared" si="232"/>
        <v>28</v>
      </c>
      <c r="O1907" s="28">
        <f t="shared" si="233"/>
        <v>1.920444126254443E-2</v>
      </c>
      <c r="P1907" s="28">
        <f t="shared" si="234"/>
        <v>5.9516023544800525E-2</v>
      </c>
      <c r="Q1907" s="26">
        <f t="shared" si="235"/>
        <v>0.91916939175931989</v>
      </c>
      <c r="R1907" s="29">
        <f t="shared" si="236"/>
        <v>15.444065934065934</v>
      </c>
      <c r="S1907" s="30">
        <f t="shared" si="237"/>
        <v>12</v>
      </c>
      <c r="T1907" s="30">
        <f t="shared" si="238"/>
        <v>2023</v>
      </c>
      <c r="U1907" s="29" t="str">
        <f t="shared" si="239"/>
        <v>December</v>
      </c>
    </row>
    <row r="1908" spans="1:21" ht="17.399999999999999" x14ac:dyDescent="0.3">
      <c r="A1908" s="21" t="s">
        <v>1125</v>
      </c>
      <c r="B1908" s="21" t="s">
        <v>1126</v>
      </c>
      <c r="C1908" s="23" t="s">
        <v>3516</v>
      </c>
      <c r="D1908" s="21" t="s">
        <v>3517</v>
      </c>
      <c r="E1908" s="24">
        <v>45277</v>
      </c>
      <c r="F1908" s="24">
        <v>45301</v>
      </c>
      <c r="G1908" s="22" t="s">
        <v>14</v>
      </c>
      <c r="H1908" s="25">
        <v>9335</v>
      </c>
      <c r="I1908" s="25">
        <v>205</v>
      </c>
      <c r="J1908" s="26">
        <v>187.9</v>
      </c>
      <c r="K1908" s="25">
        <v>29</v>
      </c>
      <c r="L1908" s="21" t="s">
        <v>21</v>
      </c>
      <c r="M1908" s="22" t="s">
        <v>3537</v>
      </c>
      <c r="N1908" s="27">
        <f t="shared" si="232"/>
        <v>24</v>
      </c>
      <c r="O1908" s="28">
        <f t="shared" si="233"/>
        <v>2.1960364220674881E-2</v>
      </c>
      <c r="P1908" s="28">
        <f t="shared" si="234"/>
        <v>0.14146341463414633</v>
      </c>
      <c r="Q1908" s="26">
        <f t="shared" si="235"/>
        <v>0.91658536585365857</v>
      </c>
      <c r="R1908" s="29">
        <f t="shared" si="236"/>
        <v>6.4793103448275868</v>
      </c>
      <c r="S1908" s="30">
        <f t="shared" si="237"/>
        <v>12</v>
      </c>
      <c r="T1908" s="30">
        <f t="shared" si="238"/>
        <v>2023</v>
      </c>
      <c r="U1908" s="29" t="str">
        <f t="shared" si="239"/>
        <v>December</v>
      </c>
    </row>
    <row r="1909" spans="1:21" ht="17.399999999999999" x14ac:dyDescent="0.3">
      <c r="A1909" s="21" t="s">
        <v>1442</v>
      </c>
      <c r="B1909" s="21" t="s">
        <v>1443</v>
      </c>
      <c r="C1909" s="23" t="s">
        <v>3516</v>
      </c>
      <c r="D1909" s="21" t="s">
        <v>3521</v>
      </c>
      <c r="E1909" s="24">
        <v>45277</v>
      </c>
      <c r="F1909" s="24">
        <v>45281</v>
      </c>
      <c r="G1909" s="22" t="s">
        <v>3535</v>
      </c>
      <c r="H1909" s="25">
        <v>81642</v>
      </c>
      <c r="I1909" s="25">
        <v>912</v>
      </c>
      <c r="J1909" s="26">
        <v>630.79999999999995</v>
      </c>
      <c r="K1909" s="25">
        <v>88</v>
      </c>
      <c r="L1909" s="21" t="s">
        <v>21</v>
      </c>
      <c r="M1909" s="22" t="s">
        <v>3535</v>
      </c>
      <c r="N1909" s="27">
        <f t="shared" si="232"/>
        <v>4</v>
      </c>
      <c r="O1909" s="28">
        <f t="shared" si="233"/>
        <v>1.1170720952450945E-2</v>
      </c>
      <c r="P1909" s="28">
        <f t="shared" si="234"/>
        <v>9.6491228070175433E-2</v>
      </c>
      <c r="Q1909" s="26">
        <f t="shared" si="235"/>
        <v>0.69166666666666665</v>
      </c>
      <c r="R1909" s="29">
        <f t="shared" si="236"/>
        <v>7.168181818181818</v>
      </c>
      <c r="S1909" s="30">
        <f t="shared" si="237"/>
        <v>12</v>
      </c>
      <c r="T1909" s="30">
        <f t="shared" si="238"/>
        <v>2023</v>
      </c>
      <c r="U1909" s="29" t="str">
        <f t="shared" si="239"/>
        <v>December</v>
      </c>
    </row>
    <row r="1910" spans="1:21" ht="17.399999999999999" x14ac:dyDescent="0.3">
      <c r="A1910" s="21" t="s">
        <v>2473</v>
      </c>
      <c r="B1910" s="21" t="s">
        <v>2474</v>
      </c>
      <c r="C1910" s="23" t="s">
        <v>3516</v>
      </c>
      <c r="D1910" s="21" t="s">
        <v>3517</v>
      </c>
      <c r="E1910" s="24">
        <v>45277</v>
      </c>
      <c r="F1910" s="24">
        <v>45284</v>
      </c>
      <c r="G1910" s="22" t="s">
        <v>31</v>
      </c>
      <c r="H1910" s="25">
        <v>32653</v>
      </c>
      <c r="I1910" s="25">
        <v>1114</v>
      </c>
      <c r="J1910" s="26">
        <v>1930.94</v>
      </c>
      <c r="K1910" s="25">
        <v>199</v>
      </c>
      <c r="L1910" s="21" t="s">
        <v>17</v>
      </c>
      <c r="M1910" s="22" t="s">
        <v>31</v>
      </c>
      <c r="N1910" s="27">
        <f t="shared" si="232"/>
        <v>7</v>
      </c>
      <c r="O1910" s="28">
        <f t="shared" si="233"/>
        <v>3.4116313968088688E-2</v>
      </c>
      <c r="P1910" s="28">
        <f t="shared" si="234"/>
        <v>0.17863554757630162</v>
      </c>
      <c r="Q1910" s="26">
        <f t="shared" si="235"/>
        <v>1.7333393177737881</v>
      </c>
      <c r="R1910" s="29">
        <f t="shared" si="236"/>
        <v>9.7032160804020098</v>
      </c>
      <c r="S1910" s="30">
        <f t="shared" si="237"/>
        <v>12</v>
      </c>
      <c r="T1910" s="30">
        <f t="shared" si="238"/>
        <v>2023</v>
      </c>
      <c r="U1910" s="29" t="str">
        <f t="shared" si="239"/>
        <v>December</v>
      </c>
    </row>
    <row r="1911" spans="1:21" ht="17.399999999999999" x14ac:dyDescent="0.3">
      <c r="A1911" s="21" t="s">
        <v>2745</v>
      </c>
      <c r="B1911" s="22" t="s">
        <v>4040</v>
      </c>
      <c r="C1911" s="23" t="s">
        <v>3516</v>
      </c>
      <c r="D1911" s="22" t="s">
        <v>3545</v>
      </c>
      <c r="E1911" s="24">
        <v>45277</v>
      </c>
      <c r="F1911" s="24">
        <v>45280</v>
      </c>
      <c r="G1911" s="22" t="s">
        <v>31</v>
      </c>
      <c r="H1911" s="25">
        <v>79187</v>
      </c>
      <c r="I1911" s="25">
        <v>2248</v>
      </c>
      <c r="J1911" s="26">
        <v>1796.19</v>
      </c>
      <c r="K1911" s="25">
        <v>148</v>
      </c>
      <c r="L1911" s="21" t="s">
        <v>21</v>
      </c>
      <c r="M1911" s="22" t="s">
        <v>31</v>
      </c>
      <c r="N1911" s="27">
        <f t="shared" si="232"/>
        <v>3</v>
      </c>
      <c r="O1911" s="28">
        <f t="shared" si="233"/>
        <v>2.8388498112063849E-2</v>
      </c>
      <c r="P1911" s="28">
        <f t="shared" si="234"/>
        <v>6.5836298932384338E-2</v>
      </c>
      <c r="Q1911" s="26">
        <f t="shared" si="235"/>
        <v>0.79901690391459079</v>
      </c>
      <c r="R1911" s="29">
        <f t="shared" si="236"/>
        <v>12.136418918918919</v>
      </c>
      <c r="S1911" s="30">
        <f t="shared" si="237"/>
        <v>12</v>
      </c>
      <c r="T1911" s="30">
        <f t="shared" si="238"/>
        <v>2023</v>
      </c>
      <c r="U1911" s="29" t="str">
        <f t="shared" si="239"/>
        <v>December</v>
      </c>
    </row>
    <row r="1912" spans="1:21" ht="17.399999999999999" x14ac:dyDescent="0.3">
      <c r="A1912" s="21" t="s">
        <v>3468</v>
      </c>
      <c r="B1912" s="21" t="s">
        <v>3469</v>
      </c>
      <c r="C1912" s="23" t="s">
        <v>3516</v>
      </c>
      <c r="D1912" s="21" t="s">
        <v>3521</v>
      </c>
      <c r="E1912" s="24">
        <v>45277</v>
      </c>
      <c r="F1912" s="24">
        <v>45282</v>
      </c>
      <c r="G1912" s="22" t="s">
        <v>3535</v>
      </c>
      <c r="H1912" s="25">
        <v>57446</v>
      </c>
      <c r="I1912" s="25">
        <v>1434</v>
      </c>
      <c r="J1912" s="26">
        <v>2671.97</v>
      </c>
      <c r="K1912" s="25">
        <v>158</v>
      </c>
      <c r="L1912" s="21" t="s">
        <v>21</v>
      </c>
      <c r="M1912" s="22" t="s">
        <v>3535</v>
      </c>
      <c r="N1912" s="27">
        <f t="shared" si="232"/>
        <v>5</v>
      </c>
      <c r="O1912" s="28">
        <f t="shared" si="233"/>
        <v>2.4962573547331408E-2</v>
      </c>
      <c r="P1912" s="28">
        <f t="shared" si="234"/>
        <v>0.1101813110181311</v>
      </c>
      <c r="Q1912" s="26">
        <f t="shared" si="235"/>
        <v>1.8632984658298464</v>
      </c>
      <c r="R1912" s="29">
        <f t="shared" si="236"/>
        <v>16.911202531645568</v>
      </c>
      <c r="S1912" s="30">
        <f t="shared" si="237"/>
        <v>12</v>
      </c>
      <c r="T1912" s="30">
        <f t="shared" si="238"/>
        <v>2023</v>
      </c>
      <c r="U1912" s="29" t="str">
        <f t="shared" si="239"/>
        <v>December</v>
      </c>
    </row>
    <row r="1913" spans="1:21" ht="17.399999999999999" x14ac:dyDescent="0.3">
      <c r="A1913" s="21" t="s">
        <v>2352</v>
      </c>
      <c r="B1913" s="21" t="s">
        <v>2353</v>
      </c>
      <c r="C1913" s="23" t="s">
        <v>3515</v>
      </c>
      <c r="D1913" s="21" t="s">
        <v>3517</v>
      </c>
      <c r="E1913" s="24">
        <v>45277</v>
      </c>
      <c r="F1913" s="24">
        <v>45291</v>
      </c>
      <c r="G1913" s="22" t="s">
        <v>31</v>
      </c>
      <c r="H1913" s="25">
        <v>35911</v>
      </c>
      <c r="I1913" s="25">
        <v>892</v>
      </c>
      <c r="J1913" s="26">
        <v>983.6</v>
      </c>
      <c r="K1913" s="25">
        <v>142</v>
      </c>
      <c r="L1913" s="21" t="s">
        <v>17</v>
      </c>
      <c r="M1913" s="22" t="s">
        <v>31</v>
      </c>
      <c r="N1913" s="27">
        <f t="shared" si="232"/>
        <v>14</v>
      </c>
      <c r="O1913" s="28">
        <f t="shared" si="233"/>
        <v>2.4839185764807439E-2</v>
      </c>
      <c r="P1913" s="28">
        <f t="shared" si="234"/>
        <v>0.15919282511210761</v>
      </c>
      <c r="Q1913" s="26">
        <f t="shared" si="235"/>
        <v>1.1026905829596412</v>
      </c>
      <c r="R1913" s="29">
        <f t="shared" si="236"/>
        <v>6.9267605633802818</v>
      </c>
      <c r="S1913" s="30">
        <f t="shared" si="237"/>
        <v>12</v>
      </c>
      <c r="T1913" s="30">
        <f t="shared" si="238"/>
        <v>2023</v>
      </c>
      <c r="U1913" s="29" t="str">
        <f t="shared" si="239"/>
        <v>December</v>
      </c>
    </row>
    <row r="1914" spans="1:21" ht="17.399999999999999" x14ac:dyDescent="0.3">
      <c r="A1914" s="21" t="s">
        <v>2701</v>
      </c>
      <c r="B1914" s="21" t="s">
        <v>2702</v>
      </c>
      <c r="C1914" s="23" t="s">
        <v>3515</v>
      </c>
      <c r="D1914" s="21" t="s">
        <v>3521</v>
      </c>
      <c r="E1914" s="24">
        <v>45277</v>
      </c>
      <c r="F1914" s="24">
        <v>45280</v>
      </c>
      <c r="G1914" s="22" t="s">
        <v>11</v>
      </c>
      <c r="H1914" s="25">
        <v>81559</v>
      </c>
      <c r="I1914" s="25">
        <v>3935</v>
      </c>
      <c r="J1914" s="26">
        <v>6369.1</v>
      </c>
      <c r="K1914" s="25">
        <v>568</v>
      </c>
      <c r="L1914" s="21" t="s">
        <v>21</v>
      </c>
      <c r="M1914" s="22" t="s">
        <v>11</v>
      </c>
      <c r="N1914" s="27">
        <f t="shared" si="232"/>
        <v>3</v>
      </c>
      <c r="O1914" s="28">
        <f t="shared" si="233"/>
        <v>4.8247281109380938E-2</v>
      </c>
      <c r="P1914" s="28">
        <f t="shared" si="234"/>
        <v>0.14434561626429479</v>
      </c>
      <c r="Q1914" s="26">
        <f t="shared" si="235"/>
        <v>1.6185768742058451</v>
      </c>
      <c r="R1914" s="29">
        <f t="shared" si="236"/>
        <v>11.213204225352113</v>
      </c>
      <c r="S1914" s="30">
        <f t="shared" si="237"/>
        <v>12</v>
      </c>
      <c r="T1914" s="30">
        <f t="shared" si="238"/>
        <v>2023</v>
      </c>
      <c r="U1914" s="29" t="str">
        <f t="shared" si="239"/>
        <v>December</v>
      </c>
    </row>
    <row r="1915" spans="1:21" ht="17.399999999999999" x14ac:dyDescent="0.3">
      <c r="A1915" s="21" t="s">
        <v>3226</v>
      </c>
      <c r="B1915" s="21" t="s">
        <v>3227</v>
      </c>
      <c r="C1915" s="23" t="s">
        <v>3515</v>
      </c>
      <c r="D1915" s="21" t="s">
        <v>3517</v>
      </c>
      <c r="E1915" s="24">
        <v>45277</v>
      </c>
      <c r="F1915" s="24">
        <v>45288</v>
      </c>
      <c r="G1915" s="22" t="s">
        <v>16</v>
      </c>
      <c r="H1915" s="25">
        <v>94623</v>
      </c>
      <c r="I1915" s="25">
        <v>1053</v>
      </c>
      <c r="J1915" s="26">
        <v>1864.76</v>
      </c>
      <c r="K1915" s="25">
        <v>151</v>
      </c>
      <c r="L1915" s="21" t="s">
        <v>17</v>
      </c>
      <c r="M1915" s="22" t="s">
        <v>16</v>
      </c>
      <c r="N1915" s="27">
        <f t="shared" si="232"/>
        <v>11</v>
      </c>
      <c r="O1915" s="28">
        <f t="shared" si="233"/>
        <v>1.1128372594400939E-2</v>
      </c>
      <c r="P1915" s="28">
        <f t="shared" si="234"/>
        <v>0.14339981006647673</v>
      </c>
      <c r="Q1915" s="26">
        <f t="shared" si="235"/>
        <v>1.7709021842355175</v>
      </c>
      <c r="R1915" s="29">
        <f t="shared" si="236"/>
        <v>12.349403973509935</v>
      </c>
      <c r="S1915" s="30">
        <f t="shared" si="237"/>
        <v>12</v>
      </c>
      <c r="T1915" s="30">
        <f t="shared" si="238"/>
        <v>2023</v>
      </c>
      <c r="U1915" s="29" t="str">
        <f t="shared" si="239"/>
        <v>December</v>
      </c>
    </row>
    <row r="1916" spans="1:21" ht="17.399999999999999" x14ac:dyDescent="0.3">
      <c r="A1916" s="21" t="s">
        <v>627</v>
      </c>
      <c r="B1916" s="22" t="s">
        <v>4041</v>
      </c>
      <c r="C1916" s="23" t="s">
        <v>3518</v>
      </c>
      <c r="D1916" s="22" t="s">
        <v>3545</v>
      </c>
      <c r="E1916" s="24">
        <v>45278</v>
      </c>
      <c r="F1916" s="24">
        <v>45283</v>
      </c>
      <c r="G1916" s="22" t="s">
        <v>16</v>
      </c>
      <c r="H1916" s="25">
        <v>6600</v>
      </c>
      <c r="I1916" s="25">
        <v>103</v>
      </c>
      <c r="J1916" s="26">
        <v>192.86</v>
      </c>
      <c r="K1916" s="25">
        <v>11</v>
      </c>
      <c r="L1916" s="21" t="s">
        <v>21</v>
      </c>
      <c r="M1916" s="22" t="s">
        <v>16</v>
      </c>
      <c r="N1916" s="27">
        <f t="shared" si="232"/>
        <v>5</v>
      </c>
      <c r="O1916" s="28">
        <f t="shared" si="233"/>
        <v>1.5606060606060606E-2</v>
      </c>
      <c r="P1916" s="28">
        <f t="shared" si="234"/>
        <v>0.10679611650485436</v>
      </c>
      <c r="Q1916" s="26">
        <f t="shared" si="235"/>
        <v>1.8724271844660196</v>
      </c>
      <c r="R1916" s="29">
        <f t="shared" si="236"/>
        <v>17.532727272727275</v>
      </c>
      <c r="S1916" s="30">
        <f t="shared" si="237"/>
        <v>12</v>
      </c>
      <c r="T1916" s="30">
        <f t="shared" si="238"/>
        <v>2023</v>
      </c>
      <c r="U1916" s="29" t="str">
        <f t="shared" si="239"/>
        <v>December</v>
      </c>
    </row>
    <row r="1917" spans="1:21" ht="17.399999999999999" x14ac:dyDescent="0.3">
      <c r="A1917" s="21" t="s">
        <v>2540</v>
      </c>
      <c r="B1917" s="22" t="s">
        <v>4042</v>
      </c>
      <c r="C1917" s="23" t="s">
        <v>3518</v>
      </c>
      <c r="D1917" s="22" t="s">
        <v>3545</v>
      </c>
      <c r="E1917" s="24">
        <v>45278</v>
      </c>
      <c r="F1917" s="24">
        <v>45291</v>
      </c>
      <c r="G1917" s="22" t="s">
        <v>14</v>
      </c>
      <c r="H1917" s="25">
        <v>54002</v>
      </c>
      <c r="I1917" s="25">
        <v>1192</v>
      </c>
      <c r="J1917" s="26">
        <v>1308.77</v>
      </c>
      <c r="K1917" s="25">
        <v>159</v>
      </c>
      <c r="L1917" s="21" t="s">
        <v>17</v>
      </c>
      <c r="M1917" s="22" t="s">
        <v>3537</v>
      </c>
      <c r="N1917" s="27">
        <f t="shared" si="232"/>
        <v>13</v>
      </c>
      <c r="O1917" s="28">
        <f t="shared" si="233"/>
        <v>2.2073256546053851E-2</v>
      </c>
      <c r="P1917" s="28">
        <f t="shared" si="234"/>
        <v>0.13338926174496643</v>
      </c>
      <c r="Q1917" s="26">
        <f t="shared" si="235"/>
        <v>1.0979614093959731</v>
      </c>
      <c r="R1917" s="29">
        <f t="shared" si="236"/>
        <v>8.2312578616352194</v>
      </c>
      <c r="S1917" s="30">
        <f t="shared" si="237"/>
        <v>12</v>
      </c>
      <c r="T1917" s="30">
        <f t="shared" si="238"/>
        <v>2023</v>
      </c>
      <c r="U1917" s="29" t="str">
        <f t="shared" si="239"/>
        <v>December</v>
      </c>
    </row>
    <row r="1918" spans="1:21" ht="17.399999999999999" x14ac:dyDescent="0.3">
      <c r="A1918" s="21" t="s">
        <v>3011</v>
      </c>
      <c r="B1918" s="21" t="s">
        <v>3012</v>
      </c>
      <c r="C1918" s="23" t="s">
        <v>3518</v>
      </c>
      <c r="D1918" s="21" t="s">
        <v>3521</v>
      </c>
      <c r="E1918" s="24">
        <v>45278</v>
      </c>
      <c r="F1918" s="24">
        <v>45308</v>
      </c>
      <c r="G1918" s="22" t="s">
        <v>3535</v>
      </c>
      <c r="H1918" s="25">
        <v>3396</v>
      </c>
      <c r="I1918" s="25">
        <v>95</v>
      </c>
      <c r="J1918" s="26">
        <v>65.19</v>
      </c>
      <c r="K1918" s="25">
        <v>17</v>
      </c>
      <c r="L1918" s="21" t="s">
        <v>21</v>
      </c>
      <c r="M1918" s="22" t="s">
        <v>3535</v>
      </c>
      <c r="N1918" s="27">
        <f t="shared" si="232"/>
        <v>30</v>
      </c>
      <c r="O1918" s="28">
        <f t="shared" si="233"/>
        <v>2.7974087161366314E-2</v>
      </c>
      <c r="P1918" s="28">
        <f t="shared" si="234"/>
        <v>0.17894736842105263</v>
      </c>
      <c r="Q1918" s="26">
        <f t="shared" si="235"/>
        <v>0.68621052631578949</v>
      </c>
      <c r="R1918" s="29">
        <f t="shared" si="236"/>
        <v>3.834705882352941</v>
      </c>
      <c r="S1918" s="30">
        <f t="shared" si="237"/>
        <v>12</v>
      </c>
      <c r="T1918" s="30">
        <f t="shared" si="238"/>
        <v>2023</v>
      </c>
      <c r="U1918" s="29" t="str">
        <f t="shared" si="239"/>
        <v>December</v>
      </c>
    </row>
    <row r="1919" spans="1:21" ht="17.399999999999999" x14ac:dyDescent="0.3">
      <c r="A1919" s="21" t="s">
        <v>2278</v>
      </c>
      <c r="B1919" s="21" t="s">
        <v>2279</v>
      </c>
      <c r="C1919" s="23" t="s">
        <v>3516</v>
      </c>
      <c r="D1919" s="21" t="s">
        <v>3517</v>
      </c>
      <c r="E1919" s="24">
        <v>45278</v>
      </c>
      <c r="F1919" s="24">
        <v>45299</v>
      </c>
      <c r="G1919" s="22" t="s">
        <v>14</v>
      </c>
      <c r="H1919" s="25">
        <v>94607</v>
      </c>
      <c r="I1919" s="25">
        <v>4468</v>
      </c>
      <c r="J1919" s="26">
        <v>2786.28</v>
      </c>
      <c r="K1919" s="25">
        <v>578</v>
      </c>
      <c r="L1919" s="21" t="s">
        <v>17</v>
      </c>
      <c r="M1919" s="22" t="s">
        <v>3537</v>
      </c>
      <c r="N1919" s="27">
        <f t="shared" si="232"/>
        <v>21</v>
      </c>
      <c r="O1919" s="28">
        <f t="shared" si="233"/>
        <v>4.7226949380067017E-2</v>
      </c>
      <c r="P1919" s="28">
        <f t="shared" si="234"/>
        <v>0.12936436884512087</v>
      </c>
      <c r="Q1919" s="26">
        <f t="shared" si="235"/>
        <v>0.62360787824529995</v>
      </c>
      <c r="R1919" s="29">
        <f t="shared" si="236"/>
        <v>4.820553633217993</v>
      </c>
      <c r="S1919" s="30">
        <f t="shared" si="237"/>
        <v>12</v>
      </c>
      <c r="T1919" s="30">
        <f t="shared" si="238"/>
        <v>2023</v>
      </c>
      <c r="U1919" s="29" t="str">
        <f t="shared" si="239"/>
        <v>December</v>
      </c>
    </row>
    <row r="1920" spans="1:21" ht="17.399999999999999" x14ac:dyDescent="0.3">
      <c r="A1920" s="21" t="s">
        <v>691</v>
      </c>
      <c r="B1920" s="21" t="s">
        <v>692</v>
      </c>
      <c r="C1920" s="23" t="s">
        <v>3515</v>
      </c>
      <c r="D1920" s="21" t="s">
        <v>3520</v>
      </c>
      <c r="E1920" s="24">
        <v>45278</v>
      </c>
      <c r="F1920" s="24">
        <v>45295</v>
      </c>
      <c r="G1920" s="22" t="s">
        <v>3535</v>
      </c>
      <c r="H1920" s="25">
        <v>37631</v>
      </c>
      <c r="I1920" s="25">
        <v>925</v>
      </c>
      <c r="J1920" s="26">
        <v>1094.67</v>
      </c>
      <c r="K1920" s="25">
        <v>0</v>
      </c>
      <c r="L1920" s="21" t="s">
        <v>21</v>
      </c>
      <c r="M1920" s="22" t="s">
        <v>3535</v>
      </c>
      <c r="N1920" s="27">
        <f t="shared" si="232"/>
        <v>17</v>
      </c>
      <c r="O1920" s="28">
        <f t="shared" si="233"/>
        <v>2.4580797746538759E-2</v>
      </c>
      <c r="P1920" s="28">
        <f t="shared" si="234"/>
        <v>0</v>
      </c>
      <c r="Q1920" s="26">
        <f t="shared" si="235"/>
        <v>1.1834270270270271</v>
      </c>
      <c r="R1920" s="29" t="str">
        <f t="shared" si="236"/>
        <v>0</v>
      </c>
      <c r="S1920" s="30">
        <f t="shared" si="237"/>
        <v>12</v>
      </c>
      <c r="T1920" s="30">
        <f t="shared" si="238"/>
        <v>2023</v>
      </c>
      <c r="U1920" s="29" t="str">
        <f t="shared" si="239"/>
        <v>December</v>
      </c>
    </row>
    <row r="1921" spans="1:21" ht="17.399999999999999" x14ac:dyDescent="0.3">
      <c r="A1921" s="21" t="s">
        <v>3244</v>
      </c>
      <c r="B1921" s="21" t="s">
        <v>3245</v>
      </c>
      <c r="C1921" s="23" t="s">
        <v>3515</v>
      </c>
      <c r="D1921" s="21" t="s">
        <v>3520</v>
      </c>
      <c r="E1921" s="24">
        <v>45278</v>
      </c>
      <c r="F1921" s="24">
        <v>45292</v>
      </c>
      <c r="G1921" s="22" t="s">
        <v>14</v>
      </c>
      <c r="H1921" s="25">
        <v>8424</v>
      </c>
      <c r="I1921" s="25">
        <v>327</v>
      </c>
      <c r="J1921" s="26">
        <v>411.38</v>
      </c>
      <c r="K1921" s="25">
        <v>38</v>
      </c>
      <c r="L1921" s="21" t="s">
        <v>17</v>
      </c>
      <c r="M1921" s="22" t="s">
        <v>3537</v>
      </c>
      <c r="N1921" s="27">
        <f t="shared" si="232"/>
        <v>14</v>
      </c>
      <c r="O1921" s="28">
        <f t="shared" si="233"/>
        <v>3.8817663817663821E-2</v>
      </c>
      <c r="P1921" s="28">
        <f t="shared" si="234"/>
        <v>0.11620795107033639</v>
      </c>
      <c r="Q1921" s="26">
        <f t="shared" si="235"/>
        <v>1.2580428134556574</v>
      </c>
      <c r="R1921" s="29">
        <f t="shared" si="236"/>
        <v>10.82578947368421</v>
      </c>
      <c r="S1921" s="30">
        <f t="shared" si="237"/>
        <v>12</v>
      </c>
      <c r="T1921" s="30">
        <f t="shared" si="238"/>
        <v>2023</v>
      </c>
      <c r="U1921" s="29" t="str">
        <f t="shared" si="239"/>
        <v>December</v>
      </c>
    </row>
    <row r="1922" spans="1:21" ht="17.399999999999999" x14ac:dyDescent="0.3">
      <c r="A1922" s="21" t="s">
        <v>1194</v>
      </c>
      <c r="B1922" s="21" t="s">
        <v>1195</v>
      </c>
      <c r="C1922" s="23" t="s">
        <v>3519</v>
      </c>
      <c r="D1922" s="21" t="s">
        <v>3521</v>
      </c>
      <c r="E1922" s="24">
        <v>45279</v>
      </c>
      <c r="F1922" s="24">
        <v>45295</v>
      </c>
      <c r="G1922" s="22" t="s">
        <v>31</v>
      </c>
      <c r="H1922" s="25">
        <v>84460</v>
      </c>
      <c r="I1922" s="25">
        <v>2192</v>
      </c>
      <c r="J1922" s="26">
        <v>3958.64</v>
      </c>
      <c r="K1922" s="25">
        <v>378</v>
      </c>
      <c r="L1922" s="21" t="s">
        <v>17</v>
      </c>
      <c r="M1922" s="22" t="s">
        <v>31</v>
      </c>
      <c r="N1922" s="27">
        <f t="shared" ref="N1922:N1985" si="240">F1922-E1922</f>
        <v>16</v>
      </c>
      <c r="O1922" s="28">
        <f t="shared" ref="O1922:O1985" si="241">I1922/H1922</f>
        <v>2.5953113900071038E-2</v>
      </c>
      <c r="P1922" s="28">
        <f t="shared" ref="P1922:P1985" si="242">K1922/I1922</f>
        <v>0.17244525547445255</v>
      </c>
      <c r="Q1922" s="26">
        <f t="shared" ref="Q1922:Q1985" si="243">J1922/I1922</f>
        <v>1.805948905109489</v>
      </c>
      <c r="R1922" s="29">
        <f t="shared" ref="R1922:R1985" si="244">IFERROR(J1922/K1922,"0")</f>
        <v>10.472592592592592</v>
      </c>
      <c r="S1922" s="30">
        <f t="shared" ref="S1922:S1985" si="245">MONTH(E1922)</f>
        <v>12</v>
      </c>
      <c r="T1922" s="30">
        <f t="shared" ref="T1922:T1985" si="246">YEAR(E1922)</f>
        <v>2023</v>
      </c>
      <c r="U1922" s="29" t="str">
        <f t="shared" ref="U1922:U1985" si="247">TEXT(E1922,"mmmm")</f>
        <v>December</v>
      </c>
    </row>
    <row r="1923" spans="1:21" ht="17.399999999999999" x14ac:dyDescent="0.3">
      <c r="A1923" s="21" t="s">
        <v>2177</v>
      </c>
      <c r="B1923" s="22" t="s">
        <v>4043</v>
      </c>
      <c r="C1923" s="23" t="s">
        <v>3519</v>
      </c>
      <c r="D1923" s="22" t="s">
        <v>3545</v>
      </c>
      <c r="E1923" s="24">
        <v>45279</v>
      </c>
      <c r="F1923" s="24">
        <v>45290</v>
      </c>
      <c r="G1923" s="22" t="s">
        <v>31</v>
      </c>
      <c r="H1923" s="25">
        <v>40224</v>
      </c>
      <c r="I1923" s="25">
        <v>1800</v>
      </c>
      <c r="J1923" s="26">
        <v>3291.97</v>
      </c>
      <c r="K1923" s="25">
        <v>239</v>
      </c>
      <c r="L1923" s="21" t="s">
        <v>17</v>
      </c>
      <c r="M1923" s="22" t="s">
        <v>31</v>
      </c>
      <c r="N1923" s="27">
        <f t="shared" si="240"/>
        <v>11</v>
      </c>
      <c r="O1923" s="28">
        <f t="shared" si="241"/>
        <v>4.4749403341288782E-2</v>
      </c>
      <c r="P1923" s="28">
        <f t="shared" si="242"/>
        <v>0.13277777777777777</v>
      </c>
      <c r="Q1923" s="26">
        <f t="shared" si="243"/>
        <v>1.828872222222222</v>
      </c>
      <c r="R1923" s="29">
        <f t="shared" si="244"/>
        <v>13.773933054393305</v>
      </c>
      <c r="S1923" s="30">
        <f t="shared" si="245"/>
        <v>12</v>
      </c>
      <c r="T1923" s="30">
        <f t="shared" si="246"/>
        <v>2023</v>
      </c>
      <c r="U1923" s="29" t="str">
        <f t="shared" si="247"/>
        <v>December</v>
      </c>
    </row>
    <row r="1924" spans="1:21" ht="17.399999999999999" x14ac:dyDescent="0.3">
      <c r="A1924" s="21" t="s">
        <v>2938</v>
      </c>
      <c r="B1924" s="21" t="s">
        <v>2939</v>
      </c>
      <c r="C1924" s="23" t="s">
        <v>3519</v>
      </c>
      <c r="D1924" s="21" t="s">
        <v>3520</v>
      </c>
      <c r="E1924" s="24">
        <v>45279</v>
      </c>
      <c r="F1924" s="24">
        <v>45302</v>
      </c>
      <c r="G1924" s="22" t="s">
        <v>14</v>
      </c>
      <c r="H1924" s="25">
        <v>55028</v>
      </c>
      <c r="I1924" s="25">
        <v>1926</v>
      </c>
      <c r="J1924" s="26">
        <v>3395.85</v>
      </c>
      <c r="K1924" s="25">
        <v>300</v>
      </c>
      <c r="L1924" s="21" t="s">
        <v>17</v>
      </c>
      <c r="M1924" s="22" t="s">
        <v>3537</v>
      </c>
      <c r="N1924" s="27">
        <f t="shared" si="240"/>
        <v>23</v>
      </c>
      <c r="O1924" s="28">
        <f t="shared" si="241"/>
        <v>3.5000363451333866E-2</v>
      </c>
      <c r="P1924" s="28">
        <f t="shared" si="242"/>
        <v>0.1557632398753894</v>
      </c>
      <c r="Q1924" s="26">
        <f t="shared" si="243"/>
        <v>1.7631619937694702</v>
      </c>
      <c r="R1924" s="29">
        <f t="shared" si="244"/>
        <v>11.3195</v>
      </c>
      <c r="S1924" s="30">
        <f t="shared" si="245"/>
        <v>12</v>
      </c>
      <c r="T1924" s="30">
        <f t="shared" si="246"/>
        <v>2023</v>
      </c>
      <c r="U1924" s="29" t="str">
        <f t="shared" si="247"/>
        <v>December</v>
      </c>
    </row>
    <row r="1925" spans="1:21" ht="17.399999999999999" x14ac:dyDescent="0.3">
      <c r="A1925" s="21" t="s">
        <v>3007</v>
      </c>
      <c r="B1925" s="21" t="s">
        <v>3008</v>
      </c>
      <c r="C1925" s="23" t="s">
        <v>3519</v>
      </c>
      <c r="D1925" s="21" t="s">
        <v>3521</v>
      </c>
      <c r="E1925" s="24">
        <v>45279</v>
      </c>
      <c r="F1925" s="24">
        <v>45288</v>
      </c>
      <c r="G1925" s="22" t="s">
        <v>31</v>
      </c>
      <c r="H1925" s="25">
        <v>46648</v>
      </c>
      <c r="I1925" s="25">
        <v>2173</v>
      </c>
      <c r="J1925" s="26">
        <v>4014.69</v>
      </c>
      <c r="K1925" s="25">
        <v>433</v>
      </c>
      <c r="L1925" s="21" t="s">
        <v>21</v>
      </c>
      <c r="M1925" s="22" t="s">
        <v>31</v>
      </c>
      <c r="N1925" s="27">
        <f t="shared" si="240"/>
        <v>9</v>
      </c>
      <c r="O1925" s="28">
        <f t="shared" si="241"/>
        <v>4.658291888183845E-2</v>
      </c>
      <c r="P1925" s="28">
        <f t="shared" si="242"/>
        <v>0.19926369075011505</v>
      </c>
      <c r="Q1925" s="26">
        <f t="shared" si="243"/>
        <v>1.8475333640128855</v>
      </c>
      <c r="R1925" s="29">
        <f t="shared" si="244"/>
        <v>9.2718013856812931</v>
      </c>
      <c r="S1925" s="30">
        <f t="shared" si="245"/>
        <v>12</v>
      </c>
      <c r="T1925" s="30">
        <f t="shared" si="246"/>
        <v>2023</v>
      </c>
      <c r="U1925" s="29" t="str">
        <f t="shared" si="247"/>
        <v>December</v>
      </c>
    </row>
    <row r="1926" spans="1:21" ht="17.399999999999999" x14ac:dyDescent="0.3">
      <c r="A1926" s="21" t="s">
        <v>1127</v>
      </c>
      <c r="B1926" s="21" t="s">
        <v>1128</v>
      </c>
      <c r="C1926" s="23" t="s">
        <v>3518</v>
      </c>
      <c r="D1926" s="21" t="s">
        <v>3517</v>
      </c>
      <c r="E1926" s="24">
        <v>45279</v>
      </c>
      <c r="F1926" s="24">
        <v>45281</v>
      </c>
      <c r="G1926" s="22" t="s">
        <v>31</v>
      </c>
      <c r="H1926" s="25">
        <v>87900</v>
      </c>
      <c r="I1926" s="25">
        <v>1488</v>
      </c>
      <c r="J1926" s="26">
        <v>824.2</v>
      </c>
      <c r="K1926" s="25">
        <v>275</v>
      </c>
      <c r="L1926" s="21" t="s">
        <v>17</v>
      </c>
      <c r="M1926" s="22" t="s">
        <v>31</v>
      </c>
      <c r="N1926" s="27">
        <f t="shared" si="240"/>
        <v>2</v>
      </c>
      <c r="O1926" s="28">
        <f t="shared" si="241"/>
        <v>1.6928327645051193E-2</v>
      </c>
      <c r="P1926" s="28">
        <f t="shared" si="242"/>
        <v>0.18481182795698925</v>
      </c>
      <c r="Q1926" s="26">
        <f t="shared" si="243"/>
        <v>0.55389784946236564</v>
      </c>
      <c r="R1926" s="29">
        <f t="shared" si="244"/>
        <v>2.9970909090909092</v>
      </c>
      <c r="S1926" s="30">
        <f t="shared" si="245"/>
        <v>12</v>
      </c>
      <c r="T1926" s="30">
        <f t="shared" si="246"/>
        <v>2023</v>
      </c>
      <c r="U1926" s="29" t="str">
        <f t="shared" si="247"/>
        <v>December</v>
      </c>
    </row>
    <row r="1927" spans="1:21" ht="17.399999999999999" x14ac:dyDescent="0.3">
      <c r="A1927" s="21" t="s">
        <v>1695</v>
      </c>
      <c r="B1927" s="21" t="s">
        <v>1696</v>
      </c>
      <c r="C1927" s="23" t="s">
        <v>3518</v>
      </c>
      <c r="D1927" s="21" t="s">
        <v>3521</v>
      </c>
      <c r="E1927" s="24">
        <v>45279</v>
      </c>
      <c r="F1927" s="24">
        <v>45281</v>
      </c>
      <c r="G1927" s="22" t="s">
        <v>11</v>
      </c>
      <c r="H1927" s="25">
        <v>19030</v>
      </c>
      <c r="I1927" s="25">
        <v>192</v>
      </c>
      <c r="J1927" s="26">
        <v>106.97</v>
      </c>
      <c r="K1927" s="25">
        <v>32</v>
      </c>
      <c r="L1927" s="21" t="s">
        <v>21</v>
      </c>
      <c r="M1927" s="22" t="s">
        <v>11</v>
      </c>
      <c r="N1927" s="27">
        <f t="shared" si="240"/>
        <v>2</v>
      </c>
      <c r="O1927" s="28">
        <f t="shared" si="241"/>
        <v>1.0089332632685234E-2</v>
      </c>
      <c r="P1927" s="28">
        <f t="shared" si="242"/>
        <v>0.16666666666666666</v>
      </c>
      <c r="Q1927" s="26">
        <f t="shared" si="243"/>
        <v>0.55713541666666666</v>
      </c>
      <c r="R1927" s="29">
        <f t="shared" si="244"/>
        <v>3.3428125</v>
      </c>
      <c r="S1927" s="30">
        <f t="shared" si="245"/>
        <v>12</v>
      </c>
      <c r="T1927" s="30">
        <f t="shared" si="246"/>
        <v>2023</v>
      </c>
      <c r="U1927" s="29" t="str">
        <f t="shared" si="247"/>
        <v>December</v>
      </c>
    </row>
    <row r="1928" spans="1:21" ht="17.399999999999999" x14ac:dyDescent="0.3">
      <c r="A1928" s="21" t="s">
        <v>1508</v>
      </c>
      <c r="B1928" s="21" t="s">
        <v>1509</v>
      </c>
      <c r="C1928" s="23" t="s">
        <v>3515</v>
      </c>
      <c r="D1928" s="21" t="s">
        <v>3520</v>
      </c>
      <c r="E1928" s="24">
        <v>45279</v>
      </c>
      <c r="F1928" s="24">
        <v>45293</v>
      </c>
      <c r="G1928" s="22" t="s">
        <v>11</v>
      </c>
      <c r="H1928" s="25">
        <v>20758</v>
      </c>
      <c r="I1928" s="25">
        <v>751</v>
      </c>
      <c r="J1928" s="26">
        <v>474.24</v>
      </c>
      <c r="K1928" s="25">
        <v>55</v>
      </c>
      <c r="L1928" s="21" t="s">
        <v>21</v>
      </c>
      <c r="M1928" s="22" t="s">
        <v>11</v>
      </c>
      <c r="N1928" s="27">
        <f t="shared" si="240"/>
        <v>14</v>
      </c>
      <c r="O1928" s="28">
        <f t="shared" si="241"/>
        <v>3.6178822622603336E-2</v>
      </c>
      <c r="P1928" s="28">
        <f t="shared" si="242"/>
        <v>7.3235685752330221E-2</v>
      </c>
      <c r="Q1928" s="26">
        <f t="shared" si="243"/>
        <v>0.63147802929427432</v>
      </c>
      <c r="R1928" s="29">
        <f t="shared" si="244"/>
        <v>8.6225454545454543</v>
      </c>
      <c r="S1928" s="30">
        <f t="shared" si="245"/>
        <v>12</v>
      </c>
      <c r="T1928" s="30">
        <f t="shared" si="246"/>
        <v>2023</v>
      </c>
      <c r="U1928" s="29" t="str">
        <f t="shared" si="247"/>
        <v>December</v>
      </c>
    </row>
    <row r="1929" spans="1:21" ht="17.399999999999999" x14ac:dyDescent="0.3">
      <c r="A1929" s="21" t="s">
        <v>213</v>
      </c>
      <c r="B1929" s="21" t="s">
        <v>214</v>
      </c>
      <c r="C1929" s="23" t="s">
        <v>3519</v>
      </c>
      <c r="D1929" s="21" t="s">
        <v>3521</v>
      </c>
      <c r="E1929" s="24">
        <v>45280</v>
      </c>
      <c r="F1929" s="24">
        <v>45307</v>
      </c>
      <c r="G1929" s="22" t="s">
        <v>14</v>
      </c>
      <c r="H1929" s="25">
        <v>53251</v>
      </c>
      <c r="I1929" s="25">
        <v>1032</v>
      </c>
      <c r="J1929" s="26">
        <v>1201.8599999999999</v>
      </c>
      <c r="K1929" s="25">
        <v>70</v>
      </c>
      <c r="L1929" s="21" t="s">
        <v>21</v>
      </c>
      <c r="M1929" s="22" t="s">
        <v>3537</v>
      </c>
      <c r="N1929" s="27">
        <f t="shared" si="240"/>
        <v>27</v>
      </c>
      <c r="O1929" s="28">
        <f t="shared" si="241"/>
        <v>1.9379917748023511E-2</v>
      </c>
      <c r="P1929" s="28">
        <f t="shared" si="242"/>
        <v>6.7829457364341081E-2</v>
      </c>
      <c r="Q1929" s="26">
        <f t="shared" si="243"/>
        <v>1.1645930232558139</v>
      </c>
      <c r="R1929" s="29">
        <f t="shared" si="244"/>
        <v>17.169428571428568</v>
      </c>
      <c r="S1929" s="30">
        <f t="shared" si="245"/>
        <v>12</v>
      </c>
      <c r="T1929" s="30">
        <f t="shared" si="246"/>
        <v>2023</v>
      </c>
      <c r="U1929" s="29" t="str">
        <f t="shared" si="247"/>
        <v>December</v>
      </c>
    </row>
    <row r="1930" spans="1:21" ht="17.399999999999999" x14ac:dyDescent="0.3">
      <c r="A1930" s="21" t="s">
        <v>2142</v>
      </c>
      <c r="B1930" s="21" t="s">
        <v>2143</v>
      </c>
      <c r="C1930" s="23" t="s">
        <v>3519</v>
      </c>
      <c r="D1930" s="21" t="s">
        <v>3521</v>
      </c>
      <c r="E1930" s="24">
        <v>45280</v>
      </c>
      <c r="F1930" s="24">
        <v>45296</v>
      </c>
      <c r="G1930" s="22" t="s">
        <v>31</v>
      </c>
      <c r="H1930" s="25">
        <v>4797</v>
      </c>
      <c r="I1930" s="25">
        <v>61</v>
      </c>
      <c r="J1930" s="26">
        <v>36.659999999999997</v>
      </c>
      <c r="K1930" s="25">
        <v>7</v>
      </c>
      <c r="L1930" s="21" t="s">
        <v>17</v>
      </c>
      <c r="M1930" s="22" t="s">
        <v>31</v>
      </c>
      <c r="N1930" s="27">
        <f t="shared" si="240"/>
        <v>16</v>
      </c>
      <c r="O1930" s="28">
        <f t="shared" si="241"/>
        <v>1.2716281008963937E-2</v>
      </c>
      <c r="P1930" s="28">
        <f t="shared" si="242"/>
        <v>0.11475409836065574</v>
      </c>
      <c r="Q1930" s="26">
        <f t="shared" si="243"/>
        <v>0.60098360655737704</v>
      </c>
      <c r="R1930" s="29">
        <f t="shared" si="244"/>
        <v>5.2371428571428567</v>
      </c>
      <c r="S1930" s="30">
        <f t="shared" si="245"/>
        <v>12</v>
      </c>
      <c r="T1930" s="30">
        <f t="shared" si="246"/>
        <v>2023</v>
      </c>
      <c r="U1930" s="29" t="str">
        <f t="shared" si="247"/>
        <v>December</v>
      </c>
    </row>
    <row r="1931" spans="1:21" ht="17.399999999999999" x14ac:dyDescent="0.3">
      <c r="A1931" s="21" t="s">
        <v>3105</v>
      </c>
      <c r="B1931" s="21" t="s">
        <v>3106</v>
      </c>
      <c r="C1931" s="23" t="s">
        <v>3519</v>
      </c>
      <c r="D1931" s="21" t="s">
        <v>3521</v>
      </c>
      <c r="E1931" s="24">
        <v>45280</v>
      </c>
      <c r="F1931" s="24">
        <v>45293</v>
      </c>
      <c r="G1931" s="22" t="s">
        <v>31</v>
      </c>
      <c r="H1931" s="25">
        <v>38311</v>
      </c>
      <c r="I1931" s="25">
        <v>1329</v>
      </c>
      <c r="J1931" s="26">
        <v>2097.98</v>
      </c>
      <c r="K1931" s="25">
        <v>75</v>
      </c>
      <c r="L1931" s="21" t="s">
        <v>21</v>
      </c>
      <c r="M1931" s="22" t="s">
        <v>31</v>
      </c>
      <c r="N1931" s="27">
        <f t="shared" si="240"/>
        <v>13</v>
      </c>
      <c r="O1931" s="28">
        <f t="shared" si="241"/>
        <v>3.4689775782412363E-2</v>
      </c>
      <c r="P1931" s="28">
        <f t="shared" si="242"/>
        <v>5.6433408577878104E-2</v>
      </c>
      <c r="Q1931" s="26">
        <f t="shared" si="243"/>
        <v>1.5786155003762228</v>
      </c>
      <c r="R1931" s="29">
        <f t="shared" si="244"/>
        <v>27.973066666666668</v>
      </c>
      <c r="S1931" s="30">
        <f t="shared" si="245"/>
        <v>12</v>
      </c>
      <c r="T1931" s="30">
        <f t="shared" si="246"/>
        <v>2023</v>
      </c>
      <c r="U1931" s="29" t="str">
        <f t="shared" si="247"/>
        <v>December</v>
      </c>
    </row>
    <row r="1932" spans="1:21" ht="17.399999999999999" x14ac:dyDescent="0.3">
      <c r="A1932" s="21" t="s">
        <v>112</v>
      </c>
      <c r="B1932" s="21" t="s">
        <v>113</v>
      </c>
      <c r="C1932" s="23" t="s">
        <v>3518</v>
      </c>
      <c r="D1932" s="21" t="s">
        <v>3521</v>
      </c>
      <c r="E1932" s="24">
        <v>45280</v>
      </c>
      <c r="F1932" s="24">
        <v>45300</v>
      </c>
      <c r="G1932" s="22" t="s">
        <v>11</v>
      </c>
      <c r="H1932" s="25">
        <v>93067</v>
      </c>
      <c r="I1932" s="25">
        <v>3121</v>
      </c>
      <c r="J1932" s="26">
        <v>5719.84</v>
      </c>
      <c r="K1932" s="25">
        <v>396</v>
      </c>
      <c r="L1932" s="21" t="s">
        <v>21</v>
      </c>
      <c r="M1932" s="22" t="s">
        <v>11</v>
      </c>
      <c r="N1932" s="27">
        <f t="shared" si="240"/>
        <v>20</v>
      </c>
      <c r="O1932" s="28">
        <f t="shared" si="241"/>
        <v>3.3534980175572437E-2</v>
      </c>
      <c r="P1932" s="28">
        <f t="shared" si="242"/>
        <v>0.1268824094841397</v>
      </c>
      <c r="Q1932" s="26">
        <f t="shared" si="243"/>
        <v>1.8326946491509133</v>
      </c>
      <c r="R1932" s="29">
        <f t="shared" si="244"/>
        <v>14.444040404040404</v>
      </c>
      <c r="S1932" s="30">
        <f t="shared" si="245"/>
        <v>12</v>
      </c>
      <c r="T1932" s="30">
        <f t="shared" si="246"/>
        <v>2023</v>
      </c>
      <c r="U1932" s="29" t="str">
        <f t="shared" si="247"/>
        <v>December</v>
      </c>
    </row>
    <row r="1933" spans="1:21" ht="17.399999999999999" x14ac:dyDescent="0.3">
      <c r="A1933" s="21" t="s">
        <v>413</v>
      </c>
      <c r="B1933" s="21" t="s">
        <v>414</v>
      </c>
      <c r="C1933" s="23" t="s">
        <v>3518</v>
      </c>
      <c r="D1933" s="21" t="s">
        <v>3520</v>
      </c>
      <c r="E1933" s="24">
        <v>45280</v>
      </c>
      <c r="F1933" s="24">
        <v>45310</v>
      </c>
      <c r="G1933" s="22" t="s">
        <v>16</v>
      </c>
      <c r="H1933" s="25">
        <v>53662</v>
      </c>
      <c r="I1933" s="25">
        <v>911</v>
      </c>
      <c r="J1933" s="26">
        <v>693.6</v>
      </c>
      <c r="K1933" s="25">
        <v>123</v>
      </c>
      <c r="L1933" s="21" t="s">
        <v>21</v>
      </c>
      <c r="M1933" s="22" t="s">
        <v>16</v>
      </c>
      <c r="N1933" s="27">
        <f t="shared" si="240"/>
        <v>30</v>
      </c>
      <c r="O1933" s="28">
        <f t="shared" si="241"/>
        <v>1.6976631508329915E-2</v>
      </c>
      <c r="P1933" s="28">
        <f t="shared" si="242"/>
        <v>0.1350164654226125</v>
      </c>
      <c r="Q1933" s="26">
        <f t="shared" si="243"/>
        <v>0.76136114160263446</v>
      </c>
      <c r="R1933" s="29">
        <f t="shared" si="244"/>
        <v>5.639024390243903</v>
      </c>
      <c r="S1933" s="30">
        <f t="shared" si="245"/>
        <v>12</v>
      </c>
      <c r="T1933" s="30">
        <f t="shared" si="246"/>
        <v>2023</v>
      </c>
      <c r="U1933" s="29" t="str">
        <f t="shared" si="247"/>
        <v>December</v>
      </c>
    </row>
    <row r="1934" spans="1:21" ht="17.399999999999999" x14ac:dyDescent="0.3">
      <c r="A1934" s="21" t="s">
        <v>428</v>
      </c>
      <c r="B1934" s="21" t="s">
        <v>429</v>
      </c>
      <c r="C1934" s="23" t="s">
        <v>3518</v>
      </c>
      <c r="D1934" s="21" t="s">
        <v>3521</v>
      </c>
      <c r="E1934" s="24">
        <v>45280</v>
      </c>
      <c r="F1934" s="24">
        <v>45290</v>
      </c>
      <c r="G1934" s="22" t="s">
        <v>3535</v>
      </c>
      <c r="H1934" s="25">
        <v>90045</v>
      </c>
      <c r="I1934" s="25">
        <v>3966</v>
      </c>
      <c r="J1934" s="26">
        <v>3117.63</v>
      </c>
      <c r="K1934" s="25">
        <v>587</v>
      </c>
      <c r="L1934" s="21" t="s">
        <v>21</v>
      </c>
      <c r="M1934" s="22" t="s">
        <v>3535</v>
      </c>
      <c r="N1934" s="27">
        <f t="shared" si="240"/>
        <v>10</v>
      </c>
      <c r="O1934" s="28">
        <f t="shared" si="241"/>
        <v>4.404464434449442E-2</v>
      </c>
      <c r="P1934" s="28">
        <f t="shared" si="242"/>
        <v>0.14800806858295512</v>
      </c>
      <c r="Q1934" s="26">
        <f t="shared" si="243"/>
        <v>0.78608925869894097</v>
      </c>
      <c r="R1934" s="29">
        <f t="shared" si="244"/>
        <v>5.3111243611584333</v>
      </c>
      <c r="S1934" s="30">
        <f t="shared" si="245"/>
        <v>12</v>
      </c>
      <c r="T1934" s="30">
        <f t="shared" si="246"/>
        <v>2023</v>
      </c>
      <c r="U1934" s="29" t="str">
        <f t="shared" si="247"/>
        <v>December</v>
      </c>
    </row>
    <row r="1935" spans="1:21" ht="17.399999999999999" x14ac:dyDescent="0.3">
      <c r="A1935" s="21" t="s">
        <v>1230</v>
      </c>
      <c r="B1935" s="21" t="s">
        <v>1231</v>
      </c>
      <c r="C1935" s="23" t="s">
        <v>3516</v>
      </c>
      <c r="D1935" s="21" t="s">
        <v>3520</v>
      </c>
      <c r="E1935" s="24">
        <v>45280</v>
      </c>
      <c r="F1935" s="24">
        <v>45308</v>
      </c>
      <c r="G1935" s="22" t="s">
        <v>14</v>
      </c>
      <c r="H1935" s="25">
        <v>73124</v>
      </c>
      <c r="I1935" s="25">
        <v>2375</v>
      </c>
      <c r="J1935" s="26">
        <v>4047.66</v>
      </c>
      <c r="K1935" s="25">
        <v>451</v>
      </c>
      <c r="L1935" s="21" t="s">
        <v>21</v>
      </c>
      <c r="M1935" s="22" t="s">
        <v>3537</v>
      </c>
      <c r="N1935" s="27">
        <f t="shared" si="240"/>
        <v>28</v>
      </c>
      <c r="O1935" s="28">
        <f t="shared" si="241"/>
        <v>3.2479076636945464E-2</v>
      </c>
      <c r="P1935" s="28">
        <f t="shared" si="242"/>
        <v>0.18989473684210526</v>
      </c>
      <c r="Q1935" s="26">
        <f t="shared" si="243"/>
        <v>1.704277894736842</v>
      </c>
      <c r="R1935" s="29">
        <f t="shared" si="244"/>
        <v>8.9748558758314854</v>
      </c>
      <c r="S1935" s="30">
        <f t="shared" si="245"/>
        <v>12</v>
      </c>
      <c r="T1935" s="30">
        <f t="shared" si="246"/>
        <v>2023</v>
      </c>
      <c r="U1935" s="29" t="str">
        <f t="shared" si="247"/>
        <v>December</v>
      </c>
    </row>
    <row r="1936" spans="1:21" ht="17.399999999999999" x14ac:dyDescent="0.3">
      <c r="A1936" s="21" t="s">
        <v>2431</v>
      </c>
      <c r="B1936" s="22" t="s">
        <v>4044</v>
      </c>
      <c r="C1936" s="23" t="s">
        <v>3519</v>
      </c>
      <c r="D1936" s="22" t="s">
        <v>3545</v>
      </c>
      <c r="E1936" s="24">
        <v>45281</v>
      </c>
      <c r="F1936" s="24">
        <v>45289</v>
      </c>
      <c r="G1936" s="22" t="s">
        <v>3535</v>
      </c>
      <c r="H1936" s="25">
        <v>87143</v>
      </c>
      <c r="I1936" s="25">
        <v>2204</v>
      </c>
      <c r="J1936" s="26">
        <v>2649.14</v>
      </c>
      <c r="K1936" s="25">
        <v>391</v>
      </c>
      <c r="L1936" s="21" t="s">
        <v>21</v>
      </c>
      <c r="M1936" s="22" t="s">
        <v>3535</v>
      </c>
      <c r="N1936" s="27">
        <f t="shared" si="240"/>
        <v>8</v>
      </c>
      <c r="O1936" s="28">
        <f t="shared" si="241"/>
        <v>2.5291761816783907E-2</v>
      </c>
      <c r="P1936" s="28">
        <f t="shared" si="242"/>
        <v>0.17740471869328495</v>
      </c>
      <c r="Q1936" s="26">
        <f t="shared" si="243"/>
        <v>1.2019691470054445</v>
      </c>
      <c r="R1936" s="29">
        <f t="shared" si="244"/>
        <v>6.7752941176470589</v>
      </c>
      <c r="S1936" s="30">
        <f t="shared" si="245"/>
        <v>12</v>
      </c>
      <c r="T1936" s="30">
        <f t="shared" si="246"/>
        <v>2023</v>
      </c>
      <c r="U1936" s="29" t="str">
        <f t="shared" si="247"/>
        <v>December</v>
      </c>
    </row>
    <row r="1937" spans="1:21" ht="17.399999999999999" x14ac:dyDescent="0.3">
      <c r="A1937" s="21" t="s">
        <v>2431</v>
      </c>
      <c r="B1937" s="22" t="s">
        <v>4044</v>
      </c>
      <c r="C1937" s="23" t="s">
        <v>3519</v>
      </c>
      <c r="D1937" s="22" t="s">
        <v>3545</v>
      </c>
      <c r="E1937" s="24">
        <v>45281</v>
      </c>
      <c r="F1937" s="24">
        <v>45289</v>
      </c>
      <c r="G1937" s="22" t="s">
        <v>16</v>
      </c>
      <c r="H1937" s="25">
        <v>87143</v>
      </c>
      <c r="I1937" s="25">
        <v>2204</v>
      </c>
      <c r="J1937" s="26">
        <v>2649.14</v>
      </c>
      <c r="K1937" s="25">
        <v>391</v>
      </c>
      <c r="L1937" s="21" t="s">
        <v>21</v>
      </c>
      <c r="M1937" s="22" t="s">
        <v>16</v>
      </c>
      <c r="N1937" s="27">
        <f t="shared" si="240"/>
        <v>8</v>
      </c>
      <c r="O1937" s="28">
        <f t="shared" si="241"/>
        <v>2.5291761816783907E-2</v>
      </c>
      <c r="P1937" s="28">
        <f t="shared" si="242"/>
        <v>0.17740471869328495</v>
      </c>
      <c r="Q1937" s="26">
        <f t="shared" si="243"/>
        <v>1.2019691470054445</v>
      </c>
      <c r="R1937" s="29">
        <f t="shared" si="244"/>
        <v>6.7752941176470589</v>
      </c>
      <c r="S1937" s="30">
        <f t="shared" si="245"/>
        <v>12</v>
      </c>
      <c r="T1937" s="30">
        <f t="shared" si="246"/>
        <v>2023</v>
      </c>
      <c r="U1937" s="29" t="str">
        <f t="shared" si="247"/>
        <v>December</v>
      </c>
    </row>
    <row r="1938" spans="1:21" ht="17.399999999999999" x14ac:dyDescent="0.3">
      <c r="A1938" s="21" t="s">
        <v>1023</v>
      </c>
      <c r="B1938" s="21" t="s">
        <v>1024</v>
      </c>
      <c r="C1938" s="23" t="s">
        <v>3518</v>
      </c>
      <c r="D1938" s="21" t="s">
        <v>3521</v>
      </c>
      <c r="E1938" s="24">
        <v>45281</v>
      </c>
      <c r="F1938" s="24">
        <v>45300</v>
      </c>
      <c r="G1938" s="22" t="s">
        <v>11</v>
      </c>
      <c r="H1938" s="25">
        <v>90588</v>
      </c>
      <c r="I1938" s="25">
        <v>3134</v>
      </c>
      <c r="J1938" s="26">
        <v>4660.5200000000004</v>
      </c>
      <c r="K1938" s="25">
        <v>547</v>
      </c>
      <c r="L1938" s="21" t="s">
        <v>21</v>
      </c>
      <c r="M1938" s="22" t="s">
        <v>11</v>
      </c>
      <c r="N1938" s="27">
        <f t="shared" si="240"/>
        <v>19</v>
      </c>
      <c r="O1938" s="28">
        <f t="shared" si="241"/>
        <v>3.459619375634742E-2</v>
      </c>
      <c r="P1938" s="28">
        <f t="shared" si="242"/>
        <v>0.17453733248245054</v>
      </c>
      <c r="Q1938" s="26">
        <f t="shared" si="243"/>
        <v>1.4870835992342055</v>
      </c>
      <c r="R1938" s="29">
        <f t="shared" si="244"/>
        <v>8.5201462522851923</v>
      </c>
      <c r="S1938" s="30">
        <f t="shared" si="245"/>
        <v>12</v>
      </c>
      <c r="T1938" s="30">
        <f t="shared" si="246"/>
        <v>2023</v>
      </c>
      <c r="U1938" s="29" t="str">
        <f t="shared" si="247"/>
        <v>December</v>
      </c>
    </row>
    <row r="1939" spans="1:21" ht="17.399999999999999" x14ac:dyDescent="0.3">
      <c r="A1939" s="21" t="s">
        <v>2424</v>
      </c>
      <c r="B1939" s="21" t="s">
        <v>2425</v>
      </c>
      <c r="C1939" s="23" t="s">
        <v>3515</v>
      </c>
      <c r="D1939" s="21" t="s">
        <v>3520</v>
      </c>
      <c r="E1939" s="24">
        <v>45281</v>
      </c>
      <c r="F1939" s="24">
        <v>45305</v>
      </c>
      <c r="G1939" s="22" t="s">
        <v>31</v>
      </c>
      <c r="H1939" s="25">
        <v>49285</v>
      </c>
      <c r="I1939" s="25">
        <v>752</v>
      </c>
      <c r="J1939" s="26">
        <v>910.68</v>
      </c>
      <c r="K1939" s="25">
        <v>40</v>
      </c>
      <c r="L1939" s="21" t="s">
        <v>17</v>
      </c>
      <c r="M1939" s="22" t="s">
        <v>31</v>
      </c>
      <c r="N1939" s="27">
        <f t="shared" si="240"/>
        <v>24</v>
      </c>
      <c r="O1939" s="28">
        <f t="shared" si="241"/>
        <v>1.5258192147712285E-2</v>
      </c>
      <c r="P1939" s="28">
        <f t="shared" si="242"/>
        <v>5.3191489361702128E-2</v>
      </c>
      <c r="Q1939" s="26">
        <f t="shared" si="243"/>
        <v>1.2110106382978723</v>
      </c>
      <c r="R1939" s="29">
        <f t="shared" si="244"/>
        <v>22.766999999999999</v>
      </c>
      <c r="S1939" s="30">
        <f t="shared" si="245"/>
        <v>12</v>
      </c>
      <c r="T1939" s="30">
        <f t="shared" si="246"/>
        <v>2023</v>
      </c>
      <c r="U1939" s="29" t="str">
        <f t="shared" si="247"/>
        <v>December</v>
      </c>
    </row>
    <row r="1940" spans="1:21" ht="17.399999999999999" x14ac:dyDescent="0.3">
      <c r="A1940" s="21" t="s">
        <v>594</v>
      </c>
      <c r="B1940" s="21" t="s">
        <v>595</v>
      </c>
      <c r="C1940" s="23" t="s">
        <v>3519</v>
      </c>
      <c r="D1940" s="21" t="s">
        <v>3521</v>
      </c>
      <c r="E1940" s="24">
        <v>45282</v>
      </c>
      <c r="F1940" s="24">
        <v>45303</v>
      </c>
      <c r="G1940" s="22" t="s">
        <v>31</v>
      </c>
      <c r="H1940" s="25">
        <v>46525</v>
      </c>
      <c r="I1940" s="25">
        <v>1413</v>
      </c>
      <c r="J1940" s="26">
        <v>2076.9699999999998</v>
      </c>
      <c r="K1940" s="25">
        <v>231</v>
      </c>
      <c r="L1940" s="21" t="s">
        <v>17</v>
      </c>
      <c r="M1940" s="22" t="s">
        <v>31</v>
      </c>
      <c r="N1940" s="27">
        <f t="shared" si="240"/>
        <v>21</v>
      </c>
      <c r="O1940" s="28">
        <f t="shared" si="241"/>
        <v>3.0370768404083825E-2</v>
      </c>
      <c r="P1940" s="28">
        <f t="shared" si="242"/>
        <v>0.16348195329087048</v>
      </c>
      <c r="Q1940" s="26">
        <f t="shared" si="243"/>
        <v>1.4699009200283084</v>
      </c>
      <c r="R1940" s="29">
        <f t="shared" si="244"/>
        <v>8.9912121212121203</v>
      </c>
      <c r="S1940" s="30">
        <f t="shared" si="245"/>
        <v>12</v>
      </c>
      <c r="T1940" s="30">
        <f t="shared" si="246"/>
        <v>2023</v>
      </c>
      <c r="U1940" s="29" t="str">
        <f t="shared" si="247"/>
        <v>December</v>
      </c>
    </row>
    <row r="1941" spans="1:21" ht="17.399999999999999" x14ac:dyDescent="0.3">
      <c r="A1941" s="21" t="s">
        <v>1885</v>
      </c>
      <c r="B1941" s="22" t="s">
        <v>4045</v>
      </c>
      <c r="C1941" s="23" t="s">
        <v>3519</v>
      </c>
      <c r="D1941" s="22" t="s">
        <v>3545</v>
      </c>
      <c r="E1941" s="24">
        <v>45282</v>
      </c>
      <c r="F1941" s="24">
        <v>45283</v>
      </c>
      <c r="G1941" s="22" t="s">
        <v>14</v>
      </c>
      <c r="H1941" s="25">
        <v>35387</v>
      </c>
      <c r="I1941" s="25">
        <v>910</v>
      </c>
      <c r="J1941" s="26">
        <v>1516.71</v>
      </c>
      <c r="K1941" s="25">
        <v>159</v>
      </c>
      <c r="L1941" s="21" t="s">
        <v>17</v>
      </c>
      <c r="M1941" s="22" t="s">
        <v>3537</v>
      </c>
      <c r="N1941" s="27">
        <f t="shared" si="240"/>
        <v>1</v>
      </c>
      <c r="O1941" s="28">
        <f t="shared" si="241"/>
        <v>2.5715658292593327E-2</v>
      </c>
      <c r="P1941" s="28">
        <f t="shared" si="242"/>
        <v>0.17472527472527472</v>
      </c>
      <c r="Q1941" s="26">
        <f t="shared" si="243"/>
        <v>1.6667142857142858</v>
      </c>
      <c r="R1941" s="29">
        <f t="shared" si="244"/>
        <v>9.5390566037735844</v>
      </c>
      <c r="S1941" s="30">
        <f t="shared" si="245"/>
        <v>12</v>
      </c>
      <c r="T1941" s="30">
        <f t="shared" si="246"/>
        <v>2023</v>
      </c>
      <c r="U1941" s="29" t="str">
        <f t="shared" si="247"/>
        <v>December</v>
      </c>
    </row>
    <row r="1942" spans="1:21" ht="17.399999999999999" x14ac:dyDescent="0.3">
      <c r="A1942" s="21" t="s">
        <v>3172</v>
      </c>
      <c r="B1942" s="21" t="s">
        <v>3173</v>
      </c>
      <c r="C1942" s="23" t="s">
        <v>3518</v>
      </c>
      <c r="D1942" s="21" t="s">
        <v>3517</v>
      </c>
      <c r="E1942" s="24">
        <v>45282</v>
      </c>
      <c r="F1942" s="24">
        <v>45298</v>
      </c>
      <c r="G1942" s="22" t="s">
        <v>14</v>
      </c>
      <c r="H1942" s="25">
        <v>88046</v>
      </c>
      <c r="I1942" s="25">
        <v>3651</v>
      </c>
      <c r="J1942" s="26">
        <v>5896.92</v>
      </c>
      <c r="K1942" s="25">
        <v>0</v>
      </c>
      <c r="L1942" s="21" t="s">
        <v>21</v>
      </c>
      <c r="M1942" s="22" t="s">
        <v>3537</v>
      </c>
      <c r="N1942" s="27">
        <f t="shared" si="240"/>
        <v>16</v>
      </c>
      <c r="O1942" s="28">
        <f t="shared" si="241"/>
        <v>4.1466960452490743E-2</v>
      </c>
      <c r="P1942" s="28">
        <f t="shared" si="242"/>
        <v>0</v>
      </c>
      <c r="Q1942" s="26">
        <f t="shared" si="243"/>
        <v>1.6151520131470831</v>
      </c>
      <c r="R1942" s="29" t="str">
        <f t="shared" si="244"/>
        <v>0</v>
      </c>
      <c r="S1942" s="30">
        <f t="shared" si="245"/>
        <v>12</v>
      </c>
      <c r="T1942" s="30">
        <f t="shared" si="246"/>
        <v>2023</v>
      </c>
      <c r="U1942" s="29" t="str">
        <f t="shared" si="247"/>
        <v>December</v>
      </c>
    </row>
    <row r="1943" spans="1:21" ht="17.399999999999999" x14ac:dyDescent="0.3">
      <c r="A1943" s="21" t="s">
        <v>3181</v>
      </c>
      <c r="B1943" s="21" t="s">
        <v>3182</v>
      </c>
      <c r="C1943" s="23" t="s">
        <v>3518</v>
      </c>
      <c r="D1943" s="21" t="s">
        <v>3521</v>
      </c>
      <c r="E1943" s="24">
        <v>45282</v>
      </c>
      <c r="F1943" s="24">
        <v>45292</v>
      </c>
      <c r="G1943" s="22" t="s">
        <v>14</v>
      </c>
      <c r="H1943" s="25">
        <v>94106</v>
      </c>
      <c r="I1943" s="25">
        <v>2038</v>
      </c>
      <c r="J1943" s="26">
        <v>2223.73</v>
      </c>
      <c r="K1943" s="25">
        <v>326</v>
      </c>
      <c r="L1943" s="21" t="s">
        <v>21</v>
      </c>
      <c r="M1943" s="22" t="s">
        <v>3537</v>
      </c>
      <c r="N1943" s="27">
        <f t="shared" si="240"/>
        <v>10</v>
      </c>
      <c r="O1943" s="28">
        <f t="shared" si="241"/>
        <v>2.1656429983210421E-2</v>
      </c>
      <c r="P1943" s="28">
        <f t="shared" si="242"/>
        <v>0.15996074582924436</v>
      </c>
      <c r="Q1943" s="26">
        <f t="shared" si="243"/>
        <v>1.0911334641805692</v>
      </c>
      <c r="R1943" s="29">
        <f t="shared" si="244"/>
        <v>6.8212576687116568</v>
      </c>
      <c r="S1943" s="30">
        <f t="shared" si="245"/>
        <v>12</v>
      </c>
      <c r="T1943" s="30">
        <f t="shared" si="246"/>
        <v>2023</v>
      </c>
      <c r="U1943" s="29" t="str">
        <f t="shared" si="247"/>
        <v>December</v>
      </c>
    </row>
    <row r="1944" spans="1:21" ht="17.399999999999999" x14ac:dyDescent="0.3">
      <c r="A1944" s="21" t="s">
        <v>3345</v>
      </c>
      <c r="B1944" s="21" t="s">
        <v>3346</v>
      </c>
      <c r="C1944" s="23" t="s">
        <v>3516</v>
      </c>
      <c r="D1944" s="21" t="s">
        <v>3520</v>
      </c>
      <c r="E1944" s="24">
        <v>45282</v>
      </c>
      <c r="F1944" s="24">
        <v>45306</v>
      </c>
      <c r="G1944" s="22" t="s">
        <v>14</v>
      </c>
      <c r="H1944" s="25">
        <v>52195</v>
      </c>
      <c r="I1944" s="25">
        <v>2581</v>
      </c>
      <c r="J1944" s="26">
        <v>3257.02</v>
      </c>
      <c r="K1944" s="25">
        <v>420</v>
      </c>
      <c r="L1944" s="21" t="s">
        <v>17</v>
      </c>
      <c r="M1944" s="22" t="s">
        <v>3537</v>
      </c>
      <c r="N1944" s="27">
        <f t="shared" si="240"/>
        <v>24</v>
      </c>
      <c r="O1944" s="28">
        <f t="shared" si="241"/>
        <v>4.9449180956030271E-2</v>
      </c>
      <c r="P1944" s="28">
        <f t="shared" si="242"/>
        <v>0.16272762495156917</v>
      </c>
      <c r="Q1944" s="26">
        <f t="shared" si="243"/>
        <v>1.2619217357613328</v>
      </c>
      <c r="R1944" s="29">
        <f t="shared" si="244"/>
        <v>7.7548095238095236</v>
      </c>
      <c r="S1944" s="30">
        <f t="shared" si="245"/>
        <v>12</v>
      </c>
      <c r="T1944" s="30">
        <f t="shared" si="246"/>
        <v>2023</v>
      </c>
      <c r="U1944" s="29" t="str">
        <f t="shared" si="247"/>
        <v>December</v>
      </c>
    </row>
    <row r="1945" spans="1:21" ht="17.399999999999999" x14ac:dyDescent="0.3">
      <c r="A1945" s="21" t="s">
        <v>1395</v>
      </c>
      <c r="B1945" s="21" t="s">
        <v>1396</v>
      </c>
      <c r="C1945" s="23" t="s">
        <v>3519</v>
      </c>
      <c r="D1945" s="21" t="s">
        <v>3517</v>
      </c>
      <c r="E1945" s="24">
        <v>45283</v>
      </c>
      <c r="F1945" s="24">
        <v>45306</v>
      </c>
      <c r="G1945" s="22" t="s">
        <v>14</v>
      </c>
      <c r="H1945" s="25">
        <v>2015</v>
      </c>
      <c r="I1945" s="25">
        <v>49</v>
      </c>
      <c r="J1945" s="26">
        <v>53.74</v>
      </c>
      <c r="K1945" s="25">
        <v>4</v>
      </c>
      <c r="L1945" s="21" t="s">
        <v>17</v>
      </c>
      <c r="M1945" s="22" t="s">
        <v>3537</v>
      </c>
      <c r="N1945" s="27">
        <f t="shared" si="240"/>
        <v>23</v>
      </c>
      <c r="O1945" s="28">
        <f t="shared" si="241"/>
        <v>2.4317617866004962E-2</v>
      </c>
      <c r="P1945" s="28">
        <f t="shared" si="242"/>
        <v>8.1632653061224483E-2</v>
      </c>
      <c r="Q1945" s="26">
        <f t="shared" si="243"/>
        <v>1.0967346938775511</v>
      </c>
      <c r="R1945" s="29">
        <f t="shared" si="244"/>
        <v>13.435</v>
      </c>
      <c r="S1945" s="30">
        <f t="shared" si="245"/>
        <v>12</v>
      </c>
      <c r="T1945" s="30">
        <f t="shared" si="246"/>
        <v>2023</v>
      </c>
      <c r="U1945" s="29" t="str">
        <f t="shared" si="247"/>
        <v>December</v>
      </c>
    </row>
    <row r="1946" spans="1:21" ht="17.399999999999999" x14ac:dyDescent="0.3">
      <c r="A1946" s="21" t="s">
        <v>2720</v>
      </c>
      <c r="B1946" s="22" t="s">
        <v>4046</v>
      </c>
      <c r="C1946" s="23" t="s">
        <v>3519</v>
      </c>
      <c r="D1946" s="22" t="s">
        <v>3545</v>
      </c>
      <c r="E1946" s="24">
        <v>45283</v>
      </c>
      <c r="F1946" s="24">
        <v>45289</v>
      </c>
      <c r="G1946" s="22" t="s">
        <v>14</v>
      </c>
      <c r="H1946" s="25">
        <v>20426</v>
      </c>
      <c r="I1946" s="25">
        <v>321</v>
      </c>
      <c r="J1946" s="26">
        <v>492.16</v>
      </c>
      <c r="K1946" s="25">
        <v>23</v>
      </c>
      <c r="L1946" s="21" t="s">
        <v>21</v>
      </c>
      <c r="M1946" s="22" t="s">
        <v>3537</v>
      </c>
      <c r="N1946" s="27">
        <f t="shared" si="240"/>
        <v>6</v>
      </c>
      <c r="O1946" s="28">
        <f t="shared" si="241"/>
        <v>1.5715264858513659E-2</v>
      </c>
      <c r="P1946" s="28">
        <f t="shared" si="242"/>
        <v>7.1651090342679122E-2</v>
      </c>
      <c r="Q1946" s="26">
        <f t="shared" si="243"/>
        <v>1.533208722741433</v>
      </c>
      <c r="R1946" s="29">
        <f t="shared" si="244"/>
        <v>21.398260869565217</v>
      </c>
      <c r="S1946" s="30">
        <f t="shared" si="245"/>
        <v>12</v>
      </c>
      <c r="T1946" s="30">
        <f t="shared" si="246"/>
        <v>2023</v>
      </c>
      <c r="U1946" s="29" t="str">
        <f t="shared" si="247"/>
        <v>December</v>
      </c>
    </row>
    <row r="1947" spans="1:21" ht="17.399999999999999" x14ac:dyDescent="0.3">
      <c r="A1947" s="21" t="s">
        <v>3187</v>
      </c>
      <c r="B1947" s="22" t="s">
        <v>4047</v>
      </c>
      <c r="C1947" s="23" t="s">
        <v>3519</v>
      </c>
      <c r="D1947" s="22" t="s">
        <v>3545</v>
      </c>
      <c r="E1947" s="24">
        <v>45283</v>
      </c>
      <c r="F1947" s="24">
        <v>45289</v>
      </c>
      <c r="G1947" s="22" t="s">
        <v>3535</v>
      </c>
      <c r="H1947" s="25">
        <v>97214</v>
      </c>
      <c r="I1947" s="25">
        <v>1774</v>
      </c>
      <c r="J1947" s="26">
        <v>980.71</v>
      </c>
      <c r="K1947" s="25">
        <v>214</v>
      </c>
      <c r="L1947" s="21" t="s">
        <v>17</v>
      </c>
      <c r="M1947" s="22" t="s">
        <v>3535</v>
      </c>
      <c r="N1947" s="27">
        <f t="shared" si="240"/>
        <v>6</v>
      </c>
      <c r="O1947" s="28">
        <f t="shared" si="241"/>
        <v>1.8248400436151172E-2</v>
      </c>
      <c r="P1947" s="28">
        <f t="shared" si="242"/>
        <v>0.12063134160090191</v>
      </c>
      <c r="Q1947" s="26">
        <f t="shared" si="243"/>
        <v>0.55282412626832023</v>
      </c>
      <c r="R1947" s="29">
        <f t="shared" si="244"/>
        <v>4.5827570093457943</v>
      </c>
      <c r="S1947" s="30">
        <f t="shared" si="245"/>
        <v>12</v>
      </c>
      <c r="T1947" s="30">
        <f t="shared" si="246"/>
        <v>2023</v>
      </c>
      <c r="U1947" s="29" t="str">
        <f t="shared" si="247"/>
        <v>December</v>
      </c>
    </row>
    <row r="1948" spans="1:21" ht="17.399999999999999" x14ac:dyDescent="0.3">
      <c r="A1948" s="21" t="s">
        <v>679</v>
      </c>
      <c r="B1948" s="21" t="s">
        <v>680</v>
      </c>
      <c r="C1948" s="23" t="s">
        <v>3516</v>
      </c>
      <c r="D1948" s="21" t="s">
        <v>3517</v>
      </c>
      <c r="E1948" s="24">
        <v>45283</v>
      </c>
      <c r="F1948" s="24">
        <v>45295</v>
      </c>
      <c r="G1948" s="22" t="s">
        <v>14</v>
      </c>
      <c r="H1948" s="25">
        <v>27641</v>
      </c>
      <c r="I1948" s="25">
        <v>1245</v>
      </c>
      <c r="J1948" s="26">
        <v>1779.63</v>
      </c>
      <c r="K1948" s="25">
        <v>147</v>
      </c>
      <c r="L1948" s="21" t="s">
        <v>21</v>
      </c>
      <c r="M1948" s="22" t="s">
        <v>3537</v>
      </c>
      <c r="N1948" s="27">
        <f t="shared" si="240"/>
        <v>12</v>
      </c>
      <c r="O1948" s="28">
        <f t="shared" si="241"/>
        <v>4.5041785753048007E-2</v>
      </c>
      <c r="P1948" s="28">
        <f t="shared" si="242"/>
        <v>0.1180722891566265</v>
      </c>
      <c r="Q1948" s="26">
        <f t="shared" si="243"/>
        <v>1.429421686746988</v>
      </c>
      <c r="R1948" s="29">
        <f t="shared" si="244"/>
        <v>12.106326530612245</v>
      </c>
      <c r="S1948" s="30">
        <f t="shared" si="245"/>
        <v>12</v>
      </c>
      <c r="T1948" s="30">
        <f t="shared" si="246"/>
        <v>2023</v>
      </c>
      <c r="U1948" s="29" t="str">
        <f t="shared" si="247"/>
        <v>December</v>
      </c>
    </row>
    <row r="1949" spans="1:21" ht="17.399999999999999" x14ac:dyDescent="0.3">
      <c r="A1949" s="21" t="s">
        <v>1476</v>
      </c>
      <c r="B1949" s="21" t="s">
        <v>1477</v>
      </c>
      <c r="C1949" s="23" t="s">
        <v>3516</v>
      </c>
      <c r="D1949" s="21" t="s">
        <v>3520</v>
      </c>
      <c r="E1949" s="24">
        <v>45283</v>
      </c>
      <c r="F1949" s="24">
        <v>45285</v>
      </c>
      <c r="G1949" s="22" t="s">
        <v>11</v>
      </c>
      <c r="H1949" s="25">
        <v>37187</v>
      </c>
      <c r="I1949" s="25">
        <v>996</v>
      </c>
      <c r="J1949" s="26">
        <v>635.6</v>
      </c>
      <c r="K1949" s="25">
        <v>80</v>
      </c>
      <c r="L1949" s="21" t="s">
        <v>21</v>
      </c>
      <c r="M1949" s="22" t="s">
        <v>11</v>
      </c>
      <c r="N1949" s="27">
        <f t="shared" si="240"/>
        <v>2</v>
      </c>
      <c r="O1949" s="28">
        <f t="shared" si="241"/>
        <v>2.6783553392314519E-2</v>
      </c>
      <c r="P1949" s="28">
        <f t="shared" si="242"/>
        <v>8.0321285140562249E-2</v>
      </c>
      <c r="Q1949" s="26">
        <f t="shared" si="243"/>
        <v>0.63815261044176708</v>
      </c>
      <c r="R1949" s="29">
        <f t="shared" si="244"/>
        <v>7.9450000000000003</v>
      </c>
      <c r="S1949" s="30">
        <f t="shared" si="245"/>
        <v>12</v>
      </c>
      <c r="T1949" s="30">
        <f t="shared" si="246"/>
        <v>2023</v>
      </c>
      <c r="U1949" s="29" t="str">
        <f t="shared" si="247"/>
        <v>December</v>
      </c>
    </row>
    <row r="1950" spans="1:21" ht="17.399999999999999" x14ac:dyDescent="0.3">
      <c r="A1950" s="21" t="s">
        <v>2063</v>
      </c>
      <c r="B1950" s="21" t="s">
        <v>2064</v>
      </c>
      <c r="C1950" s="23" t="s">
        <v>3516</v>
      </c>
      <c r="D1950" s="21" t="s">
        <v>3520</v>
      </c>
      <c r="E1950" s="24">
        <v>45283</v>
      </c>
      <c r="F1950" s="24">
        <v>45288</v>
      </c>
      <c r="G1950" s="22" t="s">
        <v>16</v>
      </c>
      <c r="H1950" s="25">
        <v>65435</v>
      </c>
      <c r="I1950" s="25">
        <v>1809</v>
      </c>
      <c r="J1950" s="26">
        <v>2023.56</v>
      </c>
      <c r="K1950" s="25">
        <v>155</v>
      </c>
      <c r="L1950" s="21" t="s">
        <v>21</v>
      </c>
      <c r="M1950" s="22" t="s">
        <v>16</v>
      </c>
      <c r="N1950" s="27">
        <f t="shared" si="240"/>
        <v>5</v>
      </c>
      <c r="O1950" s="28">
        <f t="shared" si="241"/>
        <v>2.7645755329716512E-2</v>
      </c>
      <c r="P1950" s="28">
        <f t="shared" si="242"/>
        <v>8.5682697622996129E-2</v>
      </c>
      <c r="Q1950" s="26">
        <f t="shared" si="243"/>
        <v>1.1186069651741293</v>
      </c>
      <c r="R1950" s="29">
        <f t="shared" si="244"/>
        <v>13.055225806451613</v>
      </c>
      <c r="S1950" s="30">
        <f t="shared" si="245"/>
        <v>12</v>
      </c>
      <c r="T1950" s="30">
        <f t="shared" si="246"/>
        <v>2023</v>
      </c>
      <c r="U1950" s="29" t="str">
        <f t="shared" si="247"/>
        <v>December</v>
      </c>
    </row>
    <row r="1951" spans="1:21" ht="17.399999999999999" x14ac:dyDescent="0.3">
      <c r="A1951" s="21" t="s">
        <v>2091</v>
      </c>
      <c r="B1951" s="21" t="s">
        <v>2092</v>
      </c>
      <c r="C1951" s="23" t="s">
        <v>3516</v>
      </c>
      <c r="D1951" s="21" t="s">
        <v>3517</v>
      </c>
      <c r="E1951" s="24">
        <v>45283</v>
      </c>
      <c r="F1951" s="24">
        <v>45303</v>
      </c>
      <c r="G1951" s="22" t="s">
        <v>11</v>
      </c>
      <c r="H1951" s="25">
        <v>56318</v>
      </c>
      <c r="I1951" s="25">
        <v>1235</v>
      </c>
      <c r="J1951" s="26">
        <v>811.41</v>
      </c>
      <c r="K1951" s="25">
        <v>126</v>
      </c>
      <c r="L1951" s="21" t="s">
        <v>21</v>
      </c>
      <c r="M1951" s="22" t="s">
        <v>11</v>
      </c>
      <c r="N1951" s="27">
        <f t="shared" si="240"/>
        <v>20</v>
      </c>
      <c r="O1951" s="28">
        <f t="shared" si="241"/>
        <v>2.1929045775773287E-2</v>
      </c>
      <c r="P1951" s="28">
        <f t="shared" si="242"/>
        <v>0.10202429149797571</v>
      </c>
      <c r="Q1951" s="26">
        <f t="shared" si="243"/>
        <v>0.65701214574898781</v>
      </c>
      <c r="R1951" s="29">
        <f t="shared" si="244"/>
        <v>6.4397619047619044</v>
      </c>
      <c r="S1951" s="30">
        <f t="shared" si="245"/>
        <v>12</v>
      </c>
      <c r="T1951" s="30">
        <f t="shared" si="246"/>
        <v>2023</v>
      </c>
      <c r="U1951" s="29" t="str">
        <f t="shared" si="247"/>
        <v>December</v>
      </c>
    </row>
    <row r="1952" spans="1:21" ht="17.399999999999999" x14ac:dyDescent="0.3">
      <c r="A1952" s="21" t="s">
        <v>2147</v>
      </c>
      <c r="B1952" s="22" t="s">
        <v>4048</v>
      </c>
      <c r="C1952" s="23" t="s">
        <v>3516</v>
      </c>
      <c r="D1952" s="22" t="s">
        <v>3545</v>
      </c>
      <c r="E1952" s="24">
        <v>45283</v>
      </c>
      <c r="F1952" s="24">
        <v>45300</v>
      </c>
      <c r="G1952" s="22" t="s">
        <v>31</v>
      </c>
      <c r="H1952" s="25">
        <v>35560</v>
      </c>
      <c r="I1952" s="25">
        <v>1524</v>
      </c>
      <c r="J1952" s="26">
        <v>2414.94</v>
      </c>
      <c r="K1952" s="25">
        <v>0</v>
      </c>
      <c r="L1952" s="21" t="s">
        <v>21</v>
      </c>
      <c r="M1952" s="22" t="s">
        <v>31</v>
      </c>
      <c r="N1952" s="27">
        <f t="shared" si="240"/>
        <v>17</v>
      </c>
      <c r="O1952" s="28">
        <f t="shared" si="241"/>
        <v>4.2857142857142858E-2</v>
      </c>
      <c r="P1952" s="28">
        <f t="shared" si="242"/>
        <v>0</v>
      </c>
      <c r="Q1952" s="26">
        <f t="shared" si="243"/>
        <v>1.5846062992125984</v>
      </c>
      <c r="R1952" s="29" t="str">
        <f t="shared" si="244"/>
        <v>0</v>
      </c>
      <c r="S1952" s="30">
        <f t="shared" si="245"/>
        <v>12</v>
      </c>
      <c r="T1952" s="30">
        <f t="shared" si="246"/>
        <v>2023</v>
      </c>
      <c r="U1952" s="29" t="str">
        <f t="shared" si="247"/>
        <v>December</v>
      </c>
    </row>
    <row r="1953" spans="1:21" ht="17.399999999999999" x14ac:dyDescent="0.3">
      <c r="A1953" s="21" t="s">
        <v>2469</v>
      </c>
      <c r="B1953" s="21" t="s">
        <v>2470</v>
      </c>
      <c r="C1953" s="23" t="s">
        <v>3516</v>
      </c>
      <c r="D1953" s="21" t="s">
        <v>3520</v>
      </c>
      <c r="E1953" s="24">
        <v>45283</v>
      </c>
      <c r="F1953" s="24">
        <v>45310</v>
      </c>
      <c r="G1953" s="22" t="s">
        <v>3535</v>
      </c>
      <c r="H1953" s="25">
        <v>39243</v>
      </c>
      <c r="I1953" s="25">
        <v>1507</v>
      </c>
      <c r="J1953" s="26">
        <v>1913.09</v>
      </c>
      <c r="K1953" s="25">
        <v>79</v>
      </c>
      <c r="L1953" s="21" t="s">
        <v>21</v>
      </c>
      <c r="M1953" s="22" t="s">
        <v>3535</v>
      </c>
      <c r="N1953" s="27">
        <f t="shared" si="240"/>
        <v>27</v>
      </c>
      <c r="O1953" s="28">
        <f t="shared" si="241"/>
        <v>3.840175317891089E-2</v>
      </c>
      <c r="P1953" s="28">
        <f t="shared" si="242"/>
        <v>5.2422030524220307E-2</v>
      </c>
      <c r="Q1953" s="26">
        <f t="shared" si="243"/>
        <v>1.2694691439946915</v>
      </c>
      <c r="R1953" s="29">
        <f t="shared" si="244"/>
        <v>24.216329113924051</v>
      </c>
      <c r="S1953" s="30">
        <f t="shared" si="245"/>
        <v>12</v>
      </c>
      <c r="T1953" s="30">
        <f t="shared" si="246"/>
        <v>2023</v>
      </c>
      <c r="U1953" s="29" t="str">
        <f t="shared" si="247"/>
        <v>December</v>
      </c>
    </row>
    <row r="1954" spans="1:21" ht="17.399999999999999" x14ac:dyDescent="0.3">
      <c r="A1954" s="21" t="s">
        <v>302</v>
      </c>
      <c r="B1954" s="22" t="s">
        <v>4049</v>
      </c>
      <c r="C1954" s="23" t="s">
        <v>3515</v>
      </c>
      <c r="D1954" s="22" t="s">
        <v>3545</v>
      </c>
      <c r="E1954" s="24">
        <v>45283</v>
      </c>
      <c r="F1954" s="24">
        <v>45288</v>
      </c>
      <c r="G1954" s="22" t="s">
        <v>11</v>
      </c>
      <c r="H1954" s="25">
        <v>96003</v>
      </c>
      <c r="I1954" s="25">
        <v>3214</v>
      </c>
      <c r="J1954" s="26">
        <v>4936.7700000000004</v>
      </c>
      <c r="K1954" s="25">
        <v>161</v>
      </c>
      <c r="L1954" s="21" t="s">
        <v>21</v>
      </c>
      <c r="M1954" s="22" t="s">
        <v>11</v>
      </c>
      <c r="N1954" s="27">
        <f t="shared" si="240"/>
        <v>5</v>
      </c>
      <c r="O1954" s="28">
        <f t="shared" si="241"/>
        <v>3.3478120475401808E-2</v>
      </c>
      <c r="P1954" s="28">
        <f t="shared" si="242"/>
        <v>5.0093341630367147E-2</v>
      </c>
      <c r="Q1954" s="26">
        <f t="shared" si="243"/>
        <v>1.5360205351586809</v>
      </c>
      <c r="R1954" s="29">
        <f t="shared" si="244"/>
        <v>30.663167701863358</v>
      </c>
      <c r="S1954" s="30">
        <f t="shared" si="245"/>
        <v>12</v>
      </c>
      <c r="T1954" s="30">
        <f t="shared" si="246"/>
        <v>2023</v>
      </c>
      <c r="U1954" s="29" t="str">
        <f t="shared" si="247"/>
        <v>December</v>
      </c>
    </row>
    <row r="1955" spans="1:21" ht="17.399999999999999" x14ac:dyDescent="0.3">
      <c r="A1955" s="21" t="s">
        <v>3466</v>
      </c>
      <c r="B1955" s="21" t="s">
        <v>3467</v>
      </c>
      <c r="C1955" s="23" t="s">
        <v>3519</v>
      </c>
      <c r="D1955" s="21" t="s">
        <v>3517</v>
      </c>
      <c r="E1955" s="24">
        <v>45284</v>
      </c>
      <c r="F1955" s="24">
        <v>45311</v>
      </c>
      <c r="G1955" s="22" t="s">
        <v>24</v>
      </c>
      <c r="H1955" s="25">
        <v>99818</v>
      </c>
      <c r="I1955" s="25">
        <v>3819</v>
      </c>
      <c r="J1955" s="26">
        <v>4829.07</v>
      </c>
      <c r="K1955" s="25">
        <v>465</v>
      </c>
      <c r="L1955" s="21" t="s">
        <v>17</v>
      </c>
      <c r="M1955" s="22" t="s">
        <v>3536</v>
      </c>
      <c r="N1955" s="27">
        <f t="shared" si="240"/>
        <v>27</v>
      </c>
      <c r="O1955" s="28">
        <f t="shared" si="241"/>
        <v>3.8259632531206796E-2</v>
      </c>
      <c r="P1955" s="28">
        <f t="shared" si="242"/>
        <v>0.12175962293794187</v>
      </c>
      <c r="Q1955" s="26">
        <f t="shared" si="243"/>
        <v>1.2644854673998429</v>
      </c>
      <c r="R1955" s="29">
        <f t="shared" si="244"/>
        <v>10.385096774193547</v>
      </c>
      <c r="S1955" s="30">
        <f t="shared" si="245"/>
        <v>12</v>
      </c>
      <c r="T1955" s="30">
        <f t="shared" si="246"/>
        <v>2023</v>
      </c>
      <c r="U1955" s="29" t="str">
        <f t="shared" si="247"/>
        <v>December</v>
      </c>
    </row>
    <row r="1956" spans="1:21" ht="17.399999999999999" x14ac:dyDescent="0.3">
      <c r="A1956" s="21" t="s">
        <v>1979</v>
      </c>
      <c r="B1956" s="21" t="s">
        <v>1980</v>
      </c>
      <c r="C1956" s="23" t="s">
        <v>3518</v>
      </c>
      <c r="D1956" s="21" t="s">
        <v>3520</v>
      </c>
      <c r="E1956" s="24">
        <v>45284</v>
      </c>
      <c r="F1956" s="24">
        <v>45295</v>
      </c>
      <c r="G1956" s="22" t="s">
        <v>31</v>
      </c>
      <c r="H1956" s="25">
        <v>35016</v>
      </c>
      <c r="I1956" s="25">
        <v>1343</v>
      </c>
      <c r="J1956" s="26">
        <v>705.09</v>
      </c>
      <c r="K1956" s="25">
        <v>192</v>
      </c>
      <c r="L1956" s="21" t="s">
        <v>17</v>
      </c>
      <c r="M1956" s="22" t="s">
        <v>31</v>
      </c>
      <c r="N1956" s="27">
        <f t="shared" si="240"/>
        <v>11</v>
      </c>
      <c r="O1956" s="28">
        <f t="shared" si="241"/>
        <v>3.8353895362120173E-2</v>
      </c>
      <c r="P1956" s="28">
        <f t="shared" si="242"/>
        <v>0.14296351451973194</v>
      </c>
      <c r="Q1956" s="26">
        <f t="shared" si="243"/>
        <v>0.5250111690245719</v>
      </c>
      <c r="R1956" s="29">
        <f t="shared" si="244"/>
        <v>3.67234375</v>
      </c>
      <c r="S1956" s="30">
        <f t="shared" si="245"/>
        <v>12</v>
      </c>
      <c r="T1956" s="30">
        <f t="shared" si="246"/>
        <v>2023</v>
      </c>
      <c r="U1956" s="29" t="str">
        <f t="shared" si="247"/>
        <v>December</v>
      </c>
    </row>
    <row r="1957" spans="1:21" ht="17.399999999999999" x14ac:dyDescent="0.3">
      <c r="A1957" s="21" t="s">
        <v>3133</v>
      </c>
      <c r="B1957" s="22" t="s">
        <v>4050</v>
      </c>
      <c r="C1957" s="23" t="s">
        <v>3518</v>
      </c>
      <c r="D1957" s="22" t="s">
        <v>3545</v>
      </c>
      <c r="E1957" s="24">
        <v>45284</v>
      </c>
      <c r="F1957" s="24">
        <v>45296</v>
      </c>
      <c r="G1957" s="22" t="s">
        <v>24</v>
      </c>
      <c r="H1957" s="25">
        <v>14507</v>
      </c>
      <c r="I1957" s="25">
        <v>551</v>
      </c>
      <c r="J1957" s="26">
        <v>702.49</v>
      </c>
      <c r="K1957" s="25">
        <v>36</v>
      </c>
      <c r="L1957" s="21" t="s">
        <v>21</v>
      </c>
      <c r="M1957" s="22" t="s">
        <v>3536</v>
      </c>
      <c r="N1957" s="27">
        <f t="shared" si="240"/>
        <v>12</v>
      </c>
      <c r="O1957" s="28">
        <f t="shared" si="241"/>
        <v>3.7981664024264152E-2</v>
      </c>
      <c r="P1957" s="28">
        <f t="shared" si="242"/>
        <v>6.5335753176043551E-2</v>
      </c>
      <c r="Q1957" s="26">
        <f t="shared" si="243"/>
        <v>1.2749364791288567</v>
      </c>
      <c r="R1957" s="29">
        <f t="shared" si="244"/>
        <v>19.513611111111111</v>
      </c>
      <c r="S1957" s="30">
        <f t="shared" si="245"/>
        <v>12</v>
      </c>
      <c r="T1957" s="30">
        <f t="shared" si="246"/>
        <v>2023</v>
      </c>
      <c r="U1957" s="29" t="str">
        <f t="shared" si="247"/>
        <v>December</v>
      </c>
    </row>
    <row r="1958" spans="1:21" ht="17.399999999999999" x14ac:dyDescent="0.3">
      <c r="A1958" s="21" t="s">
        <v>1466</v>
      </c>
      <c r="B1958" s="21" t="s">
        <v>1467</v>
      </c>
      <c r="C1958" s="23" t="s">
        <v>3516</v>
      </c>
      <c r="D1958" s="21" t="s">
        <v>3520</v>
      </c>
      <c r="E1958" s="24">
        <v>45284</v>
      </c>
      <c r="F1958" s="24">
        <v>45303</v>
      </c>
      <c r="G1958" s="22" t="s">
        <v>11</v>
      </c>
      <c r="H1958" s="25">
        <v>58091</v>
      </c>
      <c r="I1958" s="25">
        <v>2625</v>
      </c>
      <c r="J1958" s="26">
        <v>2488.96</v>
      </c>
      <c r="K1958" s="25">
        <v>200</v>
      </c>
      <c r="L1958" s="21" t="s">
        <v>17</v>
      </c>
      <c r="M1958" s="22" t="s">
        <v>11</v>
      </c>
      <c r="N1958" s="27">
        <f t="shared" si="240"/>
        <v>19</v>
      </c>
      <c r="O1958" s="28">
        <f t="shared" si="241"/>
        <v>4.5187722710919073E-2</v>
      </c>
      <c r="P1958" s="28">
        <f t="shared" si="242"/>
        <v>7.6190476190476197E-2</v>
      </c>
      <c r="Q1958" s="26">
        <f t="shared" si="243"/>
        <v>0.94817523809523807</v>
      </c>
      <c r="R1958" s="29">
        <f t="shared" si="244"/>
        <v>12.444800000000001</v>
      </c>
      <c r="S1958" s="30">
        <f t="shared" si="245"/>
        <v>12</v>
      </c>
      <c r="T1958" s="30">
        <f t="shared" si="246"/>
        <v>2023</v>
      </c>
      <c r="U1958" s="29" t="str">
        <f t="shared" si="247"/>
        <v>December</v>
      </c>
    </row>
    <row r="1959" spans="1:21" ht="17.399999999999999" x14ac:dyDescent="0.3">
      <c r="A1959" s="21" t="s">
        <v>2925</v>
      </c>
      <c r="B1959" s="22" t="s">
        <v>4051</v>
      </c>
      <c r="C1959" s="23" t="s">
        <v>3516</v>
      </c>
      <c r="D1959" s="22" t="s">
        <v>3545</v>
      </c>
      <c r="E1959" s="24">
        <v>45284</v>
      </c>
      <c r="F1959" s="24">
        <v>45311</v>
      </c>
      <c r="G1959" s="22" t="s">
        <v>11</v>
      </c>
      <c r="H1959" s="25">
        <v>43874</v>
      </c>
      <c r="I1959" s="25">
        <v>1285</v>
      </c>
      <c r="J1959" s="26">
        <v>1993.42</v>
      </c>
      <c r="K1959" s="25">
        <v>135</v>
      </c>
      <c r="L1959" s="21" t="s">
        <v>21</v>
      </c>
      <c r="M1959" s="22" t="s">
        <v>11</v>
      </c>
      <c r="N1959" s="27">
        <f t="shared" si="240"/>
        <v>27</v>
      </c>
      <c r="O1959" s="28">
        <f t="shared" si="241"/>
        <v>2.9288416830013219E-2</v>
      </c>
      <c r="P1959" s="28">
        <f t="shared" si="242"/>
        <v>0.10505836575875487</v>
      </c>
      <c r="Q1959" s="26">
        <f t="shared" si="243"/>
        <v>1.5512996108949417</v>
      </c>
      <c r="R1959" s="29">
        <f t="shared" si="244"/>
        <v>14.766074074074075</v>
      </c>
      <c r="S1959" s="30">
        <f t="shared" si="245"/>
        <v>12</v>
      </c>
      <c r="T1959" s="30">
        <f t="shared" si="246"/>
        <v>2023</v>
      </c>
      <c r="U1959" s="29" t="str">
        <f t="shared" si="247"/>
        <v>December</v>
      </c>
    </row>
    <row r="1960" spans="1:21" ht="17.399999999999999" x14ac:dyDescent="0.3">
      <c r="A1960" s="21" t="s">
        <v>1826</v>
      </c>
      <c r="B1960" s="21" t="s">
        <v>1827</v>
      </c>
      <c r="C1960" s="23" t="s">
        <v>3515</v>
      </c>
      <c r="D1960" s="21" t="s">
        <v>3521</v>
      </c>
      <c r="E1960" s="24">
        <v>45284</v>
      </c>
      <c r="F1960" s="24">
        <v>45296</v>
      </c>
      <c r="G1960" s="22" t="s">
        <v>11</v>
      </c>
      <c r="H1960" s="25">
        <v>54441</v>
      </c>
      <c r="I1960" s="25">
        <v>2158</v>
      </c>
      <c r="J1960" s="26">
        <v>2422.7600000000002</v>
      </c>
      <c r="K1960" s="25">
        <v>252</v>
      </c>
      <c r="L1960" s="21" t="s">
        <v>21</v>
      </c>
      <c r="M1960" s="22" t="s">
        <v>11</v>
      </c>
      <c r="N1960" s="27">
        <f t="shared" si="240"/>
        <v>12</v>
      </c>
      <c r="O1960" s="28">
        <f t="shared" si="241"/>
        <v>3.963924248268768E-2</v>
      </c>
      <c r="P1960" s="28">
        <f t="shared" si="242"/>
        <v>0.11677479147358666</v>
      </c>
      <c r="Q1960" s="26">
        <f t="shared" si="243"/>
        <v>1.1226876737720113</v>
      </c>
      <c r="R1960" s="29">
        <f t="shared" si="244"/>
        <v>9.614126984126985</v>
      </c>
      <c r="S1960" s="30">
        <f t="shared" si="245"/>
        <v>12</v>
      </c>
      <c r="T1960" s="30">
        <f t="shared" si="246"/>
        <v>2023</v>
      </c>
      <c r="U1960" s="29" t="str">
        <f t="shared" si="247"/>
        <v>December</v>
      </c>
    </row>
    <row r="1961" spans="1:21" ht="17.399999999999999" x14ac:dyDescent="0.3">
      <c r="A1961" s="21" t="s">
        <v>670</v>
      </c>
      <c r="B1961" s="21" t="s">
        <v>671</v>
      </c>
      <c r="C1961" s="23" t="s">
        <v>3519</v>
      </c>
      <c r="D1961" s="21" t="s">
        <v>3517</v>
      </c>
      <c r="E1961" s="24">
        <v>45285</v>
      </c>
      <c r="F1961" s="24">
        <v>45292</v>
      </c>
      <c r="G1961" s="22" t="s">
        <v>31</v>
      </c>
      <c r="H1961" s="25">
        <v>66726</v>
      </c>
      <c r="I1961" s="25">
        <v>880</v>
      </c>
      <c r="J1961" s="26">
        <v>1280.97</v>
      </c>
      <c r="K1961" s="25">
        <v>44</v>
      </c>
      <c r="L1961" s="21" t="s">
        <v>21</v>
      </c>
      <c r="M1961" s="22" t="s">
        <v>31</v>
      </c>
      <c r="N1961" s="27">
        <f t="shared" si="240"/>
        <v>7</v>
      </c>
      <c r="O1961" s="28">
        <f t="shared" si="241"/>
        <v>1.3188262446422684E-2</v>
      </c>
      <c r="P1961" s="28">
        <f t="shared" si="242"/>
        <v>0.05</v>
      </c>
      <c r="Q1961" s="26">
        <f t="shared" si="243"/>
        <v>1.4556477272727273</v>
      </c>
      <c r="R1961" s="29">
        <f t="shared" si="244"/>
        <v>29.112954545454546</v>
      </c>
      <c r="S1961" s="30">
        <f t="shared" si="245"/>
        <v>12</v>
      </c>
      <c r="T1961" s="30">
        <f t="shared" si="246"/>
        <v>2023</v>
      </c>
      <c r="U1961" s="29" t="str">
        <f t="shared" si="247"/>
        <v>December</v>
      </c>
    </row>
    <row r="1962" spans="1:21" ht="17.399999999999999" x14ac:dyDescent="0.3">
      <c r="A1962" s="21" t="s">
        <v>1204</v>
      </c>
      <c r="B1962" s="21" t="s">
        <v>1205</v>
      </c>
      <c r="C1962" s="23" t="s">
        <v>3519</v>
      </c>
      <c r="D1962" s="21" t="s">
        <v>3517</v>
      </c>
      <c r="E1962" s="24">
        <v>45285</v>
      </c>
      <c r="F1962" s="24">
        <v>45288</v>
      </c>
      <c r="G1962" s="22" t="s">
        <v>24</v>
      </c>
      <c r="H1962" s="25">
        <v>43348</v>
      </c>
      <c r="I1962" s="25">
        <v>496</v>
      </c>
      <c r="J1962" s="26">
        <v>408.89</v>
      </c>
      <c r="K1962" s="25">
        <v>85</v>
      </c>
      <c r="L1962" s="21" t="s">
        <v>17</v>
      </c>
      <c r="M1962" s="22" t="s">
        <v>3536</v>
      </c>
      <c r="N1962" s="27">
        <f t="shared" si="240"/>
        <v>3</v>
      </c>
      <c r="O1962" s="28">
        <f t="shared" si="241"/>
        <v>1.1442281074097997E-2</v>
      </c>
      <c r="P1962" s="28">
        <f t="shared" si="242"/>
        <v>0.17137096774193547</v>
      </c>
      <c r="Q1962" s="26">
        <f t="shared" si="243"/>
        <v>0.82437499999999997</v>
      </c>
      <c r="R1962" s="29">
        <f t="shared" si="244"/>
        <v>4.8104705882352938</v>
      </c>
      <c r="S1962" s="30">
        <f t="shared" si="245"/>
        <v>12</v>
      </c>
      <c r="T1962" s="30">
        <f t="shared" si="246"/>
        <v>2023</v>
      </c>
      <c r="U1962" s="29" t="str">
        <f t="shared" si="247"/>
        <v>December</v>
      </c>
    </row>
    <row r="1963" spans="1:21" ht="17.399999999999999" x14ac:dyDescent="0.3">
      <c r="A1963" s="21" t="s">
        <v>3334</v>
      </c>
      <c r="B1963" s="21" t="s">
        <v>3335</v>
      </c>
      <c r="C1963" s="23" t="s">
        <v>3516</v>
      </c>
      <c r="D1963" s="21" t="s">
        <v>3521</v>
      </c>
      <c r="E1963" s="24">
        <v>45285</v>
      </c>
      <c r="F1963" s="24">
        <v>45286</v>
      </c>
      <c r="G1963" s="22" t="s">
        <v>11</v>
      </c>
      <c r="H1963" s="25">
        <v>63046</v>
      </c>
      <c r="I1963" s="25">
        <v>1051</v>
      </c>
      <c r="J1963" s="26">
        <v>970.57</v>
      </c>
      <c r="K1963" s="25">
        <v>0</v>
      </c>
      <c r="L1963" s="21" t="s">
        <v>21</v>
      </c>
      <c r="M1963" s="22" t="s">
        <v>11</v>
      </c>
      <c r="N1963" s="27">
        <f t="shared" si="240"/>
        <v>1</v>
      </c>
      <c r="O1963" s="28">
        <f t="shared" si="241"/>
        <v>1.6670367668051897E-2</v>
      </c>
      <c r="P1963" s="28">
        <f t="shared" si="242"/>
        <v>0</v>
      </c>
      <c r="Q1963" s="26">
        <f t="shared" si="243"/>
        <v>0.92347288296860142</v>
      </c>
      <c r="R1963" s="29" t="str">
        <f t="shared" si="244"/>
        <v>0</v>
      </c>
      <c r="S1963" s="30">
        <f t="shared" si="245"/>
        <v>12</v>
      </c>
      <c r="T1963" s="30">
        <f t="shared" si="246"/>
        <v>2023</v>
      </c>
      <c r="U1963" s="29" t="str">
        <f t="shared" si="247"/>
        <v>December</v>
      </c>
    </row>
    <row r="1964" spans="1:21" ht="17.399999999999999" x14ac:dyDescent="0.3">
      <c r="A1964" s="21" t="s">
        <v>1896</v>
      </c>
      <c r="B1964" s="22" t="s">
        <v>4052</v>
      </c>
      <c r="C1964" s="23" t="s">
        <v>3515</v>
      </c>
      <c r="D1964" s="22" t="s">
        <v>3545</v>
      </c>
      <c r="E1964" s="24">
        <v>45285</v>
      </c>
      <c r="F1964" s="24">
        <v>45315</v>
      </c>
      <c r="G1964" s="22" t="s">
        <v>16</v>
      </c>
      <c r="H1964" s="25">
        <v>80767</v>
      </c>
      <c r="I1964" s="25">
        <v>3269</v>
      </c>
      <c r="J1964" s="26">
        <v>4523.71</v>
      </c>
      <c r="K1964" s="25">
        <v>380</v>
      </c>
      <c r="L1964" s="21" t="s">
        <v>17</v>
      </c>
      <c r="M1964" s="22" t="s">
        <v>16</v>
      </c>
      <c r="N1964" s="27">
        <f t="shared" si="240"/>
        <v>30</v>
      </c>
      <c r="O1964" s="28">
        <f t="shared" si="241"/>
        <v>4.0474451199128354E-2</v>
      </c>
      <c r="P1964" s="28">
        <f t="shared" si="242"/>
        <v>0.11624349954114407</v>
      </c>
      <c r="Q1964" s="26">
        <f t="shared" si="243"/>
        <v>1.3838207402875498</v>
      </c>
      <c r="R1964" s="29">
        <f t="shared" si="244"/>
        <v>11.904500000000001</v>
      </c>
      <c r="S1964" s="30">
        <f t="shared" si="245"/>
        <v>12</v>
      </c>
      <c r="T1964" s="30">
        <f t="shared" si="246"/>
        <v>2023</v>
      </c>
      <c r="U1964" s="29" t="str">
        <f t="shared" si="247"/>
        <v>December</v>
      </c>
    </row>
    <row r="1965" spans="1:21" ht="17.399999999999999" x14ac:dyDescent="0.3">
      <c r="A1965" s="21" t="s">
        <v>742</v>
      </c>
      <c r="B1965" s="21" t="s">
        <v>743</v>
      </c>
      <c r="C1965" s="23" t="s">
        <v>3519</v>
      </c>
      <c r="D1965" s="21" t="s">
        <v>3521</v>
      </c>
      <c r="E1965" s="24">
        <v>45286</v>
      </c>
      <c r="F1965" s="24">
        <v>45299</v>
      </c>
      <c r="G1965" s="22" t="s">
        <v>24</v>
      </c>
      <c r="H1965" s="25">
        <v>92083</v>
      </c>
      <c r="I1965" s="25">
        <v>2694</v>
      </c>
      <c r="J1965" s="26">
        <v>2063.0300000000002</v>
      </c>
      <c r="K1965" s="25">
        <v>308</v>
      </c>
      <c r="L1965" s="21" t="s">
        <v>21</v>
      </c>
      <c r="M1965" s="22" t="s">
        <v>3536</v>
      </c>
      <c r="N1965" s="27">
        <f t="shared" si="240"/>
        <v>13</v>
      </c>
      <c r="O1965" s="28">
        <f t="shared" si="241"/>
        <v>2.9256214502133945E-2</v>
      </c>
      <c r="P1965" s="28">
        <f t="shared" si="242"/>
        <v>0.11432813659985153</v>
      </c>
      <c r="Q1965" s="26">
        <f t="shared" si="243"/>
        <v>0.76578693392724584</v>
      </c>
      <c r="R1965" s="29">
        <f t="shared" si="244"/>
        <v>6.6981493506493512</v>
      </c>
      <c r="S1965" s="30">
        <f t="shared" si="245"/>
        <v>12</v>
      </c>
      <c r="T1965" s="30">
        <f t="shared" si="246"/>
        <v>2023</v>
      </c>
      <c r="U1965" s="29" t="str">
        <f t="shared" si="247"/>
        <v>December</v>
      </c>
    </row>
    <row r="1966" spans="1:21" ht="17.399999999999999" x14ac:dyDescent="0.3">
      <c r="A1966" s="21" t="s">
        <v>53</v>
      </c>
      <c r="B1966" s="21" t="s">
        <v>54</v>
      </c>
      <c r="C1966" s="23" t="s">
        <v>3518</v>
      </c>
      <c r="D1966" s="21" t="s">
        <v>3517</v>
      </c>
      <c r="E1966" s="24">
        <v>45286</v>
      </c>
      <c r="F1966" s="24">
        <v>45293</v>
      </c>
      <c r="G1966" s="22" t="s">
        <v>31</v>
      </c>
      <c r="H1966" s="25">
        <v>54707</v>
      </c>
      <c r="I1966" s="25">
        <v>1735</v>
      </c>
      <c r="J1966" s="26">
        <v>2428.4</v>
      </c>
      <c r="K1966" s="25">
        <v>0</v>
      </c>
      <c r="L1966" s="21" t="s">
        <v>21</v>
      </c>
      <c r="M1966" s="22" t="s">
        <v>31</v>
      </c>
      <c r="N1966" s="27">
        <f t="shared" si="240"/>
        <v>7</v>
      </c>
      <c r="O1966" s="28">
        <f t="shared" si="241"/>
        <v>3.1714405834719503E-2</v>
      </c>
      <c r="P1966" s="28">
        <f t="shared" si="242"/>
        <v>0</v>
      </c>
      <c r="Q1966" s="26">
        <f t="shared" si="243"/>
        <v>1.3996541786743517</v>
      </c>
      <c r="R1966" s="29" t="str">
        <f t="shared" si="244"/>
        <v>0</v>
      </c>
      <c r="S1966" s="30">
        <f t="shared" si="245"/>
        <v>12</v>
      </c>
      <c r="T1966" s="30">
        <f t="shared" si="246"/>
        <v>2023</v>
      </c>
      <c r="U1966" s="29" t="str">
        <f t="shared" si="247"/>
        <v>December</v>
      </c>
    </row>
    <row r="1967" spans="1:21" ht="17.399999999999999" x14ac:dyDescent="0.3">
      <c r="A1967" s="21" t="s">
        <v>410</v>
      </c>
      <c r="B1967" s="22" t="s">
        <v>4053</v>
      </c>
      <c r="C1967" s="23" t="s">
        <v>3516</v>
      </c>
      <c r="D1967" s="22" t="s">
        <v>3545</v>
      </c>
      <c r="E1967" s="24">
        <v>45286</v>
      </c>
      <c r="F1967" s="24">
        <v>45311</v>
      </c>
      <c r="G1967" s="22" t="s">
        <v>24</v>
      </c>
      <c r="H1967" s="25">
        <v>88455</v>
      </c>
      <c r="I1967" s="25">
        <v>2984</v>
      </c>
      <c r="J1967" s="26">
        <v>2851.02</v>
      </c>
      <c r="K1967" s="25">
        <v>583</v>
      </c>
      <c r="L1967" s="21" t="s">
        <v>21</v>
      </c>
      <c r="M1967" s="22" t="s">
        <v>3536</v>
      </c>
      <c r="N1967" s="27">
        <f t="shared" si="240"/>
        <v>25</v>
      </c>
      <c r="O1967" s="28">
        <f t="shared" si="241"/>
        <v>3.3734667344977674E-2</v>
      </c>
      <c r="P1967" s="28">
        <f t="shared" si="242"/>
        <v>0.19537533512064342</v>
      </c>
      <c r="Q1967" s="26">
        <f t="shared" si="243"/>
        <v>0.95543565683646114</v>
      </c>
      <c r="R1967" s="29">
        <f t="shared" si="244"/>
        <v>4.8902572898799317</v>
      </c>
      <c r="S1967" s="30">
        <f t="shared" si="245"/>
        <v>12</v>
      </c>
      <c r="T1967" s="30">
        <f t="shared" si="246"/>
        <v>2023</v>
      </c>
      <c r="U1967" s="29" t="str">
        <f t="shared" si="247"/>
        <v>December</v>
      </c>
    </row>
    <row r="1968" spans="1:21" ht="17.399999999999999" x14ac:dyDescent="0.3">
      <c r="A1968" s="21" t="s">
        <v>2016</v>
      </c>
      <c r="B1968" s="21" t="s">
        <v>2017</v>
      </c>
      <c r="C1968" s="23" t="s">
        <v>3516</v>
      </c>
      <c r="D1968" s="21" t="s">
        <v>3521</v>
      </c>
      <c r="E1968" s="24">
        <v>45286</v>
      </c>
      <c r="F1968" s="24">
        <v>45303</v>
      </c>
      <c r="G1968" s="22" t="s">
        <v>14</v>
      </c>
      <c r="H1968" s="25">
        <v>60379</v>
      </c>
      <c r="I1968" s="25">
        <v>2662</v>
      </c>
      <c r="J1968" s="26">
        <v>4246.58</v>
      </c>
      <c r="K1968" s="25">
        <v>237</v>
      </c>
      <c r="L1968" s="21" t="s">
        <v>17</v>
      </c>
      <c r="M1968" s="22" t="s">
        <v>3537</v>
      </c>
      <c r="N1968" s="27">
        <f t="shared" si="240"/>
        <v>17</v>
      </c>
      <c r="O1968" s="28">
        <f t="shared" si="241"/>
        <v>4.4088176352705413E-2</v>
      </c>
      <c r="P1968" s="28">
        <f t="shared" si="242"/>
        <v>8.9030803906836958E-2</v>
      </c>
      <c r="Q1968" s="26">
        <f t="shared" si="243"/>
        <v>1.5952592036063111</v>
      </c>
      <c r="R1968" s="29">
        <f t="shared" si="244"/>
        <v>17.918059071729957</v>
      </c>
      <c r="S1968" s="30">
        <f t="shared" si="245"/>
        <v>12</v>
      </c>
      <c r="T1968" s="30">
        <f t="shared" si="246"/>
        <v>2023</v>
      </c>
      <c r="U1968" s="29" t="str">
        <f t="shared" si="247"/>
        <v>December</v>
      </c>
    </row>
    <row r="1969" spans="1:21" ht="17.399999999999999" x14ac:dyDescent="0.3">
      <c r="A1969" s="21" t="s">
        <v>2799</v>
      </c>
      <c r="B1969" s="21" t="s">
        <v>2800</v>
      </c>
      <c r="C1969" s="23" t="s">
        <v>3516</v>
      </c>
      <c r="D1969" s="21" t="s">
        <v>3517</v>
      </c>
      <c r="E1969" s="24">
        <v>45286</v>
      </c>
      <c r="F1969" s="24">
        <v>45314</v>
      </c>
      <c r="G1969" s="22" t="s">
        <v>11</v>
      </c>
      <c r="H1969" s="25">
        <v>74972</v>
      </c>
      <c r="I1969" s="25">
        <v>3026</v>
      </c>
      <c r="J1969" s="26">
        <v>5553.78</v>
      </c>
      <c r="K1969" s="25">
        <v>392</v>
      </c>
      <c r="L1969" s="21" t="s">
        <v>21</v>
      </c>
      <c r="M1969" s="22" t="s">
        <v>11</v>
      </c>
      <c r="N1969" s="27">
        <f t="shared" si="240"/>
        <v>28</v>
      </c>
      <c r="O1969" s="28">
        <f t="shared" si="241"/>
        <v>4.036173504775116E-2</v>
      </c>
      <c r="P1969" s="28">
        <f t="shared" si="242"/>
        <v>0.12954395241242564</v>
      </c>
      <c r="Q1969" s="26">
        <f t="shared" si="243"/>
        <v>1.8353536021150032</v>
      </c>
      <c r="R1969" s="29">
        <f t="shared" si="244"/>
        <v>14.16780612244898</v>
      </c>
      <c r="S1969" s="30">
        <f t="shared" si="245"/>
        <v>12</v>
      </c>
      <c r="T1969" s="30">
        <f t="shared" si="246"/>
        <v>2023</v>
      </c>
      <c r="U1969" s="29" t="str">
        <f t="shared" si="247"/>
        <v>December</v>
      </c>
    </row>
    <row r="1970" spans="1:21" ht="17.399999999999999" x14ac:dyDescent="0.3">
      <c r="A1970" s="21" t="s">
        <v>3117</v>
      </c>
      <c r="B1970" s="21" t="s">
        <v>3118</v>
      </c>
      <c r="C1970" s="23" t="s">
        <v>3516</v>
      </c>
      <c r="D1970" s="21" t="s">
        <v>3520</v>
      </c>
      <c r="E1970" s="24">
        <v>45286</v>
      </c>
      <c r="F1970" s="24">
        <v>45300</v>
      </c>
      <c r="G1970" s="22" t="s">
        <v>14</v>
      </c>
      <c r="H1970" s="25">
        <v>43207</v>
      </c>
      <c r="I1970" s="25">
        <v>1827</v>
      </c>
      <c r="J1970" s="26">
        <v>2705.2</v>
      </c>
      <c r="K1970" s="25">
        <v>364</v>
      </c>
      <c r="L1970" s="21" t="s">
        <v>21</v>
      </c>
      <c r="M1970" s="22" t="s">
        <v>3537</v>
      </c>
      <c r="N1970" s="27">
        <f t="shared" si="240"/>
        <v>14</v>
      </c>
      <c r="O1970" s="28">
        <f t="shared" si="241"/>
        <v>4.2284814960538798E-2</v>
      </c>
      <c r="P1970" s="28">
        <f t="shared" si="242"/>
        <v>0.19923371647509577</v>
      </c>
      <c r="Q1970" s="26">
        <f t="shared" si="243"/>
        <v>1.4806787082649151</v>
      </c>
      <c r="R1970" s="29">
        <f t="shared" si="244"/>
        <v>7.4318681318681312</v>
      </c>
      <c r="S1970" s="30">
        <f t="shared" si="245"/>
        <v>12</v>
      </c>
      <c r="T1970" s="30">
        <f t="shared" si="246"/>
        <v>2023</v>
      </c>
      <c r="U1970" s="29" t="str">
        <f t="shared" si="247"/>
        <v>December</v>
      </c>
    </row>
    <row r="1971" spans="1:21" ht="17.399999999999999" x14ac:dyDescent="0.3">
      <c r="A1971" s="21" t="s">
        <v>819</v>
      </c>
      <c r="B1971" s="21" t="s">
        <v>820</v>
      </c>
      <c r="C1971" s="23" t="s">
        <v>3519</v>
      </c>
      <c r="D1971" s="21" t="s">
        <v>3521</v>
      </c>
      <c r="E1971" s="24">
        <v>45287</v>
      </c>
      <c r="F1971" s="24">
        <v>45308</v>
      </c>
      <c r="G1971" s="22" t="s">
        <v>16</v>
      </c>
      <c r="H1971" s="25">
        <v>87672</v>
      </c>
      <c r="I1971" s="25">
        <v>3616</v>
      </c>
      <c r="J1971" s="26">
        <v>6920.98</v>
      </c>
      <c r="K1971" s="25">
        <v>651</v>
      </c>
      <c r="L1971" s="21" t="s">
        <v>21</v>
      </c>
      <c r="M1971" s="22" t="s">
        <v>16</v>
      </c>
      <c r="N1971" s="27">
        <f t="shared" si="240"/>
        <v>21</v>
      </c>
      <c r="O1971" s="28">
        <f t="shared" si="241"/>
        <v>4.1244639109407795E-2</v>
      </c>
      <c r="P1971" s="28">
        <f t="shared" si="242"/>
        <v>0.18003318584070796</v>
      </c>
      <c r="Q1971" s="26">
        <f t="shared" si="243"/>
        <v>1.9139878318584069</v>
      </c>
      <c r="R1971" s="29">
        <f t="shared" si="244"/>
        <v>10.631305683563747</v>
      </c>
      <c r="S1971" s="30">
        <f t="shared" si="245"/>
        <v>12</v>
      </c>
      <c r="T1971" s="30">
        <f t="shared" si="246"/>
        <v>2023</v>
      </c>
      <c r="U1971" s="29" t="str">
        <f t="shared" si="247"/>
        <v>December</v>
      </c>
    </row>
    <row r="1972" spans="1:21" ht="17.399999999999999" x14ac:dyDescent="0.3">
      <c r="A1972" s="21" t="s">
        <v>1064</v>
      </c>
      <c r="B1972" s="21" t="s">
        <v>1065</v>
      </c>
      <c r="C1972" s="23" t="s">
        <v>3519</v>
      </c>
      <c r="D1972" s="21" t="s">
        <v>3517</v>
      </c>
      <c r="E1972" s="24">
        <v>45287</v>
      </c>
      <c r="F1972" s="24">
        <v>45309</v>
      </c>
      <c r="G1972" s="22" t="s">
        <v>31</v>
      </c>
      <c r="H1972" s="25">
        <v>89726</v>
      </c>
      <c r="I1972" s="25">
        <v>904</v>
      </c>
      <c r="J1972" s="26">
        <v>1049.42</v>
      </c>
      <c r="K1972" s="25">
        <v>142</v>
      </c>
      <c r="L1972" s="21" t="s">
        <v>21</v>
      </c>
      <c r="M1972" s="22" t="s">
        <v>31</v>
      </c>
      <c r="N1972" s="27">
        <f t="shared" si="240"/>
        <v>22</v>
      </c>
      <c r="O1972" s="28">
        <f t="shared" si="241"/>
        <v>1.0075117580188574E-2</v>
      </c>
      <c r="P1972" s="28">
        <f t="shared" si="242"/>
        <v>0.15707964601769911</v>
      </c>
      <c r="Q1972" s="26">
        <f t="shared" si="243"/>
        <v>1.1608628318584071</v>
      </c>
      <c r="R1972" s="29">
        <f t="shared" si="244"/>
        <v>7.3902816901408457</v>
      </c>
      <c r="S1972" s="30">
        <f t="shared" si="245"/>
        <v>12</v>
      </c>
      <c r="T1972" s="30">
        <f t="shared" si="246"/>
        <v>2023</v>
      </c>
      <c r="U1972" s="29" t="str">
        <f t="shared" si="247"/>
        <v>December</v>
      </c>
    </row>
    <row r="1973" spans="1:21" ht="17.399999999999999" x14ac:dyDescent="0.3">
      <c r="A1973" s="21" t="s">
        <v>1981</v>
      </c>
      <c r="B1973" s="21" t="s">
        <v>1982</v>
      </c>
      <c r="C1973" s="23" t="s">
        <v>3519</v>
      </c>
      <c r="D1973" s="21" t="s">
        <v>3520</v>
      </c>
      <c r="E1973" s="24">
        <v>45287</v>
      </c>
      <c r="F1973" s="24">
        <v>45312</v>
      </c>
      <c r="G1973" s="22" t="s">
        <v>16</v>
      </c>
      <c r="H1973" s="25">
        <v>12246</v>
      </c>
      <c r="I1973" s="25">
        <v>209</v>
      </c>
      <c r="J1973" s="26">
        <v>165.56</v>
      </c>
      <c r="K1973" s="25">
        <v>23</v>
      </c>
      <c r="L1973" s="21" t="s">
        <v>21</v>
      </c>
      <c r="M1973" s="22" t="s">
        <v>16</v>
      </c>
      <c r="N1973" s="27">
        <f t="shared" si="240"/>
        <v>25</v>
      </c>
      <c r="O1973" s="28">
        <f t="shared" si="241"/>
        <v>1.706679732157439E-2</v>
      </c>
      <c r="P1973" s="28">
        <f t="shared" si="242"/>
        <v>0.11004784688995216</v>
      </c>
      <c r="Q1973" s="26">
        <f t="shared" si="243"/>
        <v>0.79215311004784694</v>
      </c>
      <c r="R1973" s="29">
        <f t="shared" si="244"/>
        <v>7.1982608695652175</v>
      </c>
      <c r="S1973" s="30">
        <f t="shared" si="245"/>
        <v>12</v>
      </c>
      <c r="T1973" s="30">
        <f t="shared" si="246"/>
        <v>2023</v>
      </c>
      <c r="U1973" s="29" t="str">
        <f t="shared" si="247"/>
        <v>December</v>
      </c>
    </row>
    <row r="1974" spans="1:21" ht="17.399999999999999" x14ac:dyDescent="0.3">
      <c r="A1974" s="21" t="s">
        <v>592</v>
      </c>
      <c r="B1974" s="21" t="s">
        <v>593</v>
      </c>
      <c r="C1974" s="23" t="s">
        <v>3518</v>
      </c>
      <c r="D1974" s="21" t="s">
        <v>3517</v>
      </c>
      <c r="E1974" s="24">
        <v>45287</v>
      </c>
      <c r="F1974" s="24">
        <v>45289</v>
      </c>
      <c r="G1974" s="22" t="s">
        <v>11</v>
      </c>
      <c r="H1974" s="25">
        <v>41818</v>
      </c>
      <c r="I1974" s="25">
        <v>818</v>
      </c>
      <c r="J1974" s="26">
        <v>464.77</v>
      </c>
      <c r="K1974" s="25">
        <v>78</v>
      </c>
      <c r="L1974" s="21" t="s">
        <v>17</v>
      </c>
      <c r="M1974" s="22" t="s">
        <v>11</v>
      </c>
      <c r="N1974" s="27">
        <f t="shared" si="240"/>
        <v>2</v>
      </c>
      <c r="O1974" s="28">
        <f t="shared" si="241"/>
        <v>1.9560954612846144E-2</v>
      </c>
      <c r="P1974" s="28">
        <f t="shared" si="242"/>
        <v>9.5354523227383858E-2</v>
      </c>
      <c r="Q1974" s="26">
        <f t="shared" si="243"/>
        <v>0.56817848410757943</v>
      </c>
      <c r="R1974" s="29">
        <f t="shared" si="244"/>
        <v>5.9585897435897435</v>
      </c>
      <c r="S1974" s="30">
        <f t="shared" si="245"/>
        <v>12</v>
      </c>
      <c r="T1974" s="30">
        <f t="shared" si="246"/>
        <v>2023</v>
      </c>
      <c r="U1974" s="29" t="str">
        <f t="shared" si="247"/>
        <v>December</v>
      </c>
    </row>
    <row r="1975" spans="1:21" ht="17.399999999999999" x14ac:dyDescent="0.3">
      <c r="A1975" s="21" t="s">
        <v>1305</v>
      </c>
      <c r="B1975" s="21" t="s">
        <v>1306</v>
      </c>
      <c r="C1975" s="23" t="s">
        <v>3518</v>
      </c>
      <c r="D1975" s="21" t="s">
        <v>3517</v>
      </c>
      <c r="E1975" s="24">
        <v>45287</v>
      </c>
      <c r="F1975" s="24">
        <v>45305</v>
      </c>
      <c r="G1975" s="22" t="s">
        <v>31</v>
      </c>
      <c r="H1975" s="25">
        <v>72726</v>
      </c>
      <c r="I1975" s="25">
        <v>1355</v>
      </c>
      <c r="J1975" s="26">
        <v>1903.49</v>
      </c>
      <c r="K1975" s="25">
        <v>229</v>
      </c>
      <c r="L1975" s="21" t="s">
        <v>21</v>
      </c>
      <c r="M1975" s="22" t="s">
        <v>31</v>
      </c>
      <c r="N1975" s="27">
        <f t="shared" si="240"/>
        <v>18</v>
      </c>
      <c r="O1975" s="28">
        <f t="shared" si="241"/>
        <v>1.8631576052580919E-2</v>
      </c>
      <c r="P1975" s="28">
        <f t="shared" si="242"/>
        <v>0.16900369003690036</v>
      </c>
      <c r="Q1975" s="26">
        <f t="shared" si="243"/>
        <v>1.4047896678966789</v>
      </c>
      <c r="R1975" s="29">
        <f t="shared" si="244"/>
        <v>8.3121834061135367</v>
      </c>
      <c r="S1975" s="30">
        <f t="shared" si="245"/>
        <v>12</v>
      </c>
      <c r="T1975" s="30">
        <f t="shared" si="246"/>
        <v>2023</v>
      </c>
      <c r="U1975" s="29" t="str">
        <f t="shared" si="247"/>
        <v>December</v>
      </c>
    </row>
    <row r="1976" spans="1:21" ht="17.399999999999999" x14ac:dyDescent="0.3">
      <c r="A1976" s="21" t="s">
        <v>2479</v>
      </c>
      <c r="B1976" s="21" t="s">
        <v>2480</v>
      </c>
      <c r="C1976" s="23" t="s">
        <v>3518</v>
      </c>
      <c r="D1976" s="21" t="s">
        <v>3521</v>
      </c>
      <c r="E1976" s="24">
        <v>45287</v>
      </c>
      <c r="F1976" s="24">
        <v>45288</v>
      </c>
      <c r="G1976" s="22" t="s">
        <v>24</v>
      </c>
      <c r="H1976" s="25">
        <v>23180</v>
      </c>
      <c r="I1976" s="25">
        <v>854</v>
      </c>
      <c r="J1976" s="26">
        <v>1549.4</v>
      </c>
      <c r="K1976" s="25">
        <v>44</v>
      </c>
      <c r="L1976" s="21" t="s">
        <v>17</v>
      </c>
      <c r="M1976" s="22" t="s">
        <v>3536</v>
      </c>
      <c r="N1976" s="27">
        <f t="shared" si="240"/>
        <v>1</v>
      </c>
      <c r="O1976" s="28">
        <f t="shared" si="241"/>
        <v>3.6842105263157891E-2</v>
      </c>
      <c r="P1976" s="28">
        <f t="shared" si="242"/>
        <v>5.1522248243559721E-2</v>
      </c>
      <c r="Q1976" s="26">
        <f t="shared" si="243"/>
        <v>1.8142857142857145</v>
      </c>
      <c r="R1976" s="29">
        <f t="shared" si="244"/>
        <v>35.213636363636368</v>
      </c>
      <c r="S1976" s="30">
        <f t="shared" si="245"/>
        <v>12</v>
      </c>
      <c r="T1976" s="30">
        <f t="shared" si="246"/>
        <v>2023</v>
      </c>
      <c r="U1976" s="29" t="str">
        <f t="shared" si="247"/>
        <v>December</v>
      </c>
    </row>
    <row r="1977" spans="1:21" ht="17.399999999999999" x14ac:dyDescent="0.3">
      <c r="A1977" s="21" t="s">
        <v>1919</v>
      </c>
      <c r="B1977" s="21" t="s">
        <v>1920</v>
      </c>
      <c r="C1977" s="23" t="s">
        <v>3515</v>
      </c>
      <c r="D1977" s="21" t="s">
        <v>3520</v>
      </c>
      <c r="E1977" s="24">
        <v>45287</v>
      </c>
      <c r="F1977" s="24">
        <v>45300</v>
      </c>
      <c r="G1977" s="22" t="s">
        <v>16</v>
      </c>
      <c r="H1977" s="25">
        <v>66441</v>
      </c>
      <c r="I1977" s="25">
        <v>2151</v>
      </c>
      <c r="J1977" s="26">
        <v>1369.57</v>
      </c>
      <c r="K1977" s="25">
        <v>204</v>
      </c>
      <c r="L1977" s="21" t="s">
        <v>17</v>
      </c>
      <c r="M1977" s="22" t="s">
        <v>16</v>
      </c>
      <c r="N1977" s="27">
        <f t="shared" si="240"/>
        <v>13</v>
      </c>
      <c r="O1977" s="28">
        <f t="shared" si="241"/>
        <v>3.2374587980313362E-2</v>
      </c>
      <c r="P1977" s="28">
        <f t="shared" si="242"/>
        <v>9.4839609483960946E-2</v>
      </c>
      <c r="Q1977" s="26">
        <f t="shared" si="243"/>
        <v>0.63671315667131567</v>
      </c>
      <c r="R1977" s="29">
        <f t="shared" si="244"/>
        <v>6.7135784313725484</v>
      </c>
      <c r="S1977" s="30">
        <f t="shared" si="245"/>
        <v>12</v>
      </c>
      <c r="T1977" s="30">
        <f t="shared" si="246"/>
        <v>2023</v>
      </c>
      <c r="U1977" s="29" t="str">
        <f t="shared" si="247"/>
        <v>December</v>
      </c>
    </row>
    <row r="1978" spans="1:21" ht="17.399999999999999" x14ac:dyDescent="0.3">
      <c r="A1978" s="21" t="s">
        <v>3267</v>
      </c>
      <c r="B1978" s="21" t="s">
        <v>3268</v>
      </c>
      <c r="C1978" s="23" t="s">
        <v>3515</v>
      </c>
      <c r="D1978" s="21" t="s">
        <v>3521</v>
      </c>
      <c r="E1978" s="24">
        <v>45287</v>
      </c>
      <c r="F1978" s="24">
        <v>45314</v>
      </c>
      <c r="G1978" s="22" t="s">
        <v>14</v>
      </c>
      <c r="H1978" s="25">
        <v>22563</v>
      </c>
      <c r="I1978" s="25">
        <v>956</v>
      </c>
      <c r="J1978" s="26">
        <v>1377.79</v>
      </c>
      <c r="K1978" s="25">
        <v>156</v>
      </c>
      <c r="L1978" s="21" t="s">
        <v>21</v>
      </c>
      <c r="M1978" s="22" t="s">
        <v>3537</v>
      </c>
      <c r="N1978" s="27">
        <f t="shared" si="240"/>
        <v>27</v>
      </c>
      <c r="O1978" s="28">
        <f t="shared" si="241"/>
        <v>4.237025218277711E-2</v>
      </c>
      <c r="P1978" s="28">
        <f t="shared" si="242"/>
        <v>0.16317991631799164</v>
      </c>
      <c r="Q1978" s="26">
        <f t="shared" si="243"/>
        <v>1.4412029288702928</v>
      </c>
      <c r="R1978" s="29">
        <f t="shared" si="244"/>
        <v>8.8319871794871787</v>
      </c>
      <c r="S1978" s="30">
        <f t="shared" si="245"/>
        <v>12</v>
      </c>
      <c r="T1978" s="30">
        <f t="shared" si="246"/>
        <v>2023</v>
      </c>
      <c r="U1978" s="29" t="str">
        <f t="shared" si="247"/>
        <v>December</v>
      </c>
    </row>
    <row r="1979" spans="1:21" ht="17.399999999999999" x14ac:dyDescent="0.3">
      <c r="A1979" s="21" t="s">
        <v>3294</v>
      </c>
      <c r="B1979" s="21" t="s">
        <v>3295</v>
      </c>
      <c r="C1979" s="23" t="s">
        <v>3519</v>
      </c>
      <c r="D1979" s="21" t="s">
        <v>3517</v>
      </c>
      <c r="E1979" s="24">
        <v>45288</v>
      </c>
      <c r="F1979" s="24">
        <v>45301</v>
      </c>
      <c r="G1979" s="22" t="s">
        <v>31</v>
      </c>
      <c r="H1979" s="25">
        <v>53098</v>
      </c>
      <c r="I1979" s="25">
        <v>559</v>
      </c>
      <c r="J1979" s="26">
        <v>992.65</v>
      </c>
      <c r="K1979" s="25">
        <v>63</v>
      </c>
      <c r="L1979" s="21" t="s">
        <v>17</v>
      </c>
      <c r="M1979" s="22" t="s">
        <v>31</v>
      </c>
      <c r="N1979" s="27">
        <f t="shared" si="240"/>
        <v>13</v>
      </c>
      <c r="O1979" s="28">
        <f t="shared" si="241"/>
        <v>1.0527703491656937E-2</v>
      </c>
      <c r="P1979" s="28">
        <f t="shared" si="242"/>
        <v>0.11270125223613596</v>
      </c>
      <c r="Q1979" s="26">
        <f t="shared" si="243"/>
        <v>1.7757602862254025</v>
      </c>
      <c r="R1979" s="29">
        <f t="shared" si="244"/>
        <v>15.756349206349206</v>
      </c>
      <c r="S1979" s="30">
        <f t="shared" si="245"/>
        <v>12</v>
      </c>
      <c r="T1979" s="30">
        <f t="shared" si="246"/>
        <v>2023</v>
      </c>
      <c r="U1979" s="29" t="str">
        <f t="shared" si="247"/>
        <v>December</v>
      </c>
    </row>
    <row r="1980" spans="1:21" ht="17.399999999999999" x14ac:dyDescent="0.3">
      <c r="A1980" s="21" t="s">
        <v>3409</v>
      </c>
      <c r="B1980" s="21" t="s">
        <v>3410</v>
      </c>
      <c r="C1980" s="23" t="s">
        <v>3519</v>
      </c>
      <c r="D1980" s="21" t="s">
        <v>3517</v>
      </c>
      <c r="E1980" s="24">
        <v>45288</v>
      </c>
      <c r="F1980" s="24">
        <v>45299</v>
      </c>
      <c r="G1980" s="22" t="s">
        <v>11</v>
      </c>
      <c r="H1980" s="25">
        <v>99393</v>
      </c>
      <c r="I1980" s="25">
        <v>3766</v>
      </c>
      <c r="J1980" s="26">
        <v>5924.19</v>
      </c>
      <c r="K1980" s="25">
        <v>271</v>
      </c>
      <c r="L1980" s="21" t="s">
        <v>21</v>
      </c>
      <c r="M1980" s="22" t="s">
        <v>11</v>
      </c>
      <c r="N1980" s="27">
        <f t="shared" si="240"/>
        <v>11</v>
      </c>
      <c r="O1980" s="28">
        <f t="shared" si="241"/>
        <v>3.7889992252975561E-2</v>
      </c>
      <c r="P1980" s="28">
        <f t="shared" si="242"/>
        <v>7.1959638874137019E-2</v>
      </c>
      <c r="Q1980" s="26">
        <f t="shared" si="243"/>
        <v>1.5730722251725968</v>
      </c>
      <c r="R1980" s="29">
        <f t="shared" si="244"/>
        <v>21.860479704797047</v>
      </c>
      <c r="S1980" s="30">
        <f t="shared" si="245"/>
        <v>12</v>
      </c>
      <c r="T1980" s="30">
        <f t="shared" si="246"/>
        <v>2023</v>
      </c>
      <c r="U1980" s="29" t="str">
        <f t="shared" si="247"/>
        <v>December</v>
      </c>
    </row>
    <row r="1981" spans="1:21" ht="17.399999999999999" x14ac:dyDescent="0.3">
      <c r="A1981" s="21" t="s">
        <v>472</v>
      </c>
      <c r="B1981" s="21" t="s">
        <v>473</v>
      </c>
      <c r="C1981" s="23" t="s">
        <v>3518</v>
      </c>
      <c r="D1981" s="21" t="s">
        <v>3521</v>
      </c>
      <c r="E1981" s="24">
        <v>45288</v>
      </c>
      <c r="F1981" s="24">
        <v>45294</v>
      </c>
      <c r="G1981" s="22" t="s">
        <v>14</v>
      </c>
      <c r="H1981" s="25">
        <v>89614</v>
      </c>
      <c r="I1981" s="25">
        <v>3493</v>
      </c>
      <c r="J1981" s="26">
        <v>6409.05</v>
      </c>
      <c r="K1981" s="25">
        <v>318</v>
      </c>
      <c r="L1981" s="21" t="s">
        <v>17</v>
      </c>
      <c r="M1981" s="22" t="s">
        <v>3537</v>
      </c>
      <c r="N1981" s="27">
        <f t="shared" si="240"/>
        <v>6</v>
      </c>
      <c r="O1981" s="28">
        <f t="shared" si="241"/>
        <v>3.8978284643024524E-2</v>
      </c>
      <c r="P1981" s="28">
        <f t="shared" si="242"/>
        <v>9.1039221299742346E-2</v>
      </c>
      <c r="Q1981" s="26">
        <f t="shared" si="243"/>
        <v>1.8348267964500431</v>
      </c>
      <c r="R1981" s="29">
        <f t="shared" si="244"/>
        <v>20.15424528301887</v>
      </c>
      <c r="S1981" s="30">
        <f t="shared" si="245"/>
        <v>12</v>
      </c>
      <c r="T1981" s="30">
        <f t="shared" si="246"/>
        <v>2023</v>
      </c>
      <c r="U1981" s="29" t="str">
        <f t="shared" si="247"/>
        <v>December</v>
      </c>
    </row>
    <row r="1982" spans="1:21" ht="17.399999999999999" x14ac:dyDescent="0.3">
      <c r="A1982" s="21" t="s">
        <v>964</v>
      </c>
      <c r="B1982" s="21" t="s">
        <v>965</v>
      </c>
      <c r="C1982" s="23" t="s">
        <v>3515</v>
      </c>
      <c r="D1982" s="21" t="s">
        <v>3521</v>
      </c>
      <c r="E1982" s="24">
        <v>45288</v>
      </c>
      <c r="F1982" s="24">
        <v>45303</v>
      </c>
      <c r="G1982" s="22" t="s">
        <v>14</v>
      </c>
      <c r="H1982" s="25">
        <v>19071</v>
      </c>
      <c r="I1982" s="25">
        <v>434</v>
      </c>
      <c r="J1982" s="26">
        <v>802.42</v>
      </c>
      <c r="K1982" s="25">
        <v>70</v>
      </c>
      <c r="L1982" s="21" t="s">
        <v>21</v>
      </c>
      <c r="M1982" s="22" t="s">
        <v>3537</v>
      </c>
      <c r="N1982" s="27">
        <f t="shared" si="240"/>
        <v>15</v>
      </c>
      <c r="O1982" s="28">
        <f t="shared" si="241"/>
        <v>2.2757065701850977E-2</v>
      </c>
      <c r="P1982" s="28">
        <f t="shared" si="242"/>
        <v>0.16129032258064516</v>
      </c>
      <c r="Q1982" s="26">
        <f t="shared" si="243"/>
        <v>1.8488940092165898</v>
      </c>
      <c r="R1982" s="29">
        <f t="shared" si="244"/>
        <v>11.463142857142856</v>
      </c>
      <c r="S1982" s="30">
        <f t="shared" si="245"/>
        <v>12</v>
      </c>
      <c r="T1982" s="30">
        <f t="shared" si="246"/>
        <v>2023</v>
      </c>
      <c r="U1982" s="29" t="str">
        <f t="shared" si="247"/>
        <v>December</v>
      </c>
    </row>
    <row r="1983" spans="1:21" ht="17.399999999999999" x14ac:dyDescent="0.3">
      <c r="A1983" s="21" t="s">
        <v>3354</v>
      </c>
      <c r="B1983" s="21" t="s">
        <v>3355</v>
      </c>
      <c r="C1983" s="23" t="s">
        <v>3515</v>
      </c>
      <c r="D1983" s="21" t="s">
        <v>3517</v>
      </c>
      <c r="E1983" s="24">
        <v>45288</v>
      </c>
      <c r="F1983" s="24">
        <v>45303</v>
      </c>
      <c r="G1983" s="22" t="s">
        <v>24</v>
      </c>
      <c r="H1983" s="25">
        <v>33981</v>
      </c>
      <c r="I1983" s="25">
        <v>899</v>
      </c>
      <c r="J1983" s="26">
        <v>1079.0899999999999</v>
      </c>
      <c r="K1983" s="25">
        <v>138</v>
      </c>
      <c r="L1983" s="21" t="s">
        <v>21</v>
      </c>
      <c r="M1983" s="22" t="s">
        <v>3536</v>
      </c>
      <c r="N1983" s="27">
        <f t="shared" si="240"/>
        <v>15</v>
      </c>
      <c r="O1983" s="28">
        <f t="shared" si="241"/>
        <v>2.6455960683911598E-2</v>
      </c>
      <c r="P1983" s="28">
        <f t="shared" si="242"/>
        <v>0.15350389321468297</v>
      </c>
      <c r="Q1983" s="26">
        <f t="shared" si="243"/>
        <v>1.2003225806451612</v>
      </c>
      <c r="R1983" s="29">
        <f t="shared" si="244"/>
        <v>7.8194927536231882</v>
      </c>
      <c r="S1983" s="30">
        <f t="shared" si="245"/>
        <v>12</v>
      </c>
      <c r="T1983" s="30">
        <f t="shared" si="246"/>
        <v>2023</v>
      </c>
      <c r="U1983" s="29" t="str">
        <f t="shared" si="247"/>
        <v>December</v>
      </c>
    </row>
    <row r="1984" spans="1:21" ht="17.399999999999999" x14ac:dyDescent="0.3">
      <c r="A1984" s="21" t="s">
        <v>1835</v>
      </c>
      <c r="B1984" s="21" t="s">
        <v>1836</v>
      </c>
      <c r="C1984" s="23" t="s">
        <v>3518</v>
      </c>
      <c r="D1984" s="21" t="s">
        <v>3517</v>
      </c>
      <c r="E1984" s="24">
        <v>45289</v>
      </c>
      <c r="F1984" s="24">
        <v>45315</v>
      </c>
      <c r="G1984" s="22" t="s">
        <v>14</v>
      </c>
      <c r="H1984" s="25">
        <v>89236</v>
      </c>
      <c r="I1984" s="25">
        <v>3372</v>
      </c>
      <c r="J1984" s="26">
        <v>5858.11</v>
      </c>
      <c r="K1984" s="25">
        <v>597</v>
      </c>
      <c r="L1984" s="21" t="s">
        <v>17</v>
      </c>
      <c r="M1984" s="22" t="s">
        <v>3537</v>
      </c>
      <c r="N1984" s="27">
        <f t="shared" si="240"/>
        <v>26</v>
      </c>
      <c r="O1984" s="28">
        <f t="shared" si="241"/>
        <v>3.7787440046617958E-2</v>
      </c>
      <c r="P1984" s="28">
        <f t="shared" si="242"/>
        <v>0.17704626334519574</v>
      </c>
      <c r="Q1984" s="26">
        <f t="shared" si="243"/>
        <v>1.7372805456702254</v>
      </c>
      <c r="R1984" s="29">
        <f t="shared" si="244"/>
        <v>9.812579564489111</v>
      </c>
      <c r="S1984" s="30">
        <f t="shared" si="245"/>
        <v>12</v>
      </c>
      <c r="T1984" s="30">
        <f t="shared" si="246"/>
        <v>2023</v>
      </c>
      <c r="U1984" s="29" t="str">
        <f t="shared" si="247"/>
        <v>December</v>
      </c>
    </row>
    <row r="1985" spans="1:21" ht="17.399999999999999" x14ac:dyDescent="0.3">
      <c r="A1985" s="21" t="s">
        <v>2030</v>
      </c>
      <c r="B1985" s="21" t="s">
        <v>2031</v>
      </c>
      <c r="C1985" s="23" t="s">
        <v>3518</v>
      </c>
      <c r="D1985" s="21" t="s">
        <v>3517</v>
      </c>
      <c r="E1985" s="24">
        <v>45289</v>
      </c>
      <c r="F1985" s="24">
        <v>45295</v>
      </c>
      <c r="G1985" s="22" t="s">
        <v>24</v>
      </c>
      <c r="H1985" s="25">
        <v>98720</v>
      </c>
      <c r="I1985" s="25">
        <v>2797</v>
      </c>
      <c r="J1985" s="26">
        <v>4464.91</v>
      </c>
      <c r="K1985" s="25">
        <v>412</v>
      </c>
      <c r="L1985" s="21" t="s">
        <v>21</v>
      </c>
      <c r="M1985" s="22" t="s">
        <v>3536</v>
      </c>
      <c r="N1985" s="27">
        <f t="shared" si="240"/>
        <v>6</v>
      </c>
      <c r="O1985" s="28">
        <f t="shared" si="241"/>
        <v>2.8332658022690436E-2</v>
      </c>
      <c r="P1985" s="28">
        <f t="shared" si="242"/>
        <v>0.1473006792992492</v>
      </c>
      <c r="Q1985" s="26">
        <f t="shared" si="243"/>
        <v>1.5963210582767251</v>
      </c>
      <c r="R1985" s="29">
        <f t="shared" si="244"/>
        <v>10.837160194174757</v>
      </c>
      <c r="S1985" s="30">
        <f t="shared" si="245"/>
        <v>12</v>
      </c>
      <c r="T1985" s="30">
        <f t="shared" si="246"/>
        <v>2023</v>
      </c>
      <c r="U1985" s="29" t="str">
        <f t="shared" si="247"/>
        <v>December</v>
      </c>
    </row>
    <row r="1986" spans="1:21" ht="17.399999999999999" x14ac:dyDescent="0.3">
      <c r="A1986" s="21" t="s">
        <v>122</v>
      </c>
      <c r="B1986" s="21" t="s">
        <v>123</v>
      </c>
      <c r="C1986" s="23" t="s">
        <v>3516</v>
      </c>
      <c r="D1986" s="21" t="s">
        <v>3521</v>
      </c>
      <c r="E1986" s="24">
        <v>45289</v>
      </c>
      <c r="F1986" s="24">
        <v>45294</v>
      </c>
      <c r="G1986" s="22" t="s">
        <v>14</v>
      </c>
      <c r="H1986" s="25">
        <v>67557</v>
      </c>
      <c r="I1986" s="25">
        <v>3063</v>
      </c>
      <c r="J1986" s="26">
        <v>3502.47</v>
      </c>
      <c r="K1986" s="25">
        <v>554</v>
      </c>
      <c r="L1986" s="21" t="s">
        <v>17</v>
      </c>
      <c r="M1986" s="22" t="s">
        <v>3537</v>
      </c>
      <c r="N1986" s="27">
        <f t="shared" ref="N1986:N2002" si="248">F1986-E1986</f>
        <v>5</v>
      </c>
      <c r="O1986" s="28">
        <f t="shared" ref="O1986:O2002" si="249">I1986/H1986</f>
        <v>4.5339491096407475E-2</v>
      </c>
      <c r="P1986" s="28">
        <f t="shared" ref="P1986:P2002" si="250">K1986/I1986</f>
        <v>0.18086842964413974</v>
      </c>
      <c r="Q1986" s="26">
        <f t="shared" ref="Q1986:Q2002" si="251">J1986/I1986</f>
        <v>1.1434769833496572</v>
      </c>
      <c r="R1986" s="29">
        <f t="shared" ref="R1986:R2002" si="252">IFERROR(J1986/K1986,"0")</f>
        <v>6.3221480144404332</v>
      </c>
      <c r="S1986" s="30">
        <f t="shared" ref="S1986:S2002" si="253">MONTH(E1986)</f>
        <v>12</v>
      </c>
      <c r="T1986" s="30">
        <f t="shared" ref="T1986:T2002" si="254">YEAR(E1986)</f>
        <v>2023</v>
      </c>
      <c r="U1986" s="29" t="str">
        <f t="shared" ref="U1986:U2002" si="255">TEXT(E1986,"mmmm")</f>
        <v>December</v>
      </c>
    </row>
    <row r="1987" spans="1:21" ht="17.399999999999999" x14ac:dyDescent="0.3">
      <c r="A1987" s="21" t="s">
        <v>1400</v>
      </c>
      <c r="B1987" s="21" t="s">
        <v>1401</v>
      </c>
      <c r="C1987" s="23" t="s">
        <v>3516</v>
      </c>
      <c r="D1987" s="21" t="s">
        <v>3520</v>
      </c>
      <c r="E1987" s="24">
        <v>45289</v>
      </c>
      <c r="F1987" s="24">
        <v>45314</v>
      </c>
      <c r="G1987" s="22" t="s">
        <v>11</v>
      </c>
      <c r="H1987" s="25">
        <v>9415</v>
      </c>
      <c r="I1987" s="25">
        <v>285</v>
      </c>
      <c r="J1987" s="26">
        <v>213.42</v>
      </c>
      <c r="K1987" s="25">
        <v>39</v>
      </c>
      <c r="L1987" s="21" t="s">
        <v>21</v>
      </c>
      <c r="M1987" s="22" t="s">
        <v>11</v>
      </c>
      <c r="N1987" s="27">
        <f t="shared" si="248"/>
        <v>25</v>
      </c>
      <c r="O1987" s="28">
        <f t="shared" si="249"/>
        <v>3.0270844397238449E-2</v>
      </c>
      <c r="P1987" s="28">
        <f t="shared" si="250"/>
        <v>0.1368421052631579</v>
      </c>
      <c r="Q1987" s="26">
        <f t="shared" si="251"/>
        <v>0.74884210526315786</v>
      </c>
      <c r="R1987" s="29">
        <f t="shared" si="252"/>
        <v>5.4723076923076919</v>
      </c>
      <c r="S1987" s="30">
        <f t="shared" si="253"/>
        <v>12</v>
      </c>
      <c r="T1987" s="30">
        <f t="shared" si="254"/>
        <v>2023</v>
      </c>
      <c r="U1987" s="29" t="str">
        <f t="shared" si="255"/>
        <v>December</v>
      </c>
    </row>
    <row r="1988" spans="1:21" ht="17.399999999999999" x14ac:dyDescent="0.3">
      <c r="A1988" s="21" t="s">
        <v>3195</v>
      </c>
      <c r="B1988" s="21" t="s">
        <v>3196</v>
      </c>
      <c r="C1988" s="23" t="s">
        <v>3518</v>
      </c>
      <c r="D1988" s="21" t="s">
        <v>3517</v>
      </c>
      <c r="E1988" s="24">
        <v>45290</v>
      </c>
      <c r="F1988" s="24">
        <v>45308</v>
      </c>
      <c r="G1988" s="22" t="s">
        <v>31</v>
      </c>
      <c r="H1988" s="25">
        <v>90186</v>
      </c>
      <c r="I1988" s="25">
        <v>1028</v>
      </c>
      <c r="J1988" s="26">
        <v>1623.06</v>
      </c>
      <c r="K1988" s="25">
        <v>129</v>
      </c>
      <c r="L1988" s="21" t="s">
        <v>17</v>
      </c>
      <c r="M1988" s="22" t="s">
        <v>31</v>
      </c>
      <c r="N1988" s="27">
        <f t="shared" si="248"/>
        <v>18</v>
      </c>
      <c r="O1988" s="28">
        <f t="shared" si="249"/>
        <v>1.139866498126095E-2</v>
      </c>
      <c r="P1988" s="28">
        <f t="shared" si="250"/>
        <v>0.1254863813229572</v>
      </c>
      <c r="Q1988" s="26">
        <f t="shared" si="251"/>
        <v>1.578852140077821</v>
      </c>
      <c r="R1988" s="29">
        <f t="shared" si="252"/>
        <v>12.581860465116279</v>
      </c>
      <c r="S1988" s="30">
        <f t="shared" si="253"/>
        <v>12</v>
      </c>
      <c r="T1988" s="30">
        <f t="shared" si="254"/>
        <v>2023</v>
      </c>
      <c r="U1988" s="29" t="str">
        <f t="shared" si="255"/>
        <v>December</v>
      </c>
    </row>
    <row r="1989" spans="1:21" ht="17.399999999999999" x14ac:dyDescent="0.3">
      <c r="A1989" s="21" t="s">
        <v>1104</v>
      </c>
      <c r="B1989" s="22" t="s">
        <v>4054</v>
      </c>
      <c r="C1989" s="23" t="s">
        <v>3515</v>
      </c>
      <c r="D1989" s="22" t="s">
        <v>3545</v>
      </c>
      <c r="E1989" s="24">
        <v>45290</v>
      </c>
      <c r="F1989" s="24">
        <v>45311</v>
      </c>
      <c r="G1989" s="22" t="s">
        <v>31</v>
      </c>
      <c r="H1989" s="25">
        <v>64932</v>
      </c>
      <c r="I1989" s="25">
        <v>2586</v>
      </c>
      <c r="J1989" s="26">
        <v>4102.3</v>
      </c>
      <c r="K1989" s="25">
        <v>0</v>
      </c>
      <c r="L1989" s="21" t="s">
        <v>21</v>
      </c>
      <c r="M1989" s="22" t="s">
        <v>31</v>
      </c>
      <c r="N1989" s="27">
        <f t="shared" si="248"/>
        <v>21</v>
      </c>
      <c r="O1989" s="28">
        <f t="shared" si="249"/>
        <v>3.982627980040658E-2</v>
      </c>
      <c r="P1989" s="28">
        <f t="shared" si="250"/>
        <v>0</v>
      </c>
      <c r="Q1989" s="26">
        <f t="shared" si="251"/>
        <v>1.5863495746326373</v>
      </c>
      <c r="R1989" s="29" t="str">
        <f t="shared" si="252"/>
        <v>0</v>
      </c>
      <c r="S1989" s="30">
        <f t="shared" si="253"/>
        <v>12</v>
      </c>
      <c r="T1989" s="30">
        <f t="shared" si="254"/>
        <v>2023</v>
      </c>
      <c r="U1989" s="29" t="str">
        <f t="shared" si="255"/>
        <v>December</v>
      </c>
    </row>
    <row r="1990" spans="1:21" ht="17.399999999999999" x14ac:dyDescent="0.3">
      <c r="A1990" s="21" t="s">
        <v>3286</v>
      </c>
      <c r="B1990" s="21" t="s">
        <v>3287</v>
      </c>
      <c r="C1990" s="23" t="s">
        <v>3519</v>
      </c>
      <c r="D1990" s="21" t="s">
        <v>3521</v>
      </c>
      <c r="E1990" s="24">
        <v>45291</v>
      </c>
      <c r="F1990" s="24">
        <v>45321</v>
      </c>
      <c r="G1990" s="22" t="s">
        <v>24</v>
      </c>
      <c r="H1990" s="25">
        <v>39827</v>
      </c>
      <c r="I1990" s="25">
        <v>1807</v>
      </c>
      <c r="J1990" s="26">
        <v>2001.66</v>
      </c>
      <c r="K1990" s="25">
        <v>0</v>
      </c>
      <c r="L1990" s="21" t="s">
        <v>21</v>
      </c>
      <c r="M1990" s="22" t="s">
        <v>3536</v>
      </c>
      <c r="N1990" s="27">
        <f t="shared" si="248"/>
        <v>30</v>
      </c>
      <c r="O1990" s="28">
        <f t="shared" si="249"/>
        <v>4.537123057222487E-2</v>
      </c>
      <c r="P1990" s="28">
        <f t="shared" si="250"/>
        <v>0</v>
      </c>
      <c r="Q1990" s="26">
        <f t="shared" si="251"/>
        <v>1.1077255118981739</v>
      </c>
      <c r="R1990" s="29" t="str">
        <f t="shared" si="252"/>
        <v>0</v>
      </c>
      <c r="S1990" s="30">
        <f t="shared" si="253"/>
        <v>12</v>
      </c>
      <c r="T1990" s="30">
        <f t="shared" si="254"/>
        <v>2023</v>
      </c>
      <c r="U1990" s="29" t="str">
        <f t="shared" si="255"/>
        <v>December</v>
      </c>
    </row>
    <row r="1991" spans="1:21" ht="17.399999999999999" x14ac:dyDescent="0.3">
      <c r="A1991" s="21" t="s">
        <v>3290</v>
      </c>
      <c r="B1991" s="21" t="s">
        <v>3291</v>
      </c>
      <c r="C1991" s="23" t="s">
        <v>3519</v>
      </c>
      <c r="D1991" s="21" t="s">
        <v>3521</v>
      </c>
      <c r="E1991" s="24">
        <v>45291</v>
      </c>
      <c r="F1991" s="24">
        <v>45294</v>
      </c>
      <c r="G1991" s="22" t="s">
        <v>16</v>
      </c>
      <c r="H1991" s="25">
        <v>45859</v>
      </c>
      <c r="I1991" s="25">
        <v>1305</v>
      </c>
      <c r="J1991" s="26">
        <v>1883.52</v>
      </c>
      <c r="K1991" s="25">
        <v>151</v>
      </c>
      <c r="L1991" s="21" t="s">
        <v>17</v>
      </c>
      <c r="M1991" s="22" t="s">
        <v>16</v>
      </c>
      <c r="N1991" s="27">
        <f t="shared" si="248"/>
        <v>3</v>
      </c>
      <c r="O1991" s="28">
        <f t="shared" si="249"/>
        <v>2.8456791469504351E-2</v>
      </c>
      <c r="P1991" s="28">
        <f t="shared" si="250"/>
        <v>0.11570881226053639</v>
      </c>
      <c r="Q1991" s="26">
        <f t="shared" si="251"/>
        <v>1.4433103448275861</v>
      </c>
      <c r="R1991" s="29">
        <f t="shared" si="252"/>
        <v>12.473642384105959</v>
      </c>
      <c r="S1991" s="30">
        <f t="shared" si="253"/>
        <v>12</v>
      </c>
      <c r="T1991" s="30">
        <f t="shared" si="254"/>
        <v>2023</v>
      </c>
      <c r="U1991" s="29" t="str">
        <f t="shared" si="255"/>
        <v>December</v>
      </c>
    </row>
    <row r="1992" spans="1:21" ht="17.399999999999999" x14ac:dyDescent="0.3">
      <c r="A1992" s="21" t="s">
        <v>3304</v>
      </c>
      <c r="B1992" s="22" t="s">
        <v>4055</v>
      </c>
      <c r="C1992" s="23" t="s">
        <v>3516</v>
      </c>
      <c r="D1992" s="22" t="s">
        <v>3545</v>
      </c>
      <c r="E1992" s="24">
        <v>45291</v>
      </c>
      <c r="F1992" s="24">
        <v>45301</v>
      </c>
      <c r="G1992" s="22" t="s">
        <v>11</v>
      </c>
      <c r="H1992" s="25">
        <v>29541</v>
      </c>
      <c r="I1992" s="25">
        <v>873</v>
      </c>
      <c r="J1992" s="26">
        <v>1077.1400000000001</v>
      </c>
      <c r="K1992" s="25">
        <v>146</v>
      </c>
      <c r="L1992" s="21" t="s">
        <v>21</v>
      </c>
      <c r="M1992" s="22" t="s">
        <v>11</v>
      </c>
      <c r="N1992" s="27">
        <f t="shared" si="248"/>
        <v>10</v>
      </c>
      <c r="O1992" s="28">
        <f t="shared" si="249"/>
        <v>2.9552147862293085E-2</v>
      </c>
      <c r="P1992" s="28">
        <f t="shared" si="250"/>
        <v>0.1672394043528064</v>
      </c>
      <c r="Q1992" s="26">
        <f t="shared" si="251"/>
        <v>1.2338373424971365</v>
      </c>
      <c r="R1992" s="29">
        <f t="shared" si="252"/>
        <v>7.3776712328767129</v>
      </c>
      <c r="S1992" s="30">
        <f t="shared" si="253"/>
        <v>12</v>
      </c>
      <c r="T1992" s="30">
        <f t="shared" si="254"/>
        <v>2023</v>
      </c>
      <c r="U1992" s="29" t="str">
        <f t="shared" si="255"/>
        <v>December</v>
      </c>
    </row>
    <row r="1993" spans="1:21" ht="17.399999999999999" x14ac:dyDescent="0.3">
      <c r="A1993" s="21" t="s">
        <v>737</v>
      </c>
      <c r="B1993" s="21" t="s">
        <v>738</v>
      </c>
      <c r="C1993" s="23" t="s">
        <v>3515</v>
      </c>
      <c r="D1993" s="21" t="s">
        <v>3521</v>
      </c>
      <c r="E1993" s="24">
        <v>45291</v>
      </c>
      <c r="F1993" s="24">
        <v>45302</v>
      </c>
      <c r="G1993" s="22" t="s">
        <v>31</v>
      </c>
      <c r="H1993" s="25">
        <v>7655</v>
      </c>
      <c r="I1993" s="25">
        <v>276</v>
      </c>
      <c r="J1993" s="26">
        <v>512.57000000000005</v>
      </c>
      <c r="K1993" s="25">
        <v>14</v>
      </c>
      <c r="L1993" s="21" t="s">
        <v>21</v>
      </c>
      <c r="M1993" s="22" t="s">
        <v>31</v>
      </c>
      <c r="N1993" s="27">
        <f t="shared" si="248"/>
        <v>11</v>
      </c>
      <c r="O1993" s="28">
        <f t="shared" si="249"/>
        <v>3.6054866100587848E-2</v>
      </c>
      <c r="P1993" s="28">
        <f t="shared" si="250"/>
        <v>5.0724637681159424E-2</v>
      </c>
      <c r="Q1993" s="26">
        <f t="shared" si="251"/>
        <v>1.8571376811594205</v>
      </c>
      <c r="R1993" s="29">
        <f t="shared" si="252"/>
        <v>36.612142857142864</v>
      </c>
      <c r="S1993" s="30">
        <f t="shared" si="253"/>
        <v>12</v>
      </c>
      <c r="T1993" s="30">
        <f t="shared" si="254"/>
        <v>2023</v>
      </c>
      <c r="U1993" s="29" t="str">
        <f t="shared" si="255"/>
        <v>December</v>
      </c>
    </row>
    <row r="1994" spans="1:21" ht="17.399999999999999" x14ac:dyDescent="0.3">
      <c r="A1994" s="21" t="s">
        <v>1500</v>
      </c>
      <c r="B1994" s="21" t="s">
        <v>1501</v>
      </c>
      <c r="C1994" s="23" t="s">
        <v>3515</v>
      </c>
      <c r="D1994" s="21" t="s">
        <v>3521</v>
      </c>
      <c r="E1994" s="24">
        <v>45291</v>
      </c>
      <c r="F1994" s="24">
        <v>45316</v>
      </c>
      <c r="G1994" s="22" t="s">
        <v>11</v>
      </c>
      <c r="H1994" s="25">
        <v>43808</v>
      </c>
      <c r="I1994" s="25">
        <v>989</v>
      </c>
      <c r="J1994" s="26">
        <v>614.72</v>
      </c>
      <c r="K1994" s="25">
        <v>94</v>
      </c>
      <c r="L1994" s="21" t="s">
        <v>21</v>
      </c>
      <c r="M1994" s="22" t="s">
        <v>11</v>
      </c>
      <c r="N1994" s="27">
        <f t="shared" si="248"/>
        <v>25</v>
      </c>
      <c r="O1994" s="28">
        <f t="shared" si="249"/>
        <v>2.2575785244704164E-2</v>
      </c>
      <c r="P1994" s="28">
        <f t="shared" si="250"/>
        <v>9.5045500505561167E-2</v>
      </c>
      <c r="Q1994" s="26">
        <f t="shared" si="251"/>
        <v>0.62155712841253796</v>
      </c>
      <c r="R1994" s="29">
        <f t="shared" si="252"/>
        <v>6.5395744680851067</v>
      </c>
      <c r="S1994" s="30">
        <f t="shared" si="253"/>
        <v>12</v>
      </c>
      <c r="T1994" s="30">
        <f t="shared" si="254"/>
        <v>2023</v>
      </c>
      <c r="U1994" s="29" t="str">
        <f t="shared" si="255"/>
        <v>December</v>
      </c>
    </row>
    <row r="1995" spans="1:21" ht="17.399999999999999" x14ac:dyDescent="0.3">
      <c r="A1995" s="21" t="s">
        <v>1845</v>
      </c>
      <c r="B1995" s="21" t="s">
        <v>1846</v>
      </c>
      <c r="C1995" s="23" t="s">
        <v>3515</v>
      </c>
      <c r="D1995" s="21" t="s">
        <v>3517</v>
      </c>
      <c r="E1995" s="24">
        <v>45291</v>
      </c>
      <c r="F1995" s="24">
        <v>45309</v>
      </c>
      <c r="G1995" s="22" t="s">
        <v>16</v>
      </c>
      <c r="H1995" s="25">
        <v>92922</v>
      </c>
      <c r="I1995" s="25">
        <v>3932</v>
      </c>
      <c r="J1995" s="26">
        <v>5654.2</v>
      </c>
      <c r="K1995" s="25">
        <v>569</v>
      </c>
      <c r="L1995" s="21" t="s">
        <v>21</v>
      </c>
      <c r="M1995" s="22" t="s">
        <v>16</v>
      </c>
      <c r="N1995" s="27">
        <f t="shared" si="248"/>
        <v>18</v>
      </c>
      <c r="O1995" s="28">
        <f t="shared" si="249"/>
        <v>4.2315059942747681E-2</v>
      </c>
      <c r="P1995" s="28">
        <f t="shared" si="250"/>
        <v>0.14471007121057985</v>
      </c>
      <c r="Q1995" s="26">
        <f t="shared" si="251"/>
        <v>1.437995930824008</v>
      </c>
      <c r="R1995" s="29">
        <f t="shared" si="252"/>
        <v>9.937082601054481</v>
      </c>
      <c r="S1995" s="30">
        <f t="shared" si="253"/>
        <v>12</v>
      </c>
      <c r="T1995" s="30">
        <f t="shared" si="254"/>
        <v>2023</v>
      </c>
      <c r="U1995" s="29" t="str">
        <f t="shared" si="255"/>
        <v>December</v>
      </c>
    </row>
    <row r="1996" spans="1:21" ht="17.399999999999999" x14ac:dyDescent="0.3">
      <c r="A1996" s="21" t="s">
        <v>3499</v>
      </c>
      <c r="B1996" s="21" t="s">
        <v>3500</v>
      </c>
      <c r="C1996" s="23" t="s">
        <v>3515</v>
      </c>
      <c r="D1996" s="21" t="s">
        <v>3517</v>
      </c>
      <c r="E1996" s="24">
        <v>45291</v>
      </c>
      <c r="F1996" s="24">
        <v>45305</v>
      </c>
      <c r="G1996" s="22" t="s">
        <v>24</v>
      </c>
      <c r="H1996" s="25">
        <v>29380</v>
      </c>
      <c r="I1996" s="25">
        <v>705</v>
      </c>
      <c r="J1996" s="26">
        <v>767.32</v>
      </c>
      <c r="K1996" s="25">
        <v>0</v>
      </c>
      <c r="L1996" s="21" t="s">
        <v>17</v>
      </c>
      <c r="M1996" s="22" t="s">
        <v>3536</v>
      </c>
      <c r="N1996" s="27">
        <f t="shared" si="248"/>
        <v>14</v>
      </c>
      <c r="O1996" s="28">
        <f t="shared" si="249"/>
        <v>2.3995915588835941E-2</v>
      </c>
      <c r="P1996" s="28">
        <f t="shared" si="250"/>
        <v>0</v>
      </c>
      <c r="Q1996" s="26">
        <f t="shared" si="251"/>
        <v>1.0883971631205676</v>
      </c>
      <c r="R1996" s="29" t="str">
        <f t="shared" si="252"/>
        <v>0</v>
      </c>
      <c r="S1996" s="30">
        <f t="shared" si="253"/>
        <v>12</v>
      </c>
      <c r="T1996" s="30">
        <f t="shared" si="254"/>
        <v>2023</v>
      </c>
      <c r="U1996" s="29" t="str">
        <f t="shared" si="255"/>
        <v>December</v>
      </c>
    </row>
    <row r="1997" spans="1:21" ht="17.399999999999999" x14ac:dyDescent="0.3">
      <c r="A1997" s="21" t="s">
        <v>2218</v>
      </c>
      <c r="B1997" s="21" t="s">
        <v>2219</v>
      </c>
      <c r="C1997" s="23" t="s">
        <v>3519</v>
      </c>
      <c r="D1997" s="21" t="s">
        <v>3520</v>
      </c>
      <c r="E1997" s="24">
        <v>45292</v>
      </c>
      <c r="F1997" s="24">
        <v>45318</v>
      </c>
      <c r="G1997" s="22" t="s">
        <v>14</v>
      </c>
      <c r="H1997" s="25">
        <v>5757</v>
      </c>
      <c r="I1997" s="25">
        <v>223</v>
      </c>
      <c r="J1997" s="26">
        <v>236.59</v>
      </c>
      <c r="K1997" s="25">
        <v>41</v>
      </c>
      <c r="L1997" s="21" t="s">
        <v>21</v>
      </c>
      <c r="M1997" s="22" t="s">
        <v>3537</v>
      </c>
      <c r="N1997" s="27">
        <f t="shared" si="248"/>
        <v>26</v>
      </c>
      <c r="O1997" s="28">
        <f t="shared" si="249"/>
        <v>3.8735452492617679E-2</v>
      </c>
      <c r="P1997" s="28">
        <f t="shared" si="250"/>
        <v>0.18385650224215247</v>
      </c>
      <c r="Q1997" s="26">
        <f t="shared" si="251"/>
        <v>1.0609417040358744</v>
      </c>
      <c r="R1997" s="29">
        <f t="shared" si="252"/>
        <v>5.7704878048780488</v>
      </c>
      <c r="S1997" s="30">
        <f t="shared" si="253"/>
        <v>1</v>
      </c>
      <c r="T1997" s="30">
        <f t="shared" si="254"/>
        <v>2024</v>
      </c>
      <c r="U1997" s="29" t="str">
        <f t="shared" si="255"/>
        <v>January</v>
      </c>
    </row>
    <row r="1998" spans="1:21" ht="17.399999999999999" x14ac:dyDescent="0.3">
      <c r="A1998" s="21" t="s">
        <v>2441</v>
      </c>
      <c r="B1998" s="21" t="s">
        <v>2442</v>
      </c>
      <c r="C1998" s="23" t="s">
        <v>3519</v>
      </c>
      <c r="D1998" s="21" t="s">
        <v>3521</v>
      </c>
      <c r="E1998" s="24">
        <v>45292</v>
      </c>
      <c r="F1998" s="24">
        <v>45317</v>
      </c>
      <c r="G1998" s="22" t="s">
        <v>24</v>
      </c>
      <c r="H1998" s="25">
        <v>3573</v>
      </c>
      <c r="I1998" s="25">
        <v>141</v>
      </c>
      <c r="J1998" s="26">
        <v>99.55</v>
      </c>
      <c r="K1998" s="25">
        <v>17</v>
      </c>
      <c r="L1998" s="21" t="s">
        <v>21</v>
      </c>
      <c r="M1998" s="22" t="s">
        <v>3536</v>
      </c>
      <c r="N1998" s="27">
        <f t="shared" si="248"/>
        <v>25</v>
      </c>
      <c r="O1998" s="28">
        <f t="shared" si="249"/>
        <v>3.9462636439966413E-2</v>
      </c>
      <c r="P1998" s="28">
        <f t="shared" si="250"/>
        <v>0.12056737588652482</v>
      </c>
      <c r="Q1998" s="26">
        <f t="shared" si="251"/>
        <v>0.70602836879432618</v>
      </c>
      <c r="R1998" s="29">
        <f t="shared" si="252"/>
        <v>5.8558823529411761</v>
      </c>
      <c r="S1998" s="30">
        <f t="shared" si="253"/>
        <v>1</v>
      </c>
      <c r="T1998" s="30">
        <f t="shared" si="254"/>
        <v>2024</v>
      </c>
      <c r="U1998" s="29" t="str">
        <f t="shared" si="255"/>
        <v>January</v>
      </c>
    </row>
    <row r="1999" spans="1:21" ht="17.399999999999999" x14ac:dyDescent="0.3">
      <c r="A1999" s="21" t="s">
        <v>1242</v>
      </c>
      <c r="B1999" s="21" t="s">
        <v>1243</v>
      </c>
      <c r="C1999" s="23" t="s">
        <v>3516</v>
      </c>
      <c r="D1999" s="21" t="s">
        <v>3517</v>
      </c>
      <c r="E1999" s="24">
        <v>45292</v>
      </c>
      <c r="F1999" s="24">
        <v>45309</v>
      </c>
      <c r="G1999" s="22" t="s">
        <v>16</v>
      </c>
      <c r="H1999" s="25">
        <v>16485</v>
      </c>
      <c r="I1999" s="25">
        <v>647</v>
      </c>
      <c r="J1999" s="26">
        <v>442.01</v>
      </c>
      <c r="K1999" s="25">
        <v>111</v>
      </c>
      <c r="L1999" s="21" t="s">
        <v>17</v>
      </c>
      <c r="M1999" s="22" t="s">
        <v>16</v>
      </c>
      <c r="N1999" s="27">
        <f t="shared" si="248"/>
        <v>17</v>
      </c>
      <c r="O1999" s="28">
        <f t="shared" si="249"/>
        <v>3.9247801031240523E-2</v>
      </c>
      <c r="P1999" s="28">
        <f t="shared" si="250"/>
        <v>0.17156105100463678</v>
      </c>
      <c r="Q1999" s="26">
        <f t="shared" si="251"/>
        <v>0.68316846986089641</v>
      </c>
      <c r="R1999" s="29">
        <f t="shared" si="252"/>
        <v>3.9820720720720719</v>
      </c>
      <c r="S1999" s="30">
        <f t="shared" si="253"/>
        <v>1</v>
      </c>
      <c r="T1999" s="30">
        <f t="shared" si="254"/>
        <v>2024</v>
      </c>
      <c r="U1999" s="29" t="str">
        <f t="shared" si="255"/>
        <v>January</v>
      </c>
    </row>
    <row r="2000" spans="1:21" ht="17.399999999999999" x14ac:dyDescent="0.3">
      <c r="A2000" s="21" t="s">
        <v>3483</v>
      </c>
      <c r="B2000" s="21" t="s">
        <v>3484</v>
      </c>
      <c r="C2000" s="23" t="s">
        <v>3516</v>
      </c>
      <c r="D2000" s="21" t="s">
        <v>3520</v>
      </c>
      <c r="E2000" s="24">
        <v>45292</v>
      </c>
      <c r="F2000" s="24">
        <v>45307</v>
      </c>
      <c r="G2000" s="22" t="s">
        <v>11</v>
      </c>
      <c r="H2000" s="25">
        <v>2560</v>
      </c>
      <c r="I2000" s="25">
        <v>63</v>
      </c>
      <c r="J2000" s="26">
        <v>115.65</v>
      </c>
      <c r="K2000" s="25">
        <v>8</v>
      </c>
      <c r="L2000" s="21" t="s">
        <v>21</v>
      </c>
      <c r="M2000" s="22" t="s">
        <v>11</v>
      </c>
      <c r="N2000" s="27">
        <f t="shared" si="248"/>
        <v>15</v>
      </c>
      <c r="O2000" s="28">
        <f t="shared" si="249"/>
        <v>2.4609374999999999E-2</v>
      </c>
      <c r="P2000" s="28">
        <f t="shared" si="250"/>
        <v>0.12698412698412698</v>
      </c>
      <c r="Q2000" s="26">
        <f t="shared" si="251"/>
        <v>1.8357142857142859</v>
      </c>
      <c r="R2000" s="29">
        <f t="shared" si="252"/>
        <v>14.456250000000001</v>
      </c>
      <c r="S2000" s="30">
        <f t="shared" si="253"/>
        <v>1</v>
      </c>
      <c r="T2000" s="30">
        <f t="shared" si="254"/>
        <v>2024</v>
      </c>
      <c r="U2000" s="29" t="str">
        <f t="shared" si="255"/>
        <v>January</v>
      </c>
    </row>
    <row r="2001" spans="1:21" ht="17.399999999999999" x14ac:dyDescent="0.3">
      <c r="A2001" s="21" t="s">
        <v>879</v>
      </c>
      <c r="B2001" s="22" t="s">
        <v>4056</v>
      </c>
      <c r="C2001" s="23" t="s">
        <v>3515</v>
      </c>
      <c r="D2001" s="22" t="s">
        <v>3545</v>
      </c>
      <c r="E2001" s="24">
        <v>45292</v>
      </c>
      <c r="F2001" s="24">
        <v>45302</v>
      </c>
      <c r="G2001" s="22" t="s">
        <v>3535</v>
      </c>
      <c r="H2001" s="25">
        <v>70042</v>
      </c>
      <c r="I2001" s="25">
        <v>2142</v>
      </c>
      <c r="J2001" s="26">
        <v>1514.03</v>
      </c>
      <c r="K2001" s="25">
        <v>153</v>
      </c>
      <c r="L2001" s="21" t="s">
        <v>21</v>
      </c>
      <c r="M2001" s="22" t="s">
        <v>3535</v>
      </c>
      <c r="N2001" s="27">
        <f t="shared" si="248"/>
        <v>10</v>
      </c>
      <c r="O2001" s="28">
        <f t="shared" si="249"/>
        <v>3.0581651009394362E-2</v>
      </c>
      <c r="P2001" s="28">
        <f t="shared" si="250"/>
        <v>7.1428571428571425E-2</v>
      </c>
      <c r="Q2001" s="26">
        <f t="shared" si="251"/>
        <v>0.70683006535947712</v>
      </c>
      <c r="R2001" s="29">
        <f t="shared" si="252"/>
        <v>9.8956209150326799</v>
      </c>
      <c r="S2001" s="30">
        <f t="shared" si="253"/>
        <v>1</v>
      </c>
      <c r="T2001" s="30">
        <f t="shared" si="254"/>
        <v>2024</v>
      </c>
      <c r="U2001" s="29" t="str">
        <f t="shared" si="255"/>
        <v>January</v>
      </c>
    </row>
    <row r="2002" spans="1:21" ht="17.399999999999999" x14ac:dyDescent="0.3">
      <c r="A2002" s="21" t="s">
        <v>1961</v>
      </c>
      <c r="B2002" s="21" t="s">
        <v>1962</v>
      </c>
      <c r="C2002" s="23" t="s">
        <v>3515</v>
      </c>
      <c r="D2002" s="21" t="s">
        <v>3521</v>
      </c>
      <c r="E2002" s="24">
        <v>45292</v>
      </c>
      <c r="F2002" s="24">
        <v>45319</v>
      </c>
      <c r="G2002" s="22" t="s">
        <v>24</v>
      </c>
      <c r="H2002" s="25">
        <v>30287</v>
      </c>
      <c r="I2002" s="25">
        <v>486</v>
      </c>
      <c r="J2002" s="26">
        <v>561.61</v>
      </c>
      <c r="K2002" s="25">
        <v>69</v>
      </c>
      <c r="L2002" s="21" t="s">
        <v>17</v>
      </c>
      <c r="M2002" s="22" t="s">
        <v>3536</v>
      </c>
      <c r="N2002" s="27">
        <f t="shared" si="248"/>
        <v>27</v>
      </c>
      <c r="O2002" s="28">
        <f t="shared" si="249"/>
        <v>1.6046488592465415E-2</v>
      </c>
      <c r="P2002" s="28">
        <f t="shared" si="250"/>
        <v>0.1419753086419753</v>
      </c>
      <c r="Q2002" s="26">
        <f t="shared" si="251"/>
        <v>1.1555761316872428</v>
      </c>
      <c r="R2002" s="29">
        <f t="shared" si="252"/>
        <v>8.1392753623188412</v>
      </c>
      <c r="S2002" s="30">
        <f t="shared" si="253"/>
        <v>1</v>
      </c>
      <c r="T2002" s="30">
        <f t="shared" si="254"/>
        <v>2024</v>
      </c>
      <c r="U2002" s="29" t="str">
        <f t="shared" si="255"/>
        <v>January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5C95-B486-4BA8-9800-C7437F094E73}">
  <dimension ref="B7:F85"/>
  <sheetViews>
    <sheetView zoomScale="80" zoomScaleNormal="80" workbookViewId="0">
      <selection activeCell="N12" sqref="N12"/>
    </sheetView>
  </sheetViews>
  <sheetFormatPr defaultRowHeight="14.4" x14ac:dyDescent="0.3"/>
  <cols>
    <col min="2" max="2" width="24.6640625" bestFit="1" customWidth="1"/>
    <col min="3" max="3" width="11.21875" bestFit="1" customWidth="1"/>
    <col min="4" max="4" width="10.5546875" customWidth="1"/>
    <col min="5" max="5" width="10.77734375" customWidth="1"/>
    <col min="6" max="6" width="12.6640625" bestFit="1" customWidth="1"/>
    <col min="7" max="7" width="15.44140625" bestFit="1" customWidth="1"/>
    <col min="8" max="8" width="13.44140625" bestFit="1" customWidth="1"/>
    <col min="9" max="9" width="12.33203125" bestFit="1" customWidth="1"/>
    <col min="10" max="10" width="13.44140625" bestFit="1" customWidth="1"/>
    <col min="11" max="11" width="16.88671875" bestFit="1" customWidth="1"/>
    <col min="12" max="12" width="18" bestFit="1" customWidth="1"/>
  </cols>
  <sheetData>
    <row r="7" spans="2:6" x14ac:dyDescent="0.3">
      <c r="B7" s="1" t="s">
        <v>3510</v>
      </c>
      <c r="C7" s="7" t="s">
        <v>3508</v>
      </c>
    </row>
    <row r="8" spans="2:6" x14ac:dyDescent="0.3">
      <c r="B8" s="1" t="s">
        <v>2</v>
      </c>
      <c r="C8">
        <v>2022</v>
      </c>
      <c r="D8">
        <v>2023</v>
      </c>
      <c r="E8">
        <v>2024</v>
      </c>
      <c r="F8" t="s">
        <v>3509</v>
      </c>
    </row>
    <row r="9" spans="2:6" x14ac:dyDescent="0.3">
      <c r="B9" s="2" t="s">
        <v>16</v>
      </c>
      <c r="C9" s="3"/>
      <c r="D9" s="3">
        <v>1662713.0000000009</v>
      </c>
      <c r="E9" s="3">
        <v>442.01</v>
      </c>
      <c r="F9" s="3">
        <v>1663155.0100000009</v>
      </c>
    </row>
    <row r="10" spans="2:6" x14ac:dyDescent="0.3">
      <c r="B10" s="2" t="s">
        <v>14</v>
      </c>
      <c r="C10" s="3"/>
      <c r="D10" s="3">
        <v>1754993.7900000012</v>
      </c>
      <c r="E10" s="3">
        <v>236.59</v>
      </c>
      <c r="F10" s="3">
        <v>1755230.3800000013</v>
      </c>
    </row>
    <row r="11" spans="2:6" x14ac:dyDescent="0.3">
      <c r="B11" s="2" t="s">
        <v>31</v>
      </c>
      <c r="C11" s="3"/>
      <c r="D11" s="3">
        <v>641576.00999999978</v>
      </c>
      <c r="E11" s="3"/>
      <c r="F11" s="3">
        <v>641576.00999999978</v>
      </c>
    </row>
    <row r="12" spans="2:6" x14ac:dyDescent="0.3">
      <c r="B12" s="2" t="s">
        <v>24</v>
      </c>
      <c r="C12" s="3"/>
      <c r="D12" s="3">
        <v>618455.91000000061</v>
      </c>
      <c r="E12" s="3">
        <v>661.16</v>
      </c>
      <c r="F12" s="3">
        <v>619117.07000000065</v>
      </c>
    </row>
    <row r="13" spans="2:6" x14ac:dyDescent="0.3">
      <c r="B13" s="2" t="s">
        <v>11</v>
      </c>
      <c r="C13" s="3">
        <v>790.59</v>
      </c>
      <c r="D13" s="3">
        <v>734369.14000000025</v>
      </c>
      <c r="E13" s="3">
        <v>115.65</v>
      </c>
      <c r="F13" s="3">
        <v>735275.38000000024</v>
      </c>
    </row>
    <row r="14" spans="2:6" x14ac:dyDescent="0.3">
      <c r="B14" s="2" t="s">
        <v>3535</v>
      </c>
      <c r="C14" s="3"/>
      <c r="D14" s="3">
        <v>840879.42</v>
      </c>
      <c r="E14" s="3">
        <v>1514.03</v>
      </c>
      <c r="F14" s="3">
        <v>842393.45000000007</v>
      </c>
    </row>
    <row r="15" spans="2:6" x14ac:dyDescent="0.3">
      <c r="B15" s="2" t="s">
        <v>3509</v>
      </c>
      <c r="C15" s="3">
        <v>790.59</v>
      </c>
      <c r="D15" s="3">
        <v>6252987.2700000033</v>
      </c>
      <c r="E15" s="3">
        <v>2969.44</v>
      </c>
      <c r="F15" s="3">
        <v>6256747.3000000026</v>
      </c>
    </row>
    <row r="24" spans="2:6" x14ac:dyDescent="0.3">
      <c r="B24" s="1" t="s">
        <v>3529</v>
      </c>
      <c r="C24" s="7" t="s">
        <v>3508</v>
      </c>
    </row>
    <row r="25" spans="2:6" x14ac:dyDescent="0.3">
      <c r="B25" s="1" t="s">
        <v>2</v>
      </c>
      <c r="C25">
        <v>2022</v>
      </c>
      <c r="D25">
        <v>2023</v>
      </c>
      <c r="E25">
        <v>2024</v>
      </c>
      <c r="F25" t="s">
        <v>3509</v>
      </c>
    </row>
    <row r="26" spans="2:6" x14ac:dyDescent="0.3">
      <c r="B26" s="2" t="s">
        <v>16</v>
      </c>
      <c r="C26" s="3"/>
      <c r="D26" s="3">
        <v>18081225</v>
      </c>
      <c r="E26" s="3">
        <v>16485</v>
      </c>
      <c r="F26" s="3">
        <v>18097710</v>
      </c>
    </row>
    <row r="27" spans="2:6" x14ac:dyDescent="0.3">
      <c r="B27" s="2" t="s">
        <v>14</v>
      </c>
      <c r="C27" s="3"/>
      <c r="D27" s="3">
        <v>19674453</v>
      </c>
      <c r="E27" s="3">
        <v>5757</v>
      </c>
      <c r="F27" s="3">
        <v>19680210</v>
      </c>
    </row>
    <row r="28" spans="2:6" x14ac:dyDescent="0.3">
      <c r="B28" s="2" t="s">
        <v>31</v>
      </c>
      <c r="C28" s="3"/>
      <c r="D28" s="3">
        <v>16586674</v>
      </c>
      <c r="E28" s="3"/>
      <c r="F28" s="3">
        <v>16586674</v>
      </c>
    </row>
    <row r="29" spans="2:6" x14ac:dyDescent="0.3">
      <c r="B29" s="2" t="s">
        <v>24</v>
      </c>
      <c r="C29" s="3"/>
      <c r="D29" s="3">
        <v>16658567</v>
      </c>
      <c r="E29" s="3">
        <v>33860</v>
      </c>
      <c r="F29" s="3">
        <v>16692427</v>
      </c>
    </row>
    <row r="30" spans="2:6" x14ac:dyDescent="0.3">
      <c r="B30" s="2" t="s">
        <v>11</v>
      </c>
      <c r="C30" s="3">
        <v>61500</v>
      </c>
      <c r="D30" s="3">
        <v>19556820</v>
      </c>
      <c r="E30" s="3">
        <v>2560</v>
      </c>
      <c r="F30" s="3">
        <v>19620880</v>
      </c>
    </row>
    <row r="31" spans="2:6" x14ac:dyDescent="0.3">
      <c r="B31" s="2" t="s">
        <v>3535</v>
      </c>
      <c r="C31" s="3"/>
      <c r="D31" s="3">
        <v>9039253</v>
      </c>
      <c r="E31" s="3">
        <v>70042</v>
      </c>
      <c r="F31" s="3">
        <v>9109295</v>
      </c>
    </row>
    <row r="32" spans="2:6" x14ac:dyDescent="0.3">
      <c r="B32" s="2" t="s">
        <v>3509</v>
      </c>
      <c r="C32" s="3">
        <v>61500</v>
      </c>
      <c r="D32" s="3">
        <v>99596992</v>
      </c>
      <c r="E32" s="3">
        <v>128704</v>
      </c>
      <c r="F32" s="3">
        <v>99787196</v>
      </c>
    </row>
    <row r="42" spans="2:6" x14ac:dyDescent="0.3">
      <c r="B42" s="1" t="s">
        <v>3512</v>
      </c>
      <c r="C42" s="7" t="s">
        <v>3508</v>
      </c>
    </row>
    <row r="43" spans="2:6" x14ac:dyDescent="0.3">
      <c r="B43" s="1" t="s">
        <v>2</v>
      </c>
      <c r="C43">
        <v>2022</v>
      </c>
      <c r="D43">
        <v>2023</v>
      </c>
      <c r="E43">
        <v>2024</v>
      </c>
      <c r="F43" t="s">
        <v>3509</v>
      </c>
    </row>
    <row r="44" spans="2:6" x14ac:dyDescent="0.3">
      <c r="B44" s="2" t="s">
        <v>16</v>
      </c>
      <c r="C44" s="3"/>
      <c r="D44" s="3">
        <v>526243</v>
      </c>
      <c r="E44" s="3">
        <v>647</v>
      </c>
      <c r="F44" s="3">
        <v>526890</v>
      </c>
    </row>
    <row r="45" spans="2:6" x14ac:dyDescent="0.3">
      <c r="B45" s="2" t="s">
        <v>14</v>
      </c>
      <c r="C45" s="3"/>
      <c r="D45" s="3">
        <v>602389</v>
      </c>
      <c r="E45" s="3">
        <v>223</v>
      </c>
      <c r="F45" s="3">
        <v>602612</v>
      </c>
    </row>
    <row r="46" spans="2:6" x14ac:dyDescent="0.3">
      <c r="B46" s="2" t="s">
        <v>31</v>
      </c>
      <c r="C46" s="3"/>
      <c r="D46" s="3">
        <v>499909</v>
      </c>
      <c r="E46" s="3"/>
      <c r="F46" s="3">
        <v>499909</v>
      </c>
    </row>
    <row r="47" spans="2:6" x14ac:dyDescent="0.3">
      <c r="B47" s="2" t="s">
        <v>24</v>
      </c>
      <c r="C47" s="3"/>
      <c r="D47" s="3">
        <v>502292</v>
      </c>
      <c r="E47" s="3">
        <v>627</v>
      </c>
      <c r="F47" s="3">
        <v>502919</v>
      </c>
    </row>
    <row r="48" spans="2:6" x14ac:dyDescent="0.3">
      <c r="B48" s="2" t="s">
        <v>11</v>
      </c>
      <c r="C48" s="3">
        <v>824</v>
      </c>
      <c r="D48" s="3">
        <v>592009</v>
      </c>
      <c r="E48" s="3">
        <v>63</v>
      </c>
      <c r="F48" s="3">
        <v>592896</v>
      </c>
    </row>
    <row r="49" spans="2:6" x14ac:dyDescent="0.3">
      <c r="B49" s="2" t="s">
        <v>3535</v>
      </c>
      <c r="C49" s="3"/>
      <c r="D49" s="3">
        <v>277311</v>
      </c>
      <c r="E49" s="3">
        <v>2142</v>
      </c>
      <c r="F49" s="3">
        <v>279453</v>
      </c>
    </row>
    <row r="50" spans="2:6" x14ac:dyDescent="0.3">
      <c r="B50" s="2" t="s">
        <v>3509</v>
      </c>
      <c r="C50" s="3">
        <v>824</v>
      </c>
      <c r="D50" s="3">
        <v>3000153</v>
      </c>
      <c r="E50" s="3">
        <v>3702</v>
      </c>
      <c r="F50" s="3">
        <v>3004679</v>
      </c>
    </row>
    <row r="60" spans="2:6" x14ac:dyDescent="0.3">
      <c r="B60" s="1" t="s">
        <v>3511</v>
      </c>
      <c r="C60" s="7" t="s">
        <v>3508</v>
      </c>
    </row>
    <row r="61" spans="2:6" x14ac:dyDescent="0.3">
      <c r="B61" s="1" t="s">
        <v>2</v>
      </c>
      <c r="C61">
        <v>2022</v>
      </c>
      <c r="D61">
        <v>2023</v>
      </c>
      <c r="E61">
        <v>2024</v>
      </c>
      <c r="F61" t="s">
        <v>3509</v>
      </c>
    </row>
    <row r="62" spans="2:6" x14ac:dyDescent="0.3">
      <c r="B62" s="2" t="s">
        <v>16</v>
      </c>
      <c r="C62" s="3"/>
      <c r="D62" s="3">
        <v>59253</v>
      </c>
      <c r="E62" s="3">
        <v>111</v>
      </c>
      <c r="F62" s="3">
        <v>59364</v>
      </c>
    </row>
    <row r="63" spans="2:6" x14ac:dyDescent="0.3">
      <c r="B63" s="2" t="s">
        <v>14</v>
      </c>
      <c r="C63" s="3"/>
      <c r="D63" s="3">
        <v>66797</v>
      </c>
      <c r="E63" s="3">
        <v>41</v>
      </c>
      <c r="F63" s="3">
        <v>66838</v>
      </c>
    </row>
    <row r="64" spans="2:6" x14ac:dyDescent="0.3">
      <c r="B64" s="2" t="s">
        <v>31</v>
      </c>
      <c r="C64" s="3"/>
      <c r="D64" s="3">
        <v>56080</v>
      </c>
      <c r="E64" s="3"/>
      <c r="F64" s="3">
        <v>56080</v>
      </c>
    </row>
    <row r="65" spans="2:6" x14ac:dyDescent="0.3">
      <c r="B65" s="2" t="s">
        <v>24</v>
      </c>
      <c r="C65" s="3"/>
      <c r="D65" s="3">
        <v>55142</v>
      </c>
      <c r="E65" s="3">
        <v>86</v>
      </c>
      <c r="F65" s="3">
        <v>55228</v>
      </c>
    </row>
    <row r="66" spans="2:6" x14ac:dyDescent="0.3">
      <c r="B66" s="2" t="s">
        <v>11</v>
      </c>
      <c r="C66" s="3">
        <v>111</v>
      </c>
      <c r="D66" s="3">
        <v>64499</v>
      </c>
      <c r="E66" s="3">
        <v>8</v>
      </c>
      <c r="F66" s="3">
        <v>64618</v>
      </c>
    </row>
    <row r="67" spans="2:6" x14ac:dyDescent="0.3">
      <c r="B67" s="2" t="s">
        <v>3535</v>
      </c>
      <c r="C67" s="3"/>
      <c r="D67" s="3">
        <v>33173</v>
      </c>
      <c r="E67" s="3">
        <v>153</v>
      </c>
      <c r="F67" s="3">
        <v>33326</v>
      </c>
    </row>
    <row r="68" spans="2:6" x14ac:dyDescent="0.3">
      <c r="B68" s="2" t="s">
        <v>3509</v>
      </c>
      <c r="C68" s="3">
        <v>111</v>
      </c>
      <c r="D68" s="3">
        <v>334944</v>
      </c>
      <c r="E68" s="3">
        <v>399</v>
      </c>
      <c r="F68" s="3">
        <v>335454</v>
      </c>
    </row>
    <row r="77" spans="2:6" x14ac:dyDescent="0.3">
      <c r="B77" s="1" t="s">
        <v>3513</v>
      </c>
      <c r="C77" s="7" t="s">
        <v>3508</v>
      </c>
    </row>
    <row r="78" spans="2:6" x14ac:dyDescent="0.3">
      <c r="B78" s="1" t="s">
        <v>2</v>
      </c>
      <c r="C78">
        <v>2022</v>
      </c>
      <c r="D78">
        <v>2023</v>
      </c>
      <c r="E78">
        <v>2024</v>
      </c>
      <c r="F78" t="s">
        <v>3509</v>
      </c>
    </row>
    <row r="79" spans="2:6" x14ac:dyDescent="0.3">
      <c r="B79" s="2" t="s">
        <v>16</v>
      </c>
      <c r="C79" s="3"/>
      <c r="D79" s="3">
        <v>350</v>
      </c>
      <c r="E79" s="3">
        <v>1</v>
      </c>
      <c r="F79" s="3">
        <v>351</v>
      </c>
    </row>
    <row r="80" spans="2:6" x14ac:dyDescent="0.3">
      <c r="B80" s="2" t="s">
        <v>14</v>
      </c>
      <c r="C80" s="3"/>
      <c r="D80" s="3">
        <v>386</v>
      </c>
      <c r="E80" s="3">
        <v>1</v>
      </c>
      <c r="F80" s="3">
        <v>387</v>
      </c>
    </row>
    <row r="81" spans="2:6" x14ac:dyDescent="0.3">
      <c r="B81" s="2" t="s">
        <v>31</v>
      </c>
      <c r="C81" s="3"/>
      <c r="D81" s="3">
        <v>331</v>
      </c>
      <c r="E81" s="3"/>
      <c r="F81" s="3">
        <v>331</v>
      </c>
    </row>
    <row r="82" spans="2:6" x14ac:dyDescent="0.3">
      <c r="B82" s="2" t="s">
        <v>24</v>
      </c>
      <c r="C82" s="3"/>
      <c r="D82" s="3">
        <v>340</v>
      </c>
      <c r="E82" s="3">
        <v>2</v>
      </c>
      <c r="F82" s="3">
        <v>342</v>
      </c>
    </row>
    <row r="83" spans="2:6" x14ac:dyDescent="0.3">
      <c r="B83" s="2" t="s">
        <v>11</v>
      </c>
      <c r="C83" s="3">
        <v>1</v>
      </c>
      <c r="D83" s="3">
        <v>395</v>
      </c>
      <c r="E83" s="3">
        <v>1</v>
      </c>
      <c r="F83" s="3">
        <v>397</v>
      </c>
    </row>
    <row r="84" spans="2:6" x14ac:dyDescent="0.3">
      <c r="B84" s="2" t="s">
        <v>3535</v>
      </c>
      <c r="C84" s="3"/>
      <c r="D84" s="3">
        <v>192</v>
      </c>
      <c r="E84" s="3">
        <v>1</v>
      </c>
      <c r="F84" s="3">
        <v>193</v>
      </c>
    </row>
    <row r="85" spans="2:6" x14ac:dyDescent="0.3">
      <c r="B85" s="2" t="s">
        <v>3509</v>
      </c>
      <c r="C85" s="3">
        <v>1</v>
      </c>
      <c r="D85" s="3">
        <v>1994</v>
      </c>
      <c r="E85" s="3">
        <v>6</v>
      </c>
      <c r="F85" s="3">
        <v>2001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60C5-6593-40B8-BB80-CA30D70A6DF3}">
  <dimension ref="B5:J73"/>
  <sheetViews>
    <sheetView topLeftCell="A28" zoomScale="80" zoomScaleNormal="80" workbookViewId="0">
      <selection activeCell="G11" sqref="G11"/>
    </sheetView>
  </sheetViews>
  <sheetFormatPr defaultRowHeight="14.4" x14ac:dyDescent="0.3"/>
  <cols>
    <col min="2" max="2" width="34.109375" bestFit="1" customWidth="1"/>
    <col min="3" max="3" width="11.21875" bestFit="1" customWidth="1"/>
    <col min="4" max="4" width="7.44140625" bestFit="1" customWidth="1"/>
    <col min="5" max="5" width="6.21875" bestFit="1" customWidth="1"/>
    <col min="6" max="6" width="12.6640625" bestFit="1" customWidth="1"/>
    <col min="7" max="7" width="13.21875" bestFit="1" customWidth="1"/>
    <col min="8" max="8" width="16.6640625" bestFit="1" customWidth="1"/>
    <col min="9" max="9" width="18.88671875" bestFit="1" customWidth="1"/>
    <col min="10" max="10" width="22.33203125" bestFit="1" customWidth="1"/>
    <col min="11" max="11" width="15.109375" bestFit="1" customWidth="1"/>
    <col min="12" max="12" width="22.33203125" bestFit="1" customWidth="1"/>
    <col min="13" max="13" width="18.88671875" bestFit="1" customWidth="1"/>
    <col min="14" max="14" width="23.5546875" bestFit="1" customWidth="1"/>
    <col min="15" max="16" width="13.21875" bestFit="1" customWidth="1"/>
    <col min="17" max="18" width="15.88671875" bestFit="1" customWidth="1"/>
    <col min="19" max="19" width="20" bestFit="1" customWidth="1"/>
    <col min="20" max="21" width="13.21875" bestFit="1" customWidth="1"/>
    <col min="22" max="22" width="12.109375" bestFit="1" customWidth="1"/>
    <col min="23" max="24" width="12.33203125" bestFit="1" customWidth="1"/>
    <col min="25" max="25" width="16.21875" bestFit="1" customWidth="1"/>
    <col min="26" max="26" width="13.6640625" bestFit="1" customWidth="1"/>
    <col min="27" max="27" width="17.6640625" bestFit="1" customWidth="1"/>
    <col min="28" max="29" width="12.44140625" bestFit="1" customWidth="1"/>
    <col min="30" max="30" width="16.33203125" bestFit="1" customWidth="1"/>
    <col min="31" max="33" width="9.44140625" bestFit="1" customWidth="1"/>
    <col min="34" max="34" width="13.21875" bestFit="1" customWidth="1"/>
    <col min="35" max="36" width="15.88671875" bestFit="1" customWidth="1"/>
    <col min="37" max="37" width="20" bestFit="1" customWidth="1"/>
    <col min="38" max="38" width="22.33203125" bestFit="1" customWidth="1"/>
    <col min="39" max="39" width="18.88671875" bestFit="1" customWidth="1"/>
  </cols>
  <sheetData>
    <row r="5" spans="2:10" x14ac:dyDescent="0.3">
      <c r="C5" s="7" t="s">
        <v>3508</v>
      </c>
    </row>
    <row r="6" spans="2:10" x14ac:dyDescent="0.3">
      <c r="C6">
        <v>2022</v>
      </c>
      <c r="E6">
        <v>2023</v>
      </c>
      <c r="G6">
        <v>2024</v>
      </c>
      <c r="I6" t="s">
        <v>3543</v>
      </c>
      <c r="J6" t="s">
        <v>3542</v>
      </c>
    </row>
    <row r="7" spans="2:10" x14ac:dyDescent="0.3">
      <c r="B7" s="1" t="s">
        <v>3530</v>
      </c>
      <c r="C7" t="s">
        <v>3541</v>
      </c>
      <c r="D7" t="s">
        <v>3525</v>
      </c>
      <c r="E7" t="s">
        <v>3541</v>
      </c>
      <c r="F7" t="s">
        <v>3525</v>
      </c>
      <c r="G7" t="s">
        <v>3541</v>
      </c>
      <c r="H7" t="s">
        <v>3525</v>
      </c>
    </row>
    <row r="8" spans="2:10" x14ac:dyDescent="0.3">
      <c r="B8" s="2" t="s">
        <v>16</v>
      </c>
      <c r="C8" s="3"/>
      <c r="D8" s="3"/>
      <c r="E8" s="3">
        <v>708050</v>
      </c>
      <c r="F8" s="3">
        <v>2.9207436027369634E-2</v>
      </c>
      <c r="G8" s="3">
        <v>2024</v>
      </c>
      <c r="H8" s="3">
        <v>3.9247801031240523E-2</v>
      </c>
      <c r="I8" s="3">
        <v>710074</v>
      </c>
      <c r="J8" s="3">
        <v>2.9236041055870691E-2</v>
      </c>
    </row>
    <row r="9" spans="2:10" x14ac:dyDescent="0.3">
      <c r="B9" s="2" t="s">
        <v>14</v>
      </c>
      <c r="C9" s="3"/>
      <c r="D9" s="3"/>
      <c r="E9" s="3">
        <v>780878</v>
      </c>
      <c r="F9" s="3">
        <v>3.0292243255154692E-2</v>
      </c>
      <c r="G9" s="3">
        <v>2024</v>
      </c>
      <c r="H9" s="3">
        <v>3.8735452492617679E-2</v>
      </c>
      <c r="I9" s="3">
        <v>782902</v>
      </c>
      <c r="J9" s="3">
        <v>3.0314060333287672E-2</v>
      </c>
    </row>
    <row r="10" spans="2:10" x14ac:dyDescent="0.3">
      <c r="B10" s="2" t="s">
        <v>31</v>
      </c>
      <c r="C10" s="3"/>
      <c r="D10" s="3"/>
      <c r="E10" s="3">
        <v>669613</v>
      </c>
      <c r="F10" s="3">
        <v>3.0038306113775098E-2</v>
      </c>
      <c r="G10" s="3"/>
      <c r="H10" s="3"/>
      <c r="I10" s="3">
        <v>669613</v>
      </c>
      <c r="J10" s="3">
        <v>3.0038306113775098E-2</v>
      </c>
    </row>
    <row r="11" spans="2:10" x14ac:dyDescent="0.3">
      <c r="B11" s="2" t="s">
        <v>24</v>
      </c>
      <c r="C11" s="3"/>
      <c r="D11" s="3"/>
      <c r="E11" s="3">
        <v>687820</v>
      </c>
      <c r="F11" s="3">
        <v>3.0095677317267318E-2</v>
      </c>
      <c r="G11" s="3">
        <v>4048</v>
      </c>
      <c r="H11" s="3">
        <v>2.7754562516215914E-2</v>
      </c>
      <c r="I11" s="3">
        <v>691868</v>
      </c>
      <c r="J11" s="3">
        <v>3.0081986587436608E-2</v>
      </c>
    </row>
    <row r="12" spans="2:10" x14ac:dyDescent="0.3">
      <c r="B12" s="2" t="s">
        <v>11</v>
      </c>
      <c r="C12" s="3">
        <v>2022</v>
      </c>
      <c r="D12" s="3">
        <v>1.3398373983739838E-2</v>
      </c>
      <c r="E12" s="3">
        <v>799085</v>
      </c>
      <c r="F12" s="3">
        <v>3.0329742927282796E-2</v>
      </c>
      <c r="G12" s="3">
        <v>2024</v>
      </c>
      <c r="H12" s="3">
        <v>2.4609374999999999E-2</v>
      </c>
      <c r="I12" s="3">
        <v>803131</v>
      </c>
      <c r="J12" s="3">
        <v>3.0272685655567875E-2</v>
      </c>
    </row>
    <row r="13" spans="2:10" x14ac:dyDescent="0.3">
      <c r="B13" s="2" t="s">
        <v>3535</v>
      </c>
      <c r="C13" s="3"/>
      <c r="D13" s="3"/>
      <c r="E13" s="3">
        <v>388416</v>
      </c>
      <c r="F13" s="3">
        <v>3.0312072273729829E-2</v>
      </c>
      <c r="G13" s="3">
        <v>2024</v>
      </c>
      <c r="H13" s="3">
        <v>3.0581651009394362E-2</v>
      </c>
      <c r="I13" s="3">
        <v>390440</v>
      </c>
      <c r="J13" s="3">
        <v>3.0313469054743636E-2</v>
      </c>
    </row>
    <row r="14" spans="2:10" x14ac:dyDescent="0.3">
      <c r="B14" s="2" t="s">
        <v>3509</v>
      </c>
      <c r="C14" s="3">
        <v>2022</v>
      </c>
      <c r="D14" s="3">
        <v>1.3398373983739838E-2</v>
      </c>
      <c r="E14" s="3">
        <v>4033862</v>
      </c>
      <c r="F14" s="3">
        <v>3.0035498721380293E-2</v>
      </c>
      <c r="G14" s="3">
        <v>12144</v>
      </c>
      <c r="H14" s="3">
        <v>3.1447234094280734E-2</v>
      </c>
      <c r="I14" s="3">
        <v>4048028</v>
      </c>
      <c r="J14" s="3">
        <v>3.0031417405787998E-2</v>
      </c>
    </row>
    <row r="20" spans="2:6" x14ac:dyDescent="0.3">
      <c r="B20" s="1" t="s">
        <v>3514</v>
      </c>
      <c r="C20" s="7" t="s">
        <v>3508</v>
      </c>
    </row>
    <row r="21" spans="2:6" x14ac:dyDescent="0.3">
      <c r="B21" s="1" t="s">
        <v>2</v>
      </c>
      <c r="C21">
        <v>2022</v>
      </c>
      <c r="D21">
        <v>2023</v>
      </c>
      <c r="E21">
        <v>2024</v>
      </c>
      <c r="F21" t="s">
        <v>3509</v>
      </c>
    </row>
    <row r="22" spans="2:6" x14ac:dyDescent="0.3">
      <c r="B22" s="2" t="s">
        <v>16</v>
      </c>
      <c r="C22" s="3"/>
      <c r="D22" s="3">
        <v>39.055055134786173</v>
      </c>
      <c r="E22" s="3">
        <v>0.17156105100463678</v>
      </c>
      <c r="F22" s="3">
        <v>39.22661618579081</v>
      </c>
    </row>
    <row r="23" spans="2:6" x14ac:dyDescent="0.3">
      <c r="B23" s="2" t="s">
        <v>14</v>
      </c>
      <c r="C23" s="3"/>
      <c r="D23" s="3">
        <v>42.866020269168871</v>
      </c>
      <c r="E23" s="3">
        <v>0.18385650224215247</v>
      </c>
      <c r="F23" s="3">
        <v>43.049876771411022</v>
      </c>
    </row>
    <row r="24" spans="2:6" x14ac:dyDescent="0.3">
      <c r="B24" s="2" t="s">
        <v>31</v>
      </c>
      <c r="C24" s="3"/>
      <c r="D24" s="3">
        <v>36.086404603660604</v>
      </c>
      <c r="E24" s="3"/>
      <c r="F24" s="3">
        <v>36.086404603660604</v>
      </c>
    </row>
    <row r="25" spans="2:6" x14ac:dyDescent="0.3">
      <c r="B25" s="2" t="s">
        <v>24</v>
      </c>
      <c r="C25" s="3"/>
      <c r="D25" s="3">
        <v>37.415171624443538</v>
      </c>
      <c r="E25" s="3">
        <v>0.2625426845285001</v>
      </c>
      <c r="F25" s="3">
        <v>37.677714308972035</v>
      </c>
    </row>
    <row r="26" spans="2:6" x14ac:dyDescent="0.3">
      <c r="B26" s="2" t="s">
        <v>11</v>
      </c>
      <c r="C26" s="3">
        <v>0.13470873786407767</v>
      </c>
      <c r="D26" s="3">
        <v>42.827293698655303</v>
      </c>
      <c r="E26" s="3">
        <v>0.12698412698412698</v>
      </c>
      <c r="F26" s="3">
        <v>43.088986563503511</v>
      </c>
    </row>
    <row r="27" spans="2:6" x14ac:dyDescent="0.3">
      <c r="B27" s="2" t="s">
        <v>3535</v>
      </c>
      <c r="C27" s="3"/>
      <c r="D27" s="3">
        <v>22.565986287995763</v>
      </c>
      <c r="E27" s="3">
        <v>7.1428571428571425E-2</v>
      </c>
      <c r="F27" s="3">
        <v>22.637414859424336</v>
      </c>
    </row>
    <row r="28" spans="2:6" x14ac:dyDescent="0.3">
      <c r="B28" s="2" t="s">
        <v>3509</v>
      </c>
      <c r="C28" s="3">
        <v>0.13470873786407767</v>
      </c>
      <c r="D28" s="3">
        <v>220.81593161871024</v>
      </c>
      <c r="E28" s="3">
        <v>0.81637293618798767</v>
      </c>
      <c r="F28" s="3">
        <v>221.76701329276233</v>
      </c>
    </row>
    <row r="35" spans="2:6" x14ac:dyDescent="0.3">
      <c r="B35" s="1" t="s">
        <v>3531</v>
      </c>
      <c r="C35" s="7" t="s">
        <v>3508</v>
      </c>
    </row>
    <row r="36" spans="2:6" x14ac:dyDescent="0.3">
      <c r="B36" s="1" t="s">
        <v>2</v>
      </c>
      <c r="C36">
        <v>2022</v>
      </c>
      <c r="D36">
        <v>2023</v>
      </c>
      <c r="E36">
        <v>2024</v>
      </c>
      <c r="F36" t="s">
        <v>3509</v>
      </c>
    </row>
    <row r="37" spans="2:6" x14ac:dyDescent="0.3">
      <c r="B37" s="2" t="s">
        <v>16</v>
      </c>
      <c r="C37" s="3"/>
      <c r="D37" s="3">
        <v>0.50027840481565089</v>
      </c>
      <c r="E37" s="3">
        <v>0.68316846986089641</v>
      </c>
      <c r="F37" s="3">
        <v>0.50027840481565089</v>
      </c>
    </row>
    <row r="38" spans="2:6" x14ac:dyDescent="0.3">
      <c r="B38" s="2" t="s">
        <v>14</v>
      </c>
      <c r="C38" s="3"/>
      <c r="D38" s="3">
        <v>0.50139534883720926</v>
      </c>
      <c r="E38" s="3">
        <v>1.0609417040358744</v>
      </c>
      <c r="F38" s="3">
        <v>0.50139534883720926</v>
      </c>
    </row>
    <row r="39" spans="2:6" x14ac:dyDescent="0.3">
      <c r="B39" s="2" t="s">
        <v>31</v>
      </c>
      <c r="C39" s="3"/>
      <c r="D39" s="3">
        <v>0.50857790368271949</v>
      </c>
      <c r="E39" s="3"/>
      <c r="F39" s="3">
        <v>0.50857790368271949</v>
      </c>
    </row>
    <row r="40" spans="2:6" x14ac:dyDescent="0.3">
      <c r="B40" s="2" t="s">
        <v>24</v>
      </c>
      <c r="C40" s="3"/>
      <c r="D40" s="3">
        <v>0.51316546762589932</v>
      </c>
      <c r="E40" s="3">
        <v>0.70602836879432618</v>
      </c>
      <c r="F40" s="3">
        <v>0.51316546762589932</v>
      </c>
    </row>
    <row r="41" spans="2:6" x14ac:dyDescent="0.3">
      <c r="B41" s="2" t="s">
        <v>11</v>
      </c>
      <c r="C41" s="3">
        <v>0.95945388349514571</v>
      </c>
      <c r="D41" s="3">
        <v>0.50201740506329107</v>
      </c>
      <c r="E41" s="3">
        <v>1.8357142857142859</v>
      </c>
      <c r="F41" s="3">
        <v>0.50201740506329107</v>
      </c>
    </row>
    <row r="42" spans="2:6" x14ac:dyDescent="0.3">
      <c r="B42" s="2" t="s">
        <v>3535</v>
      </c>
      <c r="C42" s="3"/>
      <c r="D42" s="3">
        <v>0.50575663026521056</v>
      </c>
      <c r="E42" s="3">
        <v>0.70683006535947712</v>
      </c>
      <c r="F42" s="3">
        <v>0.50575663026521056</v>
      </c>
    </row>
    <row r="43" spans="2:6" x14ac:dyDescent="0.3">
      <c r="B43" s="2" t="s">
        <v>3509</v>
      </c>
      <c r="C43" s="3">
        <v>0.95945388349514571</v>
      </c>
      <c r="D43" s="3">
        <v>0.50027840481565089</v>
      </c>
      <c r="E43" s="3">
        <v>0.68316846986089641</v>
      </c>
      <c r="F43" s="3">
        <v>0.50027840481565089</v>
      </c>
    </row>
    <row r="50" spans="2:6" x14ac:dyDescent="0.3">
      <c r="B50" s="1" t="s">
        <v>3532</v>
      </c>
      <c r="C50" s="7" t="s">
        <v>3508</v>
      </c>
    </row>
    <row r="51" spans="2:6" x14ac:dyDescent="0.3">
      <c r="B51" s="1" t="s">
        <v>2</v>
      </c>
      <c r="C51">
        <v>2022</v>
      </c>
      <c r="D51">
        <v>2023</v>
      </c>
      <c r="E51">
        <v>2024</v>
      </c>
      <c r="F51" t="s">
        <v>3509</v>
      </c>
    </row>
    <row r="52" spans="2:6" x14ac:dyDescent="0.3">
      <c r="B52" s="2" t="s">
        <v>16</v>
      </c>
      <c r="C52" s="3"/>
      <c r="D52" s="3">
        <v>350</v>
      </c>
      <c r="E52" s="3">
        <v>1</v>
      </c>
      <c r="F52" s="3">
        <v>351</v>
      </c>
    </row>
    <row r="53" spans="2:6" x14ac:dyDescent="0.3">
      <c r="B53" s="2" t="s">
        <v>14</v>
      </c>
      <c r="C53" s="3"/>
      <c r="D53" s="3">
        <v>386</v>
      </c>
      <c r="E53" s="3">
        <v>1</v>
      </c>
      <c r="F53" s="3">
        <v>387</v>
      </c>
    </row>
    <row r="54" spans="2:6" x14ac:dyDescent="0.3">
      <c r="B54" s="2" t="s">
        <v>31</v>
      </c>
      <c r="C54" s="3"/>
      <c r="D54" s="3">
        <v>331</v>
      </c>
      <c r="E54" s="3"/>
      <c r="F54" s="3">
        <v>331</v>
      </c>
    </row>
    <row r="55" spans="2:6" x14ac:dyDescent="0.3">
      <c r="B55" s="2" t="s">
        <v>24</v>
      </c>
      <c r="C55" s="3"/>
      <c r="D55" s="3">
        <v>340</v>
      </c>
      <c r="E55" s="3">
        <v>2</v>
      </c>
      <c r="F55" s="3">
        <v>342</v>
      </c>
    </row>
    <row r="56" spans="2:6" x14ac:dyDescent="0.3">
      <c r="B56" s="2" t="s">
        <v>11</v>
      </c>
      <c r="C56" s="3">
        <v>1</v>
      </c>
      <c r="D56" s="3">
        <v>395</v>
      </c>
      <c r="E56" s="3">
        <v>1</v>
      </c>
      <c r="F56" s="3">
        <v>397</v>
      </c>
    </row>
    <row r="57" spans="2:6" x14ac:dyDescent="0.3">
      <c r="B57" s="2" t="s">
        <v>3535</v>
      </c>
      <c r="C57" s="3"/>
      <c r="D57" s="3">
        <v>192</v>
      </c>
      <c r="E57" s="3">
        <v>1</v>
      </c>
      <c r="F57" s="3">
        <v>193</v>
      </c>
    </row>
    <row r="58" spans="2:6" x14ac:dyDescent="0.3">
      <c r="B58" s="2" t="s">
        <v>3509</v>
      </c>
      <c r="C58" s="3">
        <v>1</v>
      </c>
      <c r="D58" s="3">
        <v>1994</v>
      </c>
      <c r="E58" s="3">
        <v>6</v>
      </c>
      <c r="F58" s="3">
        <v>2001</v>
      </c>
    </row>
    <row r="65" spans="2:6" x14ac:dyDescent="0.3">
      <c r="B65" s="1" t="s">
        <v>3534</v>
      </c>
      <c r="C65" s="7" t="s">
        <v>3508</v>
      </c>
    </row>
    <row r="66" spans="2:6" x14ac:dyDescent="0.3">
      <c r="B66" s="1" t="s">
        <v>2</v>
      </c>
      <c r="C66">
        <v>2022</v>
      </c>
      <c r="D66">
        <v>2023</v>
      </c>
      <c r="E66">
        <v>2024</v>
      </c>
      <c r="F66" t="s">
        <v>3509</v>
      </c>
    </row>
    <row r="67" spans="2:6" x14ac:dyDescent="0.3">
      <c r="B67" s="2" t="s">
        <v>16</v>
      </c>
      <c r="C67" s="3"/>
      <c r="D67" s="3">
        <v>6811</v>
      </c>
      <c r="E67" s="3">
        <v>17</v>
      </c>
      <c r="F67" s="3">
        <v>6828</v>
      </c>
    </row>
    <row r="68" spans="2:6" x14ac:dyDescent="0.3">
      <c r="B68" s="2" t="s">
        <v>14</v>
      </c>
      <c r="C68" s="3"/>
      <c r="D68" s="3">
        <v>7025</v>
      </c>
      <c r="E68" s="3">
        <v>26</v>
      </c>
      <c r="F68" s="3">
        <v>7051</v>
      </c>
    </row>
    <row r="69" spans="2:6" x14ac:dyDescent="0.3">
      <c r="B69" s="2" t="s">
        <v>31</v>
      </c>
      <c r="C69" s="3"/>
      <c r="D69" s="3">
        <v>6552</v>
      </c>
      <c r="E69" s="3"/>
      <c r="F69" s="3">
        <v>6552</v>
      </c>
    </row>
    <row r="70" spans="2:6" x14ac:dyDescent="0.3">
      <c r="B70" s="2" t="s">
        <v>24</v>
      </c>
      <c r="C70" s="3"/>
      <c r="D70" s="3">
        <v>6548</v>
      </c>
      <c r="E70" s="3">
        <v>52</v>
      </c>
      <c r="F70" s="3">
        <v>6600</v>
      </c>
    </row>
    <row r="71" spans="2:6" x14ac:dyDescent="0.3">
      <c r="B71" s="2" t="s">
        <v>11</v>
      </c>
      <c r="C71" s="3">
        <v>121</v>
      </c>
      <c r="D71" s="3">
        <v>7688</v>
      </c>
      <c r="E71" s="3">
        <v>15</v>
      </c>
      <c r="F71" s="3">
        <v>7824</v>
      </c>
    </row>
    <row r="72" spans="2:6" x14ac:dyDescent="0.3">
      <c r="B72" s="2" t="s">
        <v>3535</v>
      </c>
      <c r="C72" s="3"/>
      <c r="D72" s="3">
        <v>3385</v>
      </c>
      <c r="E72" s="3">
        <v>10</v>
      </c>
      <c r="F72" s="3">
        <v>3395</v>
      </c>
    </row>
    <row r="73" spans="2:6" x14ac:dyDescent="0.3">
      <c r="B73" s="2" t="s">
        <v>3509</v>
      </c>
      <c r="C73" s="3">
        <v>121</v>
      </c>
      <c r="D73" s="3">
        <v>38009</v>
      </c>
      <c r="E73" s="3">
        <v>120</v>
      </c>
      <c r="F73" s="3">
        <v>38250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CF24-FC9B-4301-8E2C-CC5F6D1FFFB1}">
  <dimension ref="B5:I107"/>
  <sheetViews>
    <sheetView topLeftCell="A7" zoomScale="80" zoomScaleNormal="80" workbookViewId="0">
      <selection activeCell="G7" sqref="G7"/>
    </sheetView>
  </sheetViews>
  <sheetFormatPr defaultRowHeight="14.4" x14ac:dyDescent="0.3"/>
  <cols>
    <col min="2" max="2" width="16.88671875" bestFit="1" customWidth="1"/>
    <col min="3" max="9" width="14.77734375" bestFit="1" customWidth="1"/>
    <col min="10" max="10" width="15.21875" bestFit="1" customWidth="1"/>
    <col min="11" max="12" width="13.33203125" customWidth="1"/>
  </cols>
  <sheetData>
    <row r="5" spans="2:9" x14ac:dyDescent="0.3">
      <c r="B5" s="1" t="s">
        <v>3510</v>
      </c>
      <c r="C5" s="1" t="s">
        <v>2</v>
      </c>
    </row>
    <row r="6" spans="2:9" x14ac:dyDescent="0.3">
      <c r="B6" s="7" t="s">
        <v>3528</v>
      </c>
      <c r="C6" t="s">
        <v>16</v>
      </c>
      <c r="D6" t="s">
        <v>14</v>
      </c>
      <c r="E6" t="s">
        <v>31</v>
      </c>
      <c r="F6" t="s">
        <v>24</v>
      </c>
      <c r="G6" t="s">
        <v>11</v>
      </c>
      <c r="H6" t="s">
        <v>3535</v>
      </c>
      <c r="I6" t="s">
        <v>3509</v>
      </c>
    </row>
    <row r="7" spans="2:9" x14ac:dyDescent="0.3">
      <c r="B7" s="2">
        <v>2022</v>
      </c>
      <c r="C7" s="3"/>
      <c r="D7" s="3"/>
      <c r="E7" s="3"/>
      <c r="F7" s="3"/>
      <c r="G7" s="3">
        <v>790.59</v>
      </c>
      <c r="H7" s="3"/>
      <c r="I7" s="3">
        <v>790.59</v>
      </c>
    </row>
    <row r="8" spans="2:9" x14ac:dyDescent="0.3">
      <c r="B8" s="6" t="s">
        <v>3518</v>
      </c>
      <c r="C8" s="3"/>
      <c r="D8" s="3"/>
      <c r="E8" s="3"/>
      <c r="F8" s="3"/>
      <c r="G8" s="3">
        <v>790.59</v>
      </c>
      <c r="H8" s="3"/>
      <c r="I8" s="3">
        <v>790.59</v>
      </c>
    </row>
    <row r="9" spans="2:9" x14ac:dyDescent="0.3">
      <c r="B9" s="2">
        <v>2023</v>
      </c>
      <c r="C9" s="3">
        <v>1662713</v>
      </c>
      <c r="D9" s="3">
        <v>1754993.79</v>
      </c>
      <c r="E9" s="3">
        <v>641576.01</v>
      </c>
      <c r="F9" s="3">
        <v>618455.90999999992</v>
      </c>
      <c r="G9" s="3">
        <v>734369.1399999999</v>
      </c>
      <c r="H9" s="3">
        <v>840879.42000000027</v>
      </c>
      <c r="I9" s="3">
        <v>6252987.2700000005</v>
      </c>
    </row>
    <row r="10" spans="2:9" x14ac:dyDescent="0.3">
      <c r="B10" s="6" t="s">
        <v>3519</v>
      </c>
      <c r="C10" s="3">
        <v>1163065.6700000002</v>
      </c>
      <c r="D10" s="3">
        <v>181691.91999999993</v>
      </c>
      <c r="E10" s="3">
        <v>205568.19</v>
      </c>
      <c r="F10" s="3">
        <v>132177.10000000003</v>
      </c>
      <c r="G10" s="3">
        <v>172483.23</v>
      </c>
      <c r="H10" s="3">
        <v>560961.24000000022</v>
      </c>
      <c r="I10" s="3">
        <v>2415947.3500000006</v>
      </c>
    </row>
    <row r="11" spans="2:9" x14ac:dyDescent="0.3">
      <c r="B11" s="6" t="s">
        <v>3518</v>
      </c>
      <c r="C11" s="3">
        <v>113625.34999999995</v>
      </c>
      <c r="D11" s="3">
        <v>706334.65000000014</v>
      </c>
      <c r="E11" s="3">
        <v>151133.11999999997</v>
      </c>
      <c r="F11" s="3">
        <v>154846.06999999998</v>
      </c>
      <c r="G11" s="3">
        <v>186298.61999999997</v>
      </c>
      <c r="H11" s="3">
        <v>97994.400000000038</v>
      </c>
      <c r="I11" s="3">
        <v>1410232.2100000002</v>
      </c>
    </row>
    <row r="12" spans="2:9" x14ac:dyDescent="0.3">
      <c r="B12" s="6" t="s">
        <v>3516</v>
      </c>
      <c r="C12" s="3">
        <v>206252.44999999998</v>
      </c>
      <c r="D12" s="3">
        <v>200765.41000000003</v>
      </c>
      <c r="E12" s="3">
        <v>141119.05000000005</v>
      </c>
      <c r="F12" s="3">
        <v>153372.71</v>
      </c>
      <c r="G12" s="3">
        <v>188785.91</v>
      </c>
      <c r="H12" s="3">
        <v>96943.249999999971</v>
      </c>
      <c r="I12" s="3">
        <v>987238.78</v>
      </c>
    </row>
    <row r="13" spans="2:9" x14ac:dyDescent="0.3">
      <c r="B13" s="6" t="s">
        <v>3515</v>
      </c>
      <c r="C13" s="3">
        <v>179769.53000000003</v>
      </c>
      <c r="D13" s="3">
        <v>666201.80999999994</v>
      </c>
      <c r="E13" s="3">
        <v>143755.65</v>
      </c>
      <c r="F13" s="3">
        <v>178060.02999999997</v>
      </c>
      <c r="G13" s="3">
        <v>186801.37999999992</v>
      </c>
      <c r="H13" s="3">
        <v>84980.53</v>
      </c>
      <c r="I13" s="3">
        <v>1439568.93</v>
      </c>
    </row>
    <row r="14" spans="2:9" x14ac:dyDescent="0.3">
      <c r="B14" s="2">
        <v>2024</v>
      </c>
      <c r="C14" s="3">
        <v>442.01</v>
      </c>
      <c r="D14" s="3">
        <v>236.59</v>
      </c>
      <c r="E14" s="3"/>
      <c r="F14" s="3">
        <v>661.16</v>
      </c>
      <c r="G14" s="3">
        <v>115.65</v>
      </c>
      <c r="H14" s="3">
        <v>1514.03</v>
      </c>
      <c r="I14" s="3">
        <v>2969.4399999999996</v>
      </c>
    </row>
    <row r="15" spans="2:9" x14ac:dyDescent="0.3">
      <c r="B15" s="6" t="s">
        <v>3519</v>
      </c>
      <c r="C15" s="3"/>
      <c r="D15" s="3">
        <v>236.59</v>
      </c>
      <c r="E15" s="3"/>
      <c r="F15" s="3">
        <v>99.55</v>
      </c>
      <c r="G15" s="3"/>
      <c r="H15" s="3"/>
      <c r="I15" s="3">
        <v>336.14</v>
      </c>
    </row>
    <row r="16" spans="2:9" x14ac:dyDescent="0.3">
      <c r="B16" s="6" t="s">
        <v>3516</v>
      </c>
      <c r="C16" s="3">
        <v>442.01</v>
      </c>
      <c r="D16" s="3"/>
      <c r="E16" s="3"/>
      <c r="F16" s="3"/>
      <c r="G16" s="3">
        <v>115.65</v>
      </c>
      <c r="H16" s="3"/>
      <c r="I16" s="3">
        <v>557.66</v>
      </c>
    </row>
    <row r="17" spans="2:9" x14ac:dyDescent="0.3">
      <c r="B17" s="6" t="s">
        <v>3515</v>
      </c>
      <c r="C17" s="3"/>
      <c r="D17" s="3"/>
      <c r="E17" s="3"/>
      <c r="F17" s="3">
        <v>561.61</v>
      </c>
      <c r="G17" s="3"/>
      <c r="H17" s="3">
        <v>1514.03</v>
      </c>
      <c r="I17" s="3">
        <v>2075.64</v>
      </c>
    </row>
    <row r="18" spans="2:9" x14ac:dyDescent="0.3">
      <c r="B18" s="2" t="s">
        <v>3509</v>
      </c>
      <c r="C18" s="3">
        <v>1663155.01</v>
      </c>
      <c r="D18" s="3">
        <v>1755230.3800000001</v>
      </c>
      <c r="E18" s="3">
        <v>641576.01</v>
      </c>
      <c r="F18" s="3">
        <v>619117.06999999995</v>
      </c>
      <c r="G18" s="3">
        <v>735275.37999999989</v>
      </c>
      <c r="H18" s="3">
        <v>842393.4500000003</v>
      </c>
      <c r="I18" s="3">
        <v>6256747.2999999998</v>
      </c>
    </row>
    <row r="23" spans="2:9" x14ac:dyDescent="0.3">
      <c r="B23" s="1" t="s">
        <v>3512</v>
      </c>
      <c r="C23" s="1" t="s">
        <v>2</v>
      </c>
    </row>
    <row r="24" spans="2:9" x14ac:dyDescent="0.3">
      <c r="B24" s="7" t="s">
        <v>3528</v>
      </c>
      <c r="C24" t="s">
        <v>16</v>
      </c>
      <c r="D24" t="s">
        <v>14</v>
      </c>
      <c r="E24" t="s">
        <v>31</v>
      </c>
      <c r="F24" t="s">
        <v>24</v>
      </c>
      <c r="G24" t="s">
        <v>11</v>
      </c>
      <c r="H24" t="s">
        <v>3535</v>
      </c>
      <c r="I24" t="s">
        <v>3509</v>
      </c>
    </row>
    <row r="25" spans="2:9" x14ac:dyDescent="0.3">
      <c r="B25" s="2">
        <v>2022</v>
      </c>
      <c r="C25" s="3"/>
      <c r="D25" s="3"/>
      <c r="E25" s="3"/>
      <c r="F25" s="3"/>
      <c r="G25" s="3">
        <v>824</v>
      </c>
      <c r="H25" s="3"/>
      <c r="I25" s="3">
        <v>824</v>
      </c>
    </row>
    <row r="26" spans="2:9" x14ac:dyDescent="0.3">
      <c r="B26" s="6" t="s">
        <v>3518</v>
      </c>
      <c r="C26" s="3"/>
      <c r="D26" s="3"/>
      <c r="E26" s="3"/>
      <c r="F26" s="3"/>
      <c r="G26" s="3">
        <v>824</v>
      </c>
      <c r="H26" s="3"/>
      <c r="I26" s="3">
        <v>824</v>
      </c>
    </row>
    <row r="27" spans="2:9" x14ac:dyDescent="0.3">
      <c r="B27" s="2">
        <v>2023</v>
      </c>
      <c r="C27" s="3">
        <v>526243</v>
      </c>
      <c r="D27" s="3">
        <v>602389</v>
      </c>
      <c r="E27" s="3">
        <v>499909</v>
      </c>
      <c r="F27" s="3">
        <v>502292</v>
      </c>
      <c r="G27" s="3">
        <v>592009</v>
      </c>
      <c r="H27" s="3">
        <v>277311</v>
      </c>
      <c r="I27" s="3">
        <v>3000153</v>
      </c>
    </row>
    <row r="28" spans="2:9" x14ac:dyDescent="0.3">
      <c r="B28" s="6" t="s">
        <v>3519</v>
      </c>
      <c r="C28" s="3">
        <v>127793</v>
      </c>
      <c r="D28" s="3">
        <v>136096</v>
      </c>
      <c r="E28" s="3">
        <v>160637</v>
      </c>
      <c r="F28" s="3">
        <v>106060</v>
      </c>
      <c r="G28" s="3">
        <v>150811</v>
      </c>
      <c r="H28" s="3">
        <v>58060</v>
      </c>
      <c r="I28" s="3">
        <v>739457</v>
      </c>
    </row>
    <row r="29" spans="2:9" x14ac:dyDescent="0.3">
      <c r="B29" s="6" t="s">
        <v>3518</v>
      </c>
      <c r="C29" s="3">
        <v>97549</v>
      </c>
      <c r="D29" s="3">
        <v>162490</v>
      </c>
      <c r="E29" s="3">
        <v>127307</v>
      </c>
      <c r="F29" s="3">
        <v>123003</v>
      </c>
      <c r="G29" s="3">
        <v>144565</v>
      </c>
      <c r="H29" s="3">
        <v>73698</v>
      </c>
      <c r="I29" s="3">
        <v>728612</v>
      </c>
    </row>
    <row r="30" spans="2:9" x14ac:dyDescent="0.3">
      <c r="B30" s="6" t="s">
        <v>3516</v>
      </c>
      <c r="C30" s="3">
        <v>159493</v>
      </c>
      <c r="D30" s="3">
        <v>163139</v>
      </c>
      <c r="E30" s="3">
        <v>105423</v>
      </c>
      <c r="F30" s="3">
        <v>124521</v>
      </c>
      <c r="G30" s="3">
        <v>150783</v>
      </c>
      <c r="H30" s="3">
        <v>77959</v>
      </c>
      <c r="I30" s="3">
        <v>781318</v>
      </c>
    </row>
    <row r="31" spans="2:9" x14ac:dyDescent="0.3">
      <c r="B31" s="6" t="s">
        <v>3515</v>
      </c>
      <c r="C31" s="3">
        <v>141408</v>
      </c>
      <c r="D31" s="3">
        <v>140664</v>
      </c>
      <c r="E31" s="3">
        <v>106542</v>
      </c>
      <c r="F31" s="3">
        <v>148708</v>
      </c>
      <c r="G31" s="3">
        <v>145850</v>
      </c>
      <c r="H31" s="3">
        <v>67594</v>
      </c>
      <c r="I31" s="3">
        <v>750766</v>
      </c>
    </row>
    <row r="32" spans="2:9" x14ac:dyDescent="0.3">
      <c r="B32" s="2">
        <v>2024</v>
      </c>
      <c r="C32" s="3">
        <v>647</v>
      </c>
      <c r="D32" s="3">
        <v>223</v>
      </c>
      <c r="E32" s="3"/>
      <c r="F32" s="3">
        <v>627</v>
      </c>
      <c r="G32" s="3">
        <v>63</v>
      </c>
      <c r="H32" s="3">
        <v>2142</v>
      </c>
      <c r="I32" s="3">
        <v>3702</v>
      </c>
    </row>
    <row r="33" spans="2:9" x14ac:dyDescent="0.3">
      <c r="B33" s="6" t="s">
        <v>3519</v>
      </c>
      <c r="C33" s="3"/>
      <c r="D33" s="3">
        <v>223</v>
      </c>
      <c r="E33" s="3"/>
      <c r="F33" s="3">
        <v>141</v>
      </c>
      <c r="G33" s="3"/>
      <c r="H33" s="3"/>
      <c r="I33" s="3">
        <v>364</v>
      </c>
    </row>
    <row r="34" spans="2:9" x14ac:dyDescent="0.3">
      <c r="B34" s="6" t="s">
        <v>3516</v>
      </c>
      <c r="C34" s="3">
        <v>647</v>
      </c>
      <c r="D34" s="3"/>
      <c r="E34" s="3"/>
      <c r="F34" s="3"/>
      <c r="G34" s="3">
        <v>63</v>
      </c>
      <c r="H34" s="3"/>
      <c r="I34" s="3">
        <v>710</v>
      </c>
    </row>
    <row r="35" spans="2:9" x14ac:dyDescent="0.3">
      <c r="B35" s="6" t="s">
        <v>3515</v>
      </c>
      <c r="C35" s="3"/>
      <c r="D35" s="3"/>
      <c r="E35" s="3"/>
      <c r="F35" s="3">
        <v>486</v>
      </c>
      <c r="G35" s="3"/>
      <c r="H35" s="3">
        <v>2142</v>
      </c>
      <c r="I35" s="3">
        <v>2628</v>
      </c>
    </row>
    <row r="36" spans="2:9" x14ac:dyDescent="0.3">
      <c r="B36" s="2" t="s">
        <v>3509</v>
      </c>
      <c r="C36" s="3">
        <v>526890</v>
      </c>
      <c r="D36" s="3">
        <v>602612</v>
      </c>
      <c r="E36" s="3">
        <v>499909</v>
      </c>
      <c r="F36" s="3">
        <v>502919</v>
      </c>
      <c r="G36" s="3">
        <v>592896</v>
      </c>
      <c r="H36" s="3">
        <v>279453</v>
      </c>
      <c r="I36" s="3">
        <v>3004679</v>
      </c>
    </row>
    <row r="37" spans="2:9" x14ac:dyDescent="0.3">
      <c r="B37" s="2"/>
      <c r="C37" s="3"/>
      <c r="D37" s="3"/>
      <c r="E37" s="3"/>
      <c r="F37" s="3"/>
      <c r="G37" s="3"/>
      <c r="H37" s="3"/>
      <c r="I37" s="3"/>
    </row>
    <row r="38" spans="2:9" x14ac:dyDescent="0.3">
      <c r="B38" s="2"/>
      <c r="C38" s="3"/>
      <c r="D38" s="3"/>
      <c r="E38" s="3"/>
      <c r="F38" s="3"/>
      <c r="G38" s="3"/>
      <c r="H38" s="3"/>
      <c r="I38" s="3"/>
    </row>
    <row r="40" spans="2:9" x14ac:dyDescent="0.3">
      <c r="B40" s="1" t="s">
        <v>3511</v>
      </c>
      <c r="C40" s="1" t="s">
        <v>2</v>
      </c>
    </row>
    <row r="41" spans="2:9" x14ac:dyDescent="0.3">
      <c r="B41" s="7" t="s">
        <v>3528</v>
      </c>
      <c r="C41" t="s">
        <v>16</v>
      </c>
      <c r="D41" t="s">
        <v>14</v>
      </c>
      <c r="E41" t="s">
        <v>31</v>
      </c>
      <c r="F41" t="s">
        <v>24</v>
      </c>
      <c r="G41" t="s">
        <v>11</v>
      </c>
      <c r="H41" t="s">
        <v>3535</v>
      </c>
      <c r="I41" t="s">
        <v>3509</v>
      </c>
    </row>
    <row r="42" spans="2:9" x14ac:dyDescent="0.3">
      <c r="B42" s="2">
        <v>2022</v>
      </c>
      <c r="C42" s="3"/>
      <c r="D42" s="3"/>
      <c r="E42" s="3"/>
      <c r="F42" s="3"/>
      <c r="G42" s="3">
        <v>111</v>
      </c>
      <c r="H42" s="3"/>
      <c r="I42" s="3">
        <v>111</v>
      </c>
    </row>
    <row r="43" spans="2:9" x14ac:dyDescent="0.3">
      <c r="B43" s="6" t="s">
        <v>3518</v>
      </c>
      <c r="C43" s="3"/>
      <c r="D43" s="3"/>
      <c r="E43" s="3"/>
      <c r="F43" s="3"/>
      <c r="G43" s="3">
        <v>111</v>
      </c>
      <c r="H43" s="3"/>
      <c r="I43" s="3">
        <v>111</v>
      </c>
    </row>
    <row r="44" spans="2:9" x14ac:dyDescent="0.3">
      <c r="B44" s="2">
        <v>2023</v>
      </c>
      <c r="C44" s="3">
        <v>59253</v>
      </c>
      <c r="D44" s="3">
        <v>66797</v>
      </c>
      <c r="E44" s="3">
        <v>56080</v>
      </c>
      <c r="F44" s="3">
        <v>55142</v>
      </c>
      <c r="G44" s="3">
        <v>64499</v>
      </c>
      <c r="H44" s="3">
        <v>33173</v>
      </c>
      <c r="I44" s="3">
        <v>334944</v>
      </c>
    </row>
    <row r="45" spans="2:9" x14ac:dyDescent="0.3">
      <c r="B45" s="6" t="s">
        <v>3519</v>
      </c>
      <c r="C45" s="3">
        <v>14343</v>
      </c>
      <c r="D45" s="3">
        <v>15191</v>
      </c>
      <c r="E45" s="3">
        <v>19206</v>
      </c>
      <c r="F45" s="3">
        <v>12535</v>
      </c>
      <c r="G45" s="3">
        <v>16159</v>
      </c>
      <c r="H45" s="3">
        <v>6866</v>
      </c>
      <c r="I45" s="3">
        <v>84300</v>
      </c>
    </row>
    <row r="46" spans="2:9" x14ac:dyDescent="0.3">
      <c r="B46" s="6" t="s">
        <v>3518</v>
      </c>
      <c r="C46" s="3">
        <v>10113</v>
      </c>
      <c r="D46" s="3">
        <v>16760</v>
      </c>
      <c r="E46" s="3">
        <v>14047</v>
      </c>
      <c r="F46" s="3">
        <v>13455</v>
      </c>
      <c r="G46" s="3">
        <v>15989</v>
      </c>
      <c r="H46" s="3">
        <v>8550</v>
      </c>
      <c r="I46" s="3">
        <v>78914</v>
      </c>
    </row>
    <row r="47" spans="2:9" x14ac:dyDescent="0.3">
      <c r="B47" s="6" t="s">
        <v>3516</v>
      </c>
      <c r="C47" s="3">
        <v>17311</v>
      </c>
      <c r="D47" s="3">
        <v>18628</v>
      </c>
      <c r="E47" s="3">
        <v>11582</v>
      </c>
      <c r="F47" s="3">
        <v>13959</v>
      </c>
      <c r="G47" s="3">
        <v>17284</v>
      </c>
      <c r="H47" s="3">
        <v>10184</v>
      </c>
      <c r="I47" s="3">
        <v>88948</v>
      </c>
    </row>
    <row r="48" spans="2:9" x14ac:dyDescent="0.3">
      <c r="B48" s="6" t="s">
        <v>3515</v>
      </c>
      <c r="C48" s="3">
        <v>17486</v>
      </c>
      <c r="D48" s="3">
        <v>16218</v>
      </c>
      <c r="E48" s="3">
        <v>11245</v>
      </c>
      <c r="F48" s="3">
        <v>15193</v>
      </c>
      <c r="G48" s="3">
        <v>15067</v>
      </c>
      <c r="H48" s="3">
        <v>7573</v>
      </c>
      <c r="I48" s="3">
        <v>82782</v>
      </c>
    </row>
    <row r="49" spans="2:9" x14ac:dyDescent="0.3">
      <c r="B49" s="2">
        <v>2024</v>
      </c>
      <c r="C49" s="3">
        <v>111</v>
      </c>
      <c r="D49" s="3">
        <v>41</v>
      </c>
      <c r="E49" s="3"/>
      <c r="F49" s="3">
        <v>86</v>
      </c>
      <c r="G49" s="3">
        <v>8</v>
      </c>
      <c r="H49" s="3">
        <v>153</v>
      </c>
      <c r="I49" s="3">
        <v>399</v>
      </c>
    </row>
    <row r="50" spans="2:9" x14ac:dyDescent="0.3">
      <c r="B50" s="6" t="s">
        <v>3519</v>
      </c>
      <c r="C50" s="3"/>
      <c r="D50" s="3">
        <v>41</v>
      </c>
      <c r="E50" s="3"/>
      <c r="F50" s="3">
        <v>17</v>
      </c>
      <c r="G50" s="3"/>
      <c r="H50" s="3"/>
      <c r="I50" s="3">
        <v>58</v>
      </c>
    </row>
    <row r="51" spans="2:9" x14ac:dyDescent="0.3">
      <c r="B51" s="6" t="s">
        <v>3516</v>
      </c>
      <c r="C51" s="3">
        <v>111</v>
      </c>
      <c r="D51" s="3"/>
      <c r="E51" s="3"/>
      <c r="F51" s="3"/>
      <c r="G51" s="3">
        <v>8</v>
      </c>
      <c r="H51" s="3"/>
      <c r="I51" s="3">
        <v>119</v>
      </c>
    </row>
    <row r="52" spans="2:9" x14ac:dyDescent="0.3">
      <c r="B52" s="6" t="s">
        <v>3515</v>
      </c>
      <c r="C52" s="3"/>
      <c r="D52" s="3"/>
      <c r="E52" s="3"/>
      <c r="F52" s="3">
        <v>69</v>
      </c>
      <c r="G52" s="3"/>
      <c r="H52" s="3">
        <v>153</v>
      </c>
      <c r="I52" s="3">
        <v>222</v>
      </c>
    </row>
    <row r="53" spans="2:9" x14ac:dyDescent="0.3">
      <c r="B53" s="2" t="s">
        <v>3509</v>
      </c>
      <c r="C53" s="3">
        <v>59364</v>
      </c>
      <c r="D53" s="3">
        <v>66838</v>
      </c>
      <c r="E53" s="3">
        <v>56080</v>
      </c>
      <c r="F53" s="3">
        <v>55228</v>
      </c>
      <c r="G53" s="3">
        <v>64618</v>
      </c>
      <c r="H53" s="3">
        <v>33326</v>
      </c>
      <c r="I53" s="3">
        <v>335454</v>
      </c>
    </row>
    <row r="54" spans="2:9" x14ac:dyDescent="0.3">
      <c r="B54" s="2"/>
      <c r="C54" s="3"/>
      <c r="D54" s="3"/>
      <c r="E54" s="3"/>
      <c r="F54" s="3"/>
      <c r="G54" s="3"/>
      <c r="H54" s="3"/>
      <c r="I54" s="3"/>
    </row>
    <row r="55" spans="2:9" x14ac:dyDescent="0.3">
      <c r="B55" s="2"/>
      <c r="C55" s="3"/>
      <c r="D55" s="3"/>
      <c r="E55" s="3"/>
      <c r="F55" s="3"/>
      <c r="G55" s="3"/>
      <c r="H55" s="3"/>
      <c r="I55" s="3"/>
    </row>
    <row r="56" spans="2:9" x14ac:dyDescent="0.3">
      <c r="B56" s="2"/>
      <c r="C56" s="3"/>
      <c r="D56" s="3"/>
      <c r="E56" s="3"/>
      <c r="F56" s="3"/>
      <c r="G56" s="3"/>
      <c r="H56" s="3"/>
      <c r="I56" s="3"/>
    </row>
    <row r="58" spans="2:9" x14ac:dyDescent="0.3">
      <c r="B58" s="1" t="s">
        <v>3525</v>
      </c>
      <c r="C58" s="1" t="s">
        <v>2</v>
      </c>
    </row>
    <row r="59" spans="2:9" x14ac:dyDescent="0.3">
      <c r="B59" s="7" t="s">
        <v>3528</v>
      </c>
      <c r="C59" t="s">
        <v>16</v>
      </c>
      <c r="D59" t="s">
        <v>14</v>
      </c>
      <c r="E59" t="s">
        <v>31</v>
      </c>
      <c r="F59" t="s">
        <v>24</v>
      </c>
      <c r="G59" t="s">
        <v>11</v>
      </c>
      <c r="H59" t="s">
        <v>3535</v>
      </c>
      <c r="I59" t="s">
        <v>3509</v>
      </c>
    </row>
    <row r="60" spans="2:9" x14ac:dyDescent="0.3">
      <c r="B60" s="2">
        <v>2022</v>
      </c>
      <c r="C60" s="3"/>
      <c r="D60" s="3"/>
      <c r="E60" s="3"/>
      <c r="F60" s="3"/>
      <c r="G60" s="3">
        <v>1.3398373983739838E-2</v>
      </c>
      <c r="H60" s="3"/>
      <c r="I60" s="3">
        <v>1.3398373983739838E-2</v>
      </c>
    </row>
    <row r="61" spans="2:9" x14ac:dyDescent="0.3">
      <c r="B61" s="6" t="s">
        <v>3518</v>
      </c>
      <c r="C61" s="3"/>
      <c r="D61" s="3"/>
      <c r="E61" s="3"/>
      <c r="F61" s="3"/>
      <c r="G61" s="3">
        <v>1.3398373983739838E-2</v>
      </c>
      <c r="H61" s="3"/>
      <c r="I61" s="3">
        <v>1.3398373983739838E-2</v>
      </c>
    </row>
    <row r="62" spans="2:9" x14ac:dyDescent="0.3">
      <c r="B62" s="2">
        <v>2023</v>
      </c>
      <c r="C62" s="3">
        <v>2.9207436027369624E-2</v>
      </c>
      <c r="D62" s="3">
        <v>3.0292243255154692E-2</v>
      </c>
      <c r="E62" s="3">
        <v>3.0038306113775105E-2</v>
      </c>
      <c r="F62" s="3">
        <v>3.0095677317267314E-2</v>
      </c>
      <c r="G62" s="3">
        <v>3.0329742927282834E-2</v>
      </c>
      <c r="H62" s="3">
        <v>3.0312072273729812E-2</v>
      </c>
      <c r="I62" s="3">
        <v>3.0035498721380324E-2</v>
      </c>
    </row>
    <row r="63" spans="2:9" x14ac:dyDescent="0.3">
      <c r="B63" s="6" t="s">
        <v>3519</v>
      </c>
      <c r="C63" s="3">
        <v>2.990883327181228E-2</v>
      </c>
      <c r="D63" s="3">
        <v>2.8850123377339623E-2</v>
      </c>
      <c r="E63" s="3">
        <v>2.9583256627787057E-2</v>
      </c>
      <c r="F63" s="3">
        <v>3.1284077144125864E-2</v>
      </c>
      <c r="G63" s="3">
        <v>3.1264456631986272E-2</v>
      </c>
      <c r="H63" s="3">
        <v>3.0249183514871707E-2</v>
      </c>
      <c r="I63" s="3">
        <v>3.0129312493768233E-2</v>
      </c>
    </row>
    <row r="64" spans="2:9" x14ac:dyDescent="0.3">
      <c r="B64" s="6" t="s">
        <v>3518</v>
      </c>
      <c r="C64" s="3">
        <v>2.9107794207972663E-2</v>
      </c>
      <c r="D64" s="3">
        <v>2.968752640037493E-2</v>
      </c>
      <c r="E64" s="3">
        <v>3.0468593469242519E-2</v>
      </c>
      <c r="F64" s="3">
        <v>2.879255536151067E-2</v>
      </c>
      <c r="G64" s="3">
        <v>3.0682976827694653E-2</v>
      </c>
      <c r="H64" s="3">
        <v>2.8297299148767465E-2</v>
      </c>
      <c r="I64" s="3">
        <v>2.9618177979740937E-2</v>
      </c>
    </row>
    <row r="65" spans="2:9" x14ac:dyDescent="0.3">
      <c r="B65" s="6" t="s">
        <v>3516</v>
      </c>
      <c r="C65" s="3">
        <v>2.9724058570004451E-2</v>
      </c>
      <c r="D65" s="3">
        <v>3.194047195678127E-2</v>
      </c>
      <c r="E65" s="3">
        <v>3.1053959805540328E-2</v>
      </c>
      <c r="F65" s="3">
        <v>3.0929885186640867E-2</v>
      </c>
      <c r="G65" s="3">
        <v>2.9772310473051216E-2</v>
      </c>
      <c r="H65" s="3">
        <v>3.272000529634405E-2</v>
      </c>
      <c r="I65" s="3">
        <v>3.0862052786476687E-2</v>
      </c>
    </row>
    <row r="66" spans="2:9" x14ac:dyDescent="0.3">
      <c r="B66" s="6" t="s">
        <v>3515</v>
      </c>
      <c r="C66" s="3">
        <v>2.8196368871288527E-2</v>
      </c>
      <c r="D66" s="3">
        <v>3.0764322948880946E-2</v>
      </c>
      <c r="E66" s="3">
        <v>2.9175546983276086E-2</v>
      </c>
      <c r="F66" s="3">
        <v>2.9655290572742254E-2</v>
      </c>
      <c r="G66" s="3">
        <v>2.9645477788900594E-2</v>
      </c>
      <c r="H66" s="3">
        <v>3.0117509908483102E-2</v>
      </c>
      <c r="I66" s="3">
        <v>2.9526810624562916E-2</v>
      </c>
    </row>
    <row r="67" spans="2:9" x14ac:dyDescent="0.3">
      <c r="B67" s="2">
        <v>2024</v>
      </c>
      <c r="C67" s="3">
        <v>3.9247801031240523E-2</v>
      </c>
      <c r="D67" s="3">
        <v>3.8735452492617679E-2</v>
      </c>
      <c r="E67" s="3"/>
      <c r="F67" s="3">
        <v>2.7754562516215914E-2</v>
      </c>
      <c r="G67" s="3">
        <v>2.4609374999999999E-2</v>
      </c>
      <c r="H67" s="3">
        <v>3.0581651009394362E-2</v>
      </c>
      <c r="I67" s="3">
        <v>3.1447234094280734E-2</v>
      </c>
    </row>
    <row r="68" spans="2:9" x14ac:dyDescent="0.3">
      <c r="B68" s="6" t="s">
        <v>3519</v>
      </c>
      <c r="C68" s="3"/>
      <c r="D68" s="3">
        <v>3.8735452492617679E-2</v>
      </c>
      <c r="E68" s="3"/>
      <c r="F68" s="3">
        <v>3.9462636439966413E-2</v>
      </c>
      <c r="G68" s="3"/>
      <c r="H68" s="3"/>
      <c r="I68" s="3">
        <v>3.9099044466292046E-2</v>
      </c>
    </row>
    <row r="69" spans="2:9" x14ac:dyDescent="0.3">
      <c r="B69" s="6" t="s">
        <v>3516</v>
      </c>
      <c r="C69" s="3">
        <v>3.9247801031240523E-2</v>
      </c>
      <c r="D69" s="3"/>
      <c r="E69" s="3"/>
      <c r="F69" s="3"/>
      <c r="G69" s="3">
        <v>2.4609374999999999E-2</v>
      </c>
      <c r="H69" s="3"/>
      <c r="I69" s="3">
        <v>3.1928588015620263E-2</v>
      </c>
    </row>
    <row r="70" spans="2:9" x14ac:dyDescent="0.3">
      <c r="B70" s="6" t="s">
        <v>3515</v>
      </c>
      <c r="C70" s="3"/>
      <c r="D70" s="3"/>
      <c r="E70" s="3"/>
      <c r="F70" s="3">
        <v>1.6046488592465415E-2</v>
      </c>
      <c r="G70" s="3"/>
      <c r="H70" s="3">
        <v>3.0581651009394362E-2</v>
      </c>
      <c r="I70" s="3">
        <v>2.3314069800929888E-2</v>
      </c>
    </row>
    <row r="71" spans="2:9" x14ac:dyDescent="0.3">
      <c r="B71" s="2" t="s">
        <v>3509</v>
      </c>
      <c r="C71" s="3">
        <v>2.923604105587068E-2</v>
      </c>
      <c r="D71" s="3">
        <v>3.0314060333287672E-2</v>
      </c>
      <c r="E71" s="3">
        <v>3.0038306113775105E-2</v>
      </c>
      <c r="F71" s="3">
        <v>3.0081986587436604E-2</v>
      </c>
      <c r="G71" s="3">
        <v>3.027268565556791E-2</v>
      </c>
      <c r="H71" s="3">
        <v>3.0313469054743618E-2</v>
      </c>
      <c r="I71" s="3">
        <v>3.0031417405787998E-2</v>
      </c>
    </row>
    <row r="72" spans="2:9" x14ac:dyDescent="0.3">
      <c r="B72" s="2"/>
      <c r="C72" s="3"/>
      <c r="D72" s="3"/>
      <c r="E72" s="3"/>
      <c r="F72" s="3"/>
      <c r="G72" s="3"/>
      <c r="H72" s="3"/>
      <c r="I72" s="3"/>
    </row>
    <row r="73" spans="2:9" x14ac:dyDescent="0.3">
      <c r="B73" s="2"/>
      <c r="C73" s="3"/>
      <c r="D73" s="3"/>
      <c r="E73" s="3"/>
      <c r="F73" s="3"/>
      <c r="G73" s="3"/>
      <c r="H73" s="3"/>
      <c r="I73" s="3"/>
    </row>
    <row r="76" spans="2:9" x14ac:dyDescent="0.3">
      <c r="B76" s="1" t="s">
        <v>3527</v>
      </c>
      <c r="C76" s="1" t="s">
        <v>2</v>
      </c>
    </row>
    <row r="77" spans="2:9" x14ac:dyDescent="0.3">
      <c r="B77" s="7" t="s">
        <v>3528</v>
      </c>
      <c r="C77" t="s">
        <v>16</v>
      </c>
      <c r="D77" t="s">
        <v>14</v>
      </c>
      <c r="E77" t="s">
        <v>31</v>
      </c>
      <c r="F77" t="s">
        <v>24</v>
      </c>
      <c r="G77" t="s">
        <v>11</v>
      </c>
      <c r="H77" t="s">
        <v>3535</v>
      </c>
      <c r="I77" t="s">
        <v>3509</v>
      </c>
    </row>
    <row r="78" spans="2:9" x14ac:dyDescent="0.3">
      <c r="B78" s="2">
        <v>2022</v>
      </c>
      <c r="C78" s="3"/>
      <c r="D78" s="3"/>
      <c r="E78" s="3"/>
      <c r="F78" s="3"/>
      <c r="G78" s="3">
        <v>0.13470873786407767</v>
      </c>
      <c r="H78" s="3"/>
      <c r="I78" s="3">
        <v>0.13470873786407767</v>
      </c>
    </row>
    <row r="79" spans="2:9" x14ac:dyDescent="0.3">
      <c r="B79" s="6" t="s">
        <v>3518</v>
      </c>
      <c r="C79" s="3"/>
      <c r="D79" s="3"/>
      <c r="E79" s="3"/>
      <c r="F79" s="3"/>
      <c r="G79" s="3">
        <v>0.13470873786407767</v>
      </c>
      <c r="H79" s="3"/>
      <c r="I79" s="3">
        <v>0.13470873786407767</v>
      </c>
    </row>
    <row r="80" spans="2:9" x14ac:dyDescent="0.3">
      <c r="B80" s="2">
        <v>2023</v>
      </c>
      <c r="C80" s="3">
        <v>0.1115858718136747</v>
      </c>
      <c r="D80" s="3">
        <v>0.11105186598230284</v>
      </c>
      <c r="E80" s="3">
        <v>0.10902237040380854</v>
      </c>
      <c r="F80" s="3">
        <v>0.11004462242483394</v>
      </c>
      <c r="G80" s="3">
        <v>0.10842352835102614</v>
      </c>
      <c r="H80" s="3">
        <v>0.1175311785833113</v>
      </c>
      <c r="I80" s="3">
        <v>0.11074018636846047</v>
      </c>
    </row>
    <row r="81" spans="2:9" x14ac:dyDescent="0.3">
      <c r="B81" s="6" t="s">
        <v>3519</v>
      </c>
      <c r="C81" s="3">
        <v>0.11130980348139266</v>
      </c>
      <c r="D81" s="3">
        <v>0.11237053161447069</v>
      </c>
      <c r="E81" s="3">
        <v>0.11467305459542276</v>
      </c>
      <c r="F81" s="3">
        <v>0.11466979251143451</v>
      </c>
      <c r="G81" s="3">
        <v>0.10819167780143035</v>
      </c>
      <c r="H81" s="3">
        <v>0.11670976720019724</v>
      </c>
      <c r="I81" s="3">
        <v>0.11248487876674515</v>
      </c>
    </row>
    <row r="82" spans="2:9" x14ac:dyDescent="0.3">
      <c r="B82" s="6" t="s">
        <v>3518</v>
      </c>
      <c r="C82" s="3">
        <v>0.11470332827313871</v>
      </c>
      <c r="D82" s="3">
        <v>0.10857104118897624</v>
      </c>
      <c r="E82" s="3">
        <v>0.10887680438871283</v>
      </c>
      <c r="F82" s="3">
        <v>0.10830881585723287</v>
      </c>
      <c r="G82" s="3">
        <v>0.10886999119129051</v>
      </c>
      <c r="H82" s="3">
        <v>0.11871639557837317</v>
      </c>
      <c r="I82" s="3">
        <v>0.11061851311195164</v>
      </c>
    </row>
    <row r="83" spans="2:9" x14ac:dyDescent="0.3">
      <c r="B83" s="6" t="s">
        <v>3516</v>
      </c>
      <c r="C83" s="3">
        <v>0.10400168989935742</v>
      </c>
      <c r="D83" s="3">
        <v>0.10999212288733345</v>
      </c>
      <c r="E83" s="3">
        <v>0.10117726094464648</v>
      </c>
      <c r="F83" s="3">
        <v>0.1093209678243959</v>
      </c>
      <c r="G83" s="3">
        <v>0.11212754696743836</v>
      </c>
      <c r="H83" s="3">
        <v>0.12185119504653362</v>
      </c>
      <c r="I83" s="3">
        <v>0.10901225708816292</v>
      </c>
    </row>
    <row r="84" spans="2:9" x14ac:dyDescent="0.3">
      <c r="B84" s="6" t="s">
        <v>3515</v>
      </c>
      <c r="C84" s="3">
        <v>0.11673626680935328</v>
      </c>
      <c r="D84" s="3">
        <v>0.11369390530463074</v>
      </c>
      <c r="E84" s="3">
        <v>0.10962505879188233</v>
      </c>
      <c r="F84" s="3">
        <v>0.10879056886330597</v>
      </c>
      <c r="G84" s="3">
        <v>0.10450571225975068</v>
      </c>
      <c r="H84" s="3">
        <v>0.11309815213692892</v>
      </c>
      <c r="I84" s="3">
        <v>0.11086093231324635</v>
      </c>
    </row>
    <row r="85" spans="2:9" x14ac:dyDescent="0.3">
      <c r="B85" s="2">
        <v>2024</v>
      </c>
      <c r="C85" s="3">
        <v>0.17156105100463678</v>
      </c>
      <c r="D85" s="3">
        <v>0.18385650224215247</v>
      </c>
      <c r="E85" s="3"/>
      <c r="F85" s="3">
        <v>0.13127134226425005</v>
      </c>
      <c r="G85" s="3">
        <v>0.12698412698412698</v>
      </c>
      <c r="H85" s="3">
        <v>7.1428571428571425E-2</v>
      </c>
      <c r="I85" s="3">
        <v>0.13606215603133129</v>
      </c>
    </row>
    <row r="86" spans="2:9" x14ac:dyDescent="0.3">
      <c r="B86" s="6" t="s">
        <v>3519</v>
      </c>
      <c r="C86" s="3"/>
      <c r="D86" s="3">
        <v>0.18385650224215247</v>
      </c>
      <c r="E86" s="3"/>
      <c r="F86" s="3">
        <v>0.12056737588652482</v>
      </c>
      <c r="G86" s="3"/>
      <c r="H86" s="3"/>
      <c r="I86" s="3">
        <v>0.15221193906433864</v>
      </c>
    </row>
    <row r="87" spans="2:9" x14ac:dyDescent="0.3">
      <c r="B87" s="6" t="s">
        <v>3516</v>
      </c>
      <c r="C87" s="3">
        <v>0.17156105100463678</v>
      </c>
      <c r="D87" s="3"/>
      <c r="E87" s="3"/>
      <c r="F87" s="3"/>
      <c r="G87" s="3">
        <v>0.12698412698412698</v>
      </c>
      <c r="H87" s="3"/>
      <c r="I87" s="3">
        <v>0.14927258899438189</v>
      </c>
    </row>
    <row r="88" spans="2:9" x14ac:dyDescent="0.3">
      <c r="B88" s="6" t="s">
        <v>3515</v>
      </c>
      <c r="C88" s="3"/>
      <c r="D88" s="3"/>
      <c r="E88" s="3"/>
      <c r="F88" s="3">
        <v>0.1419753086419753</v>
      </c>
      <c r="G88" s="3"/>
      <c r="H88" s="3">
        <v>7.1428571428571425E-2</v>
      </c>
      <c r="I88" s="3">
        <v>0.10670194003527336</v>
      </c>
    </row>
    <row r="89" spans="2:9" x14ac:dyDescent="0.3">
      <c r="B89" s="2" t="s">
        <v>3509</v>
      </c>
      <c r="C89" s="3">
        <v>0.1117567412700592</v>
      </c>
      <c r="D89" s="3">
        <v>0.11123999165739287</v>
      </c>
      <c r="E89" s="3">
        <v>0.10902237040380854</v>
      </c>
      <c r="F89" s="3">
        <v>0.11016875528939192</v>
      </c>
      <c r="G89" s="3">
        <v>0.10853649008439176</v>
      </c>
      <c r="H89" s="3">
        <v>0.11729230497111058</v>
      </c>
      <c r="I89" s="3">
        <v>0.11082809260008111</v>
      </c>
    </row>
    <row r="94" spans="2:9" x14ac:dyDescent="0.3">
      <c r="B94" s="1" t="s">
        <v>3526</v>
      </c>
      <c r="C94" s="1" t="s">
        <v>2</v>
      </c>
    </row>
    <row r="95" spans="2:9" x14ac:dyDescent="0.3">
      <c r="B95" s="1" t="s">
        <v>3528</v>
      </c>
      <c r="C95" t="s">
        <v>16</v>
      </c>
      <c r="D95" t="s">
        <v>14</v>
      </c>
      <c r="E95" t="s">
        <v>31</v>
      </c>
      <c r="F95" t="s">
        <v>24</v>
      </c>
      <c r="G95" t="s">
        <v>11</v>
      </c>
      <c r="H95" t="s">
        <v>3535</v>
      </c>
      <c r="I95" t="s">
        <v>3509</v>
      </c>
    </row>
    <row r="96" spans="2:9" x14ac:dyDescent="0.3">
      <c r="B96" s="2">
        <v>2022</v>
      </c>
      <c r="C96" s="3"/>
      <c r="D96" s="3"/>
      <c r="E96" s="3"/>
      <c r="F96" s="3"/>
      <c r="G96" s="3">
        <v>7.1224324324324328</v>
      </c>
      <c r="H96" s="3"/>
      <c r="I96" s="3">
        <v>7.1224324324324328</v>
      </c>
    </row>
    <row r="97" spans="2:9" x14ac:dyDescent="0.3">
      <c r="B97" s="6" t="s">
        <v>3518</v>
      </c>
      <c r="C97" s="3"/>
      <c r="D97" s="3"/>
      <c r="E97" s="3"/>
      <c r="F97" s="3"/>
      <c r="G97" s="3">
        <v>7.1224324324324328</v>
      </c>
      <c r="H97" s="3"/>
      <c r="I97" s="3">
        <v>7.1224324324324328</v>
      </c>
    </row>
    <row r="98" spans="2:9" x14ac:dyDescent="0.3">
      <c r="B98" s="2">
        <v>2023</v>
      </c>
      <c r="C98" s="3">
        <v>17.873917939113038</v>
      </c>
      <c r="D98" s="3">
        <v>26.863166121879217</v>
      </c>
      <c r="E98" s="3">
        <v>12.314721445715268</v>
      </c>
      <c r="F98" s="3">
        <v>11.368500777354605</v>
      </c>
      <c r="G98" s="3">
        <v>11.857075385349397</v>
      </c>
      <c r="H98" s="3">
        <v>28.21771140296234</v>
      </c>
      <c r="I98" s="3">
        <v>17.401687495377789</v>
      </c>
    </row>
    <row r="99" spans="2:9" x14ac:dyDescent="0.3">
      <c r="B99" s="6" t="s">
        <v>3519</v>
      </c>
      <c r="C99" s="3">
        <v>37.525483842116572</v>
      </c>
      <c r="D99" s="3">
        <v>12.299932272776608</v>
      </c>
      <c r="E99" s="3">
        <v>11.6945046293955</v>
      </c>
      <c r="F99" s="3">
        <v>10.881565644280721</v>
      </c>
      <c r="G99" s="3">
        <v>12.007718083346814</v>
      </c>
      <c r="H99" s="3">
        <v>96.528098140688641</v>
      </c>
      <c r="I99" s="3">
        <v>22.717675772505306</v>
      </c>
    </row>
    <row r="100" spans="2:9" x14ac:dyDescent="0.3">
      <c r="B100" s="6" t="s">
        <v>3518</v>
      </c>
      <c r="C100" s="3">
        <v>11.545725028106608</v>
      </c>
      <c r="D100" s="3">
        <v>36.05801531163263</v>
      </c>
      <c r="E100" s="3">
        <v>11.559530769979631</v>
      </c>
      <c r="F100" s="3">
        <v>11.57894805606341</v>
      </c>
      <c r="G100" s="3">
        <v>11.818776662953315</v>
      </c>
      <c r="H100" s="3">
        <v>11.398740537091097</v>
      </c>
      <c r="I100" s="3">
        <v>16.618627758425085</v>
      </c>
    </row>
    <row r="101" spans="2:9" x14ac:dyDescent="0.3">
      <c r="B101" s="6" t="s">
        <v>3516</v>
      </c>
      <c r="C101" s="3">
        <v>12.872112593090465</v>
      </c>
      <c r="D101" s="3">
        <v>12.381239889981254</v>
      </c>
      <c r="E101" s="3">
        <v>13.188605902060695</v>
      </c>
      <c r="F101" s="3">
        <v>11.22682522171511</v>
      </c>
      <c r="G101" s="3">
        <v>11.561653767670109</v>
      </c>
      <c r="H101" s="3">
        <v>10.675782405776017</v>
      </c>
      <c r="I101" s="3">
        <v>12.07412383667206</v>
      </c>
    </row>
    <row r="102" spans="2:9" x14ac:dyDescent="0.3">
      <c r="B102" s="6" t="s">
        <v>3515</v>
      </c>
      <c r="C102" s="3">
        <v>11.213796121656655</v>
      </c>
      <c r="D102" s="3">
        <v>50.868942289472223</v>
      </c>
      <c r="E102" s="3">
        <v>13.061214339732445</v>
      </c>
      <c r="F102" s="3">
        <v>11.663194702967786</v>
      </c>
      <c r="G102" s="3">
        <v>12.053504095751284</v>
      </c>
      <c r="H102" s="3">
        <v>9.8059996418895992</v>
      </c>
      <c r="I102" s="3">
        <v>18.235902511398216</v>
      </c>
    </row>
    <row r="103" spans="2:9" x14ac:dyDescent="0.3">
      <c r="B103" s="2">
        <v>2024</v>
      </c>
      <c r="C103" s="3">
        <v>3.9820720720720719</v>
      </c>
      <c r="D103" s="3">
        <v>5.7704878048780488</v>
      </c>
      <c r="E103" s="3"/>
      <c r="F103" s="3">
        <v>6.9975788576300086</v>
      </c>
      <c r="G103" s="3">
        <v>14.456250000000001</v>
      </c>
      <c r="H103" s="3">
        <v>9.8956209150326799</v>
      </c>
      <c r="I103" s="3">
        <v>8.016598084540469</v>
      </c>
    </row>
    <row r="104" spans="2:9" x14ac:dyDescent="0.3">
      <c r="B104" s="6" t="s">
        <v>3519</v>
      </c>
      <c r="C104" s="3"/>
      <c r="D104" s="3">
        <v>5.7704878048780488</v>
      </c>
      <c r="E104" s="3"/>
      <c r="F104" s="3">
        <v>5.8558823529411761</v>
      </c>
      <c r="G104" s="3"/>
      <c r="H104" s="3"/>
      <c r="I104" s="3">
        <v>5.813185078909612</v>
      </c>
    </row>
    <row r="105" spans="2:9" x14ac:dyDescent="0.3">
      <c r="B105" s="6" t="s">
        <v>3516</v>
      </c>
      <c r="C105" s="3">
        <v>3.9820720720720719</v>
      </c>
      <c r="D105" s="3"/>
      <c r="E105" s="3"/>
      <c r="F105" s="3"/>
      <c r="G105" s="3">
        <v>14.456250000000001</v>
      </c>
      <c r="H105" s="3"/>
      <c r="I105" s="3">
        <v>9.2191610360360361</v>
      </c>
    </row>
    <row r="106" spans="2:9" x14ac:dyDescent="0.3">
      <c r="B106" s="6" t="s">
        <v>3515</v>
      </c>
      <c r="C106" s="3"/>
      <c r="D106" s="3"/>
      <c r="E106" s="3"/>
      <c r="F106" s="3">
        <v>8.1392753623188412</v>
      </c>
      <c r="G106" s="3"/>
      <c r="H106" s="3">
        <v>9.8956209150326799</v>
      </c>
      <c r="I106" s="3">
        <v>9.0174481386757606</v>
      </c>
    </row>
    <row r="107" spans="2:9" x14ac:dyDescent="0.3">
      <c r="B107" s="2" t="s">
        <v>3509</v>
      </c>
      <c r="C107" s="3">
        <v>17.830775560643968</v>
      </c>
      <c r="D107" s="3">
        <v>26.80272864819154</v>
      </c>
      <c r="E107" s="3">
        <v>12.314721445715268</v>
      </c>
      <c r="F107" s="3">
        <v>11.339458106791652</v>
      </c>
      <c r="G107" s="3">
        <v>11.851110389991113</v>
      </c>
      <c r="H107" s="3">
        <v>28.111187621055773</v>
      </c>
      <c r="I107" s="3">
        <v>17.364693166751142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Marketing_campaign_data</vt:lpstr>
      <vt:lpstr>Pivot Table-Yearly Analysis</vt:lpstr>
      <vt:lpstr>PivotTable-PerformanceAnaly</vt:lpstr>
      <vt:lpstr>PivotTable - Quarter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 Saranga</dc:creator>
  <cp:lastModifiedBy>Lisha Saranga</cp:lastModifiedBy>
  <dcterms:created xsi:type="dcterms:W3CDTF">2026-09-12T10:03:35Z</dcterms:created>
  <dcterms:modified xsi:type="dcterms:W3CDTF">2026-09-14T22:33:13Z</dcterms:modified>
</cp:coreProperties>
</file>